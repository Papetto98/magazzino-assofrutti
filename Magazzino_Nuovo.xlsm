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fileSharing readOnlyRecommended="1"/>
  <workbookPr codeName="Questa_cartella_di_lavoro" hidePivotFieldList="1"/>
  <mc:AlternateContent xmlns:mc="http://schemas.openxmlformats.org/markup-compatibility/2006">
    <mc:Choice Requires="x15">
      <x15ac:absPath xmlns:x15ac="http://schemas.microsoft.com/office/spreadsheetml/2010/11/ac" url="/Users/gabriele/Desktop/Magazzino semilavorati/magazzino-assofrutti/"/>
    </mc:Choice>
  </mc:AlternateContent>
  <xr:revisionPtr revIDLastSave="0" documentId="13_ncr:1_{D4D1D9E2-5AC2-7043-90F8-B87B8B64B0B2}" xr6:coauthVersionLast="36" xr6:coauthVersionMax="47" xr10:uidLastSave="{00000000-0000-0000-0000-000000000000}"/>
  <bookViews>
    <workbookView xWindow="0" yWindow="500" windowWidth="28800" windowHeight="15720" tabRatio="732" xr2:uid="{00000000-000D-0000-FFFF-FFFF00000000}"/>
  </bookViews>
  <sheets>
    <sheet name="LOTTI_MAGAZZINO" sheetId="1" r:id="rId1"/>
    <sheet name="GIACENZE_ATTUALI" sheetId="4" r:id="rId2"/>
    <sheet name="MOVIMENTI_MAGAZZINO" sheetId="3" r:id="rId3"/>
    <sheet name="CONTRATTI_CLIENTI" sheetId="2" r:id="rId4"/>
    <sheet name="RICERCA_LOTTI" sheetId="17" r:id="rId5"/>
    <sheet name="RICERCA_USCITE" sheetId="20" r:id="rId6"/>
    <sheet name="TABELLE" sheetId="5" r:id="rId7"/>
    <sheet name="GRAFICI" sheetId="21" r:id="rId8"/>
    <sheet name="GUIDA_USO" sheetId="6" r:id="rId9"/>
  </sheets>
  <functionGroups builtInGroupCount="19"/>
  <definedNames>
    <definedName name="_xlnm._FilterDatabase" localSheetId="3" hidden="1">CONTRATTI_CLIENTI!$A$1:$L$301</definedName>
    <definedName name="_xlnm._FilterDatabase" localSheetId="1" hidden="1">LOTTI_MAGAZZINO!$A$1:$W$150</definedName>
    <definedName name="_xlnm._FilterDatabase" localSheetId="0" hidden="1">LOTTI_MAGAZZINO!$C$1:$T$293</definedName>
    <definedName name="_xlnm._FilterDatabase" localSheetId="2" hidden="1">MOVIMENTI_MAGAZZINO!$A$1:$T$1048520</definedName>
    <definedName name="_xleta.AND" hidden="1" xlm="1">#NAME?</definedName>
    <definedName name="_xleta.FILTER" hidden="1" xlm="1">#NAME?</definedName>
    <definedName name="_xleta.IF" hidden="1" xlm="1">#NAME?</definedName>
    <definedName name="_xleta.LEFT" hidden="1" xlm="1">#NAME?</definedName>
    <definedName name="_xleta.MATCH" hidden="1" xlm="1">#NAME?</definedName>
    <definedName name="_xleta.OR" hidden="1" xlm="1">#NAME?</definedName>
    <definedName name="_xleta.T" hidden="1" xlm="1">#NAME?</definedName>
    <definedName name="_xleta.VALUE" hidden="1" xlm="1">#NAME?</definedName>
    <definedName name="_xlpm.contratto" hidden="1" xlm="1">#NAME?</definedName>
    <definedName name="CalibriPerContratto">_xlfn.LAMBDA(_xlpm.contratto, _xlfn.UNIQUE(_xlfn._xlws.FILTER(CONTRATTI_CLIENTI!XEP1048568:XEP990, CONTRATTI_CLIENTI!XEO1048568:XEO990=_xlpm.contratto)))</definedName>
    <definedName name="CalibroPerRiga">CalibriPerContratto(LOTTI_MAGAZZINO!XFD1)</definedName>
    <definedName name="ContrattiAperti" comment="Intervallo dinamico dei contratti aperti">GUIDA_USO!$J$99:$J$114</definedName>
  </definedNames>
  <calcPr calcId="181029"/>
  <pivotCaches>
    <pivotCache cacheId="8" r:id="rId10"/>
    <pivotCache cacheId="9" r:id="rId11"/>
    <pivotCache cacheId="10" r:id="rId12"/>
    <pivotCache cacheId="11" r:id="rId13"/>
  </pivotCaches>
</workbook>
</file>

<file path=xl/calcChain.xml><?xml version="1.0" encoding="utf-8"?>
<calcChain xmlns="http://schemas.openxmlformats.org/spreadsheetml/2006/main">
  <c r="I99" i="6" l="1" a="1"/>
  <c r="I99" i="6" s="1"/>
  <c r="C349" i="5" l="1"/>
  <c r="C348" i="5"/>
  <c r="C347" i="5"/>
  <c r="O7" i="17" l="1" a="1"/>
  <c r="O7" i="17" s="1"/>
  <c r="A7" i="17" l="1" a="1"/>
  <c r="A7" i="17" s="1"/>
  <c r="N7" i="17" a="1"/>
  <c r="N7" i="17" s="1"/>
  <c r="F7" i="17" l="1" a="1"/>
  <c r="F7" i="17" s="1"/>
  <c r="C7" i="17" a="1"/>
  <c r="C7" i="17" s="1"/>
  <c r="J7" i="17" a="1"/>
  <c r="J7" i="17" s="1"/>
  <c r="B7" i="17" a="1"/>
  <c r="B7" i="17" s="1"/>
  <c r="I7" i="17" a="1"/>
  <c r="I7" i="17" s="1"/>
  <c r="E7" i="17" a="1"/>
  <c r="E7" i="17" s="1"/>
  <c r="K7" i="17" a="1"/>
  <c r="K7" i="17" s="1"/>
  <c r="D7" i="17" a="1"/>
  <c r="D7" i="17" s="1"/>
  <c r="H7" i="17" a="1"/>
  <c r="H7" i="17" s="1"/>
  <c r="M7" i="17" a="1"/>
  <c r="M7" i="17" s="1"/>
  <c r="G7" i="17" a="1"/>
  <c r="G7" i="17" s="1"/>
  <c r="L7" i="17" a="1"/>
  <c r="L7" i="17" s="1"/>
  <c r="J99" i="6" a="1"/>
  <c r="J99" i="6" s="1"/>
  <c r="I108" i="6"/>
  <c r="I107" i="6"/>
  <c r="I106" i="6"/>
  <c r="I105" i="6"/>
  <c r="I104" i="6"/>
  <c r="I103" i="6"/>
  <c r="I102" i="6"/>
  <c r="I101" i="6"/>
  <c r="I100" i="6"/>
  <c r="O31" i="17"/>
  <c r="O30" i="17"/>
  <c r="O29" i="17"/>
  <c r="O28" i="17"/>
  <c r="O27" i="17"/>
  <c r="O26" i="17"/>
  <c r="O25" i="17"/>
  <c r="O24" i="17"/>
  <c r="O23" i="17"/>
  <c r="O22" i="17"/>
  <c r="O21" i="17"/>
  <c r="O20" i="17"/>
  <c r="O19" i="17"/>
  <c r="O18" i="17"/>
  <c r="O17" i="17"/>
  <c r="O16" i="17"/>
  <c r="O15" i="17"/>
  <c r="O14" i="17"/>
  <c r="O13" i="17"/>
  <c r="O12" i="17"/>
  <c r="O11" i="17"/>
  <c r="O10" i="17"/>
  <c r="O9" i="17"/>
  <c r="O8" i="17"/>
  <c r="N31" i="17"/>
  <c r="N30" i="17"/>
  <c r="N29" i="17"/>
  <c r="N28" i="17"/>
  <c r="N27" i="17"/>
  <c r="N26" i="17"/>
  <c r="N25" i="17"/>
  <c r="N24" i="17"/>
  <c r="N23" i="17"/>
  <c r="N22" i="17"/>
  <c r="N21" i="17"/>
  <c r="N20" i="17"/>
  <c r="N19" i="17"/>
  <c r="N18" i="17"/>
  <c r="N17" i="17"/>
  <c r="N16" i="17"/>
  <c r="N15" i="17"/>
  <c r="N14" i="17"/>
  <c r="N13" i="17"/>
  <c r="N12" i="17"/>
  <c r="N11" i="17"/>
  <c r="N10" i="17"/>
  <c r="N9" i="17"/>
  <c r="N8" i="17"/>
  <c r="F30" i="17"/>
  <c r="F29" i="17"/>
  <c r="F28" i="17"/>
  <c r="F27" i="17"/>
  <c r="F25" i="17"/>
  <c r="F21" i="17"/>
  <c r="F20" i="17"/>
  <c r="F19" i="17"/>
  <c r="F17" i="17"/>
  <c r="F16" i="17"/>
  <c r="F12" i="17"/>
  <c r="F11" i="17"/>
  <c r="F9" i="17"/>
  <c r="F8" i="17"/>
  <c r="B13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F13" i="17" l="1"/>
  <c r="F22" i="17"/>
  <c r="F31" i="17"/>
  <c r="F14" i="17"/>
  <c r="F23" i="17"/>
  <c r="F15" i="17"/>
  <c r="F24" i="17"/>
  <c r="J28" i="17"/>
  <c r="J15" i="17"/>
  <c r="J29" i="17"/>
  <c r="J19" i="17"/>
  <c r="J30" i="17"/>
  <c r="J20" i="17"/>
  <c r="J31" i="17"/>
  <c r="J21" i="17"/>
  <c r="J12" i="17"/>
  <c r="J23" i="17"/>
  <c r="J13" i="17"/>
  <c r="J27" i="17"/>
  <c r="J14" i="17"/>
  <c r="J11" i="17"/>
  <c r="J22" i="17"/>
  <c r="B27" i="17"/>
  <c r="I30" i="17"/>
  <c r="J106" i="6"/>
  <c r="J107" i="6"/>
  <c r="I14" i="17"/>
  <c r="I22" i="17"/>
  <c r="B19" i="17"/>
  <c r="B30" i="17"/>
  <c r="B20" i="17"/>
  <c r="B31" i="17"/>
  <c r="B21" i="17"/>
  <c r="B11" i="17"/>
  <c r="B22" i="17"/>
  <c r="B12" i="17"/>
  <c r="B23" i="17"/>
  <c r="B14" i="17"/>
  <c r="B28" i="17"/>
  <c r="B15" i="17"/>
  <c r="B29" i="17"/>
  <c r="E11" i="17"/>
  <c r="E24" i="17"/>
  <c r="I8" i="17"/>
  <c r="I16" i="17"/>
  <c r="I24" i="17"/>
  <c r="J100" i="6"/>
  <c r="J108" i="6"/>
  <c r="E12" i="17"/>
  <c r="E27" i="17"/>
  <c r="I9" i="17"/>
  <c r="I17" i="17"/>
  <c r="I25" i="17"/>
  <c r="J101" i="6"/>
  <c r="E23" i="17"/>
  <c r="I15" i="17"/>
  <c r="I23" i="17"/>
  <c r="I31" i="17"/>
  <c r="E22" i="17"/>
  <c r="E13" i="17"/>
  <c r="E31" i="17"/>
  <c r="I10" i="17"/>
  <c r="I18" i="17"/>
  <c r="I26" i="17"/>
  <c r="J102" i="6"/>
  <c r="E14" i="17"/>
  <c r="I11" i="17"/>
  <c r="I19" i="17"/>
  <c r="I27" i="17"/>
  <c r="J103" i="6"/>
  <c r="E15" i="17"/>
  <c r="I12" i="17"/>
  <c r="I20" i="17"/>
  <c r="I28" i="17"/>
  <c r="J104" i="6"/>
  <c r="E21" i="17"/>
  <c r="I13" i="17"/>
  <c r="I21" i="17"/>
  <c r="I29" i="17"/>
  <c r="J105" i="6"/>
  <c r="E16" i="17"/>
  <c r="E28" i="17"/>
  <c r="E19" i="17"/>
  <c r="E29" i="17"/>
  <c r="E8" i="17"/>
  <c r="E20" i="17"/>
  <c r="E30" i="17"/>
  <c r="C11" i="17"/>
  <c r="C19" i="17"/>
  <c r="C27" i="17"/>
  <c r="D11" i="17"/>
  <c r="D19" i="17"/>
  <c r="D27" i="17"/>
  <c r="G11" i="17"/>
  <c r="G19" i="17"/>
  <c r="G27" i="17"/>
  <c r="H11" i="17"/>
  <c r="H19" i="17"/>
  <c r="H27" i="17"/>
  <c r="K11" i="17"/>
  <c r="K19" i="17"/>
  <c r="K27" i="17"/>
  <c r="L11" i="17"/>
  <c r="L19" i="17"/>
  <c r="L27" i="17"/>
  <c r="M11" i="17"/>
  <c r="M19" i="17"/>
  <c r="M27" i="17"/>
  <c r="C12" i="17"/>
  <c r="C20" i="17"/>
  <c r="C28" i="17"/>
  <c r="D12" i="17"/>
  <c r="D20" i="17"/>
  <c r="D28" i="17"/>
  <c r="G12" i="17"/>
  <c r="G20" i="17"/>
  <c r="G28" i="17"/>
  <c r="H12" i="17"/>
  <c r="H20" i="17"/>
  <c r="H28" i="17"/>
  <c r="K12" i="17"/>
  <c r="K20" i="17"/>
  <c r="K28" i="17"/>
  <c r="L12" i="17"/>
  <c r="L20" i="17"/>
  <c r="L28" i="17"/>
  <c r="M12" i="17"/>
  <c r="M20" i="17"/>
  <c r="M28" i="17"/>
  <c r="C13" i="17"/>
  <c r="C21" i="17"/>
  <c r="C29" i="17"/>
  <c r="D13" i="17"/>
  <c r="D21" i="17"/>
  <c r="D29" i="17"/>
  <c r="G13" i="17"/>
  <c r="G21" i="17"/>
  <c r="G29" i="17"/>
  <c r="H13" i="17"/>
  <c r="H21" i="17"/>
  <c r="H29" i="17"/>
  <c r="K13" i="17"/>
  <c r="K21" i="17"/>
  <c r="K29" i="17"/>
  <c r="L13" i="17"/>
  <c r="L21" i="17"/>
  <c r="L29" i="17"/>
  <c r="M13" i="17"/>
  <c r="M21" i="17"/>
  <c r="M29" i="17"/>
  <c r="C14" i="17"/>
  <c r="C22" i="17"/>
  <c r="C30" i="17"/>
  <c r="D14" i="17"/>
  <c r="D22" i="17"/>
  <c r="D30" i="17"/>
  <c r="G14" i="17"/>
  <c r="G22" i="17"/>
  <c r="G30" i="17"/>
  <c r="H14" i="17"/>
  <c r="H22" i="17"/>
  <c r="H30" i="17"/>
  <c r="K14" i="17"/>
  <c r="K22" i="17"/>
  <c r="K30" i="17"/>
  <c r="L14" i="17"/>
  <c r="L22" i="17"/>
  <c r="L30" i="17"/>
  <c r="M14" i="17"/>
  <c r="M22" i="17"/>
  <c r="M30" i="17"/>
  <c r="C15" i="17"/>
  <c r="C23" i="17"/>
  <c r="C31" i="17"/>
  <c r="D15" i="17"/>
  <c r="D23" i="17"/>
  <c r="D31" i="17"/>
  <c r="G15" i="17"/>
  <c r="G23" i="17"/>
  <c r="G31" i="17"/>
  <c r="H15" i="17"/>
  <c r="H23" i="17"/>
  <c r="H31" i="17"/>
  <c r="K15" i="17"/>
  <c r="K23" i="17"/>
  <c r="K31" i="17"/>
  <c r="L15" i="17"/>
  <c r="L23" i="17"/>
  <c r="L31" i="17"/>
  <c r="M15" i="17"/>
  <c r="M23" i="17"/>
  <c r="M31" i="17"/>
  <c r="B8" i="17"/>
  <c r="B16" i="17"/>
  <c r="B24" i="17"/>
  <c r="C8" i="17"/>
  <c r="C16" i="17"/>
  <c r="C24" i="17"/>
  <c r="D8" i="17"/>
  <c r="D16" i="17"/>
  <c r="D24" i="17"/>
  <c r="G8" i="17"/>
  <c r="G16" i="17"/>
  <c r="G24" i="17"/>
  <c r="H8" i="17"/>
  <c r="H16" i="17"/>
  <c r="H24" i="17"/>
  <c r="J8" i="17"/>
  <c r="J16" i="17"/>
  <c r="J24" i="17"/>
  <c r="K8" i="17"/>
  <c r="K16" i="17"/>
  <c r="K24" i="17"/>
  <c r="L8" i="17"/>
  <c r="L16" i="17"/>
  <c r="L24" i="17"/>
  <c r="M8" i="17"/>
  <c r="M16" i="17"/>
  <c r="M24" i="17"/>
  <c r="B9" i="17"/>
  <c r="B17" i="17"/>
  <c r="B25" i="17"/>
  <c r="C9" i="17"/>
  <c r="C17" i="17"/>
  <c r="C25" i="17"/>
  <c r="D9" i="17"/>
  <c r="D17" i="17"/>
  <c r="D25" i="17"/>
  <c r="E9" i="17"/>
  <c r="E17" i="17"/>
  <c r="E25" i="17"/>
  <c r="G9" i="17"/>
  <c r="G17" i="17"/>
  <c r="G25" i="17"/>
  <c r="H9" i="17"/>
  <c r="H17" i="17"/>
  <c r="H25" i="17"/>
  <c r="J9" i="17"/>
  <c r="J17" i="17"/>
  <c r="J25" i="17"/>
  <c r="K9" i="17"/>
  <c r="K17" i="17"/>
  <c r="K25" i="17"/>
  <c r="L9" i="17"/>
  <c r="L17" i="17"/>
  <c r="L25" i="17"/>
  <c r="M9" i="17"/>
  <c r="M17" i="17"/>
  <c r="M25" i="17"/>
  <c r="B10" i="17"/>
  <c r="B18" i="17"/>
  <c r="B26" i="17"/>
  <c r="C10" i="17"/>
  <c r="C18" i="17"/>
  <c r="C26" i="17"/>
  <c r="D10" i="17"/>
  <c r="D18" i="17"/>
  <c r="D26" i="17"/>
  <c r="E10" i="17"/>
  <c r="E18" i="17"/>
  <c r="E26" i="17"/>
  <c r="F10" i="17"/>
  <c r="F18" i="17"/>
  <c r="F26" i="17"/>
  <c r="G10" i="17"/>
  <c r="G18" i="17"/>
  <c r="G26" i="17"/>
  <c r="H10" i="17"/>
  <c r="H18" i="17"/>
  <c r="H26" i="17"/>
  <c r="J10" i="17"/>
  <c r="J18" i="17"/>
  <c r="J26" i="17"/>
  <c r="K10" i="17"/>
  <c r="K18" i="17"/>
  <c r="K26" i="17"/>
  <c r="L10" i="17"/>
  <c r="L18" i="17"/>
  <c r="L26" i="17"/>
  <c r="M10" i="17"/>
  <c r="M18" i="17"/>
  <c r="M26" i="17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<sst xmlns="http://schemas.openxmlformats.org/spreadsheetml/2006/main" count="1843" uniqueCount="204">
  <si>
    <t>Lotto Imballo</t>
  </si>
  <si>
    <t>Calibro</t>
  </si>
  <si>
    <t>Tipo Imballo</t>
  </si>
  <si>
    <t>Stato</t>
  </si>
  <si>
    <t>9/11</t>
  </si>
  <si>
    <t>DISPONIBILE</t>
  </si>
  <si>
    <t>11/13</t>
  </si>
  <si>
    <t>13/15</t>
  </si>
  <si>
    <t>ROTTAME</t>
  </si>
  <si>
    <t>Contratto</t>
  </si>
  <si>
    <t>Cliente</t>
  </si>
  <si>
    <t>Quantità</t>
  </si>
  <si>
    <t>Lotto Nocciole</t>
  </si>
  <si>
    <t>BIG BAG N°2</t>
  </si>
  <si>
    <t>BIG BAG N°3</t>
  </si>
  <si>
    <t>BIG BAG N°1</t>
  </si>
  <si>
    <t>ESAURITO</t>
  </si>
  <si>
    <t>Colonna1</t>
  </si>
  <si>
    <t>BIOSIC</t>
  </si>
  <si>
    <t>ENTRATA</t>
  </si>
  <si>
    <t>USCITA</t>
  </si>
  <si>
    <t>Magazzino</t>
  </si>
  <si>
    <t>Soriano</t>
  </si>
  <si>
    <t>Vignanello</t>
  </si>
  <si>
    <t>Caprarola</t>
  </si>
  <si>
    <t>Fabrica</t>
  </si>
  <si>
    <t>M.V</t>
  </si>
  <si>
    <t>M.O.</t>
  </si>
  <si>
    <t>C.V.</t>
  </si>
  <si>
    <t>C.O.</t>
  </si>
  <si>
    <t>C.E.</t>
  </si>
  <si>
    <t>Anno P.</t>
  </si>
  <si>
    <t>Set. P.</t>
  </si>
  <si>
    <t>Quantità Disp.</t>
  </si>
  <si>
    <t>Totale complessivo</t>
  </si>
  <si>
    <t>magazzino</t>
  </si>
  <si>
    <t>NON CANCELLARE</t>
  </si>
  <si>
    <t>Qualità</t>
  </si>
  <si>
    <t>Fascia qualità</t>
  </si>
  <si>
    <t>SO112024</t>
  </si>
  <si>
    <t>BIG BAG N°4</t>
  </si>
  <si>
    <t>BIG BAG N°5</t>
  </si>
  <si>
    <t>BIG BAG N°6</t>
  </si>
  <si>
    <t>BIG BAG N°7</t>
  </si>
  <si>
    <t>BIG BAG N°8</t>
  </si>
  <si>
    <t>BIG BAG N°9</t>
  </si>
  <si>
    <t>BIG BAG N°10</t>
  </si>
  <si>
    <t>BIG BAG N°11</t>
  </si>
  <si>
    <t>BIG BAG N°12</t>
  </si>
  <si>
    <t>BIG BAG N°13</t>
  </si>
  <si>
    <t>BIG BAG N°14</t>
  </si>
  <si>
    <t>SO022025</t>
  </si>
  <si>
    <t>FA01/2025</t>
  </si>
  <si>
    <t>SO102024</t>
  </si>
  <si>
    <t>BIG BAG N° 2</t>
  </si>
  <si>
    <t>BIG BAG N° 5</t>
  </si>
  <si>
    <t>SANTANIELLO</t>
  </si>
  <si>
    <t>BIG BAG N°15</t>
  </si>
  <si>
    <t>BIG BAG N°16</t>
  </si>
  <si>
    <t>BIG BAG N°17</t>
  </si>
  <si>
    <t>BIG BAG N°22</t>
  </si>
  <si>
    <t>BIG BAG N°18</t>
  </si>
  <si>
    <t>BIG BAG N°</t>
  </si>
  <si>
    <t>BIG BAG N°29</t>
  </si>
  <si>
    <t>BIG BAG N°30</t>
  </si>
  <si>
    <t>BIG BAG N°37</t>
  </si>
  <si>
    <t>BIG BAG N°42</t>
  </si>
  <si>
    <t>BIG BAG N°49</t>
  </si>
  <si>
    <t>BIG BAG N°53</t>
  </si>
  <si>
    <t>BIG BAG N°19</t>
  </si>
  <si>
    <t>BIG BAG N°20</t>
  </si>
  <si>
    <t>BIG BAG N°24</t>
  </si>
  <si>
    <t>BIG BAG N°35</t>
  </si>
  <si>
    <t>SCARTI</t>
  </si>
  <si>
    <t>ITALNUX</t>
  </si>
  <si>
    <t>PASTA</t>
  </si>
  <si>
    <t>BIOLOGICHE</t>
  </si>
  <si>
    <t>BIG03/2024</t>
  </si>
  <si>
    <t>S124/2024</t>
  </si>
  <si>
    <t>BIG05/2024</t>
  </si>
  <si>
    <t>S122A/2024</t>
  </si>
  <si>
    <t>685-88</t>
  </si>
  <si>
    <t>BIG01/2025</t>
  </si>
  <si>
    <t>S102/2025</t>
  </si>
  <si>
    <t>40</t>
  </si>
  <si>
    <t>50</t>
  </si>
  <si>
    <t>2025</t>
  </si>
  <si>
    <t>VENTILATO</t>
  </si>
  <si>
    <t>Descrizione 1</t>
  </si>
  <si>
    <t>Descrizione 2</t>
  </si>
  <si>
    <t>Descrizione 4</t>
  </si>
  <si>
    <t>CONVENZIONALI</t>
  </si>
  <si>
    <t>SGUSCIATE</t>
  </si>
  <si>
    <t>DA SCEGLIERE</t>
  </si>
  <si>
    <t>GRANDE</t>
  </si>
  <si>
    <t>TIPO 2</t>
  </si>
  <si>
    <t>TIPO 1</t>
  </si>
  <si>
    <t>Descrizione 3</t>
  </si>
  <si>
    <t>FAIR FOR LIFE</t>
  </si>
  <si>
    <t>BIOSUISSE</t>
  </si>
  <si>
    <t xml:space="preserve">PICCOLO </t>
  </si>
  <si>
    <t>GRANELLA</t>
  </si>
  <si>
    <t xml:space="preserve">FARINA </t>
  </si>
  <si>
    <t>CONTRATTI APERTI</t>
  </si>
  <si>
    <t>APERTO</t>
  </si>
  <si>
    <t>Etichette di colonna</t>
  </si>
  <si>
    <t>Etichette di riga</t>
  </si>
  <si>
    <t>Somma di Residuo</t>
  </si>
  <si>
    <t>CONTRATTI DA ADEMPIERE</t>
  </si>
  <si>
    <t>Acquirente</t>
  </si>
  <si>
    <t>ASSEGNATO</t>
  </si>
  <si>
    <r>
      <rPr>
        <b/>
        <sz val="11"/>
        <rFont val="Calibri"/>
        <family val="2"/>
      </rPr>
      <t>5.</t>
    </r>
    <r>
      <rPr>
        <sz val="11"/>
        <rFont val="Calibri"/>
        <family val="2"/>
      </rPr>
      <t xml:space="preserve"> Quando si </t>
    </r>
    <r>
      <rPr>
        <b/>
        <sz val="11"/>
        <rFont val="Calibri"/>
        <family val="2"/>
      </rPr>
      <t>assegna</t>
    </r>
    <r>
      <rPr>
        <sz val="11"/>
        <rFont val="Calibri"/>
        <family val="2"/>
      </rPr>
      <t xml:space="preserve"> un lotto ad un cliente con o senza contratto è necessario indicare il contratto e/o il cliente nel foglio </t>
    </r>
    <r>
      <rPr>
        <b/>
        <sz val="11"/>
        <rFont val="Calibri"/>
        <family val="2"/>
      </rPr>
      <t>LOTTI_MAGAZZINO</t>
    </r>
  </si>
  <si>
    <t>Benvenuto nel file Gestione Magazzino Nocciole</t>
  </si>
  <si>
    <t>45</t>
  </si>
  <si>
    <t>46</t>
  </si>
  <si>
    <t>47</t>
  </si>
  <si>
    <t>48</t>
  </si>
  <si>
    <t>05</t>
  </si>
  <si>
    <t>07</t>
  </si>
  <si>
    <t>42</t>
  </si>
  <si>
    <t>43</t>
  </si>
  <si>
    <t>44</t>
  </si>
  <si>
    <t>SCELTO</t>
  </si>
  <si>
    <t>BIG BAG N° 7</t>
  </si>
  <si>
    <r>
      <rPr>
        <b/>
        <sz val="11"/>
        <rFont val="Calibri"/>
        <family val="2"/>
      </rPr>
      <t xml:space="preserve">4. </t>
    </r>
    <r>
      <rPr>
        <sz val="11"/>
        <rFont val="Calibri"/>
        <family val="2"/>
      </rPr>
      <t xml:space="preserve">Per ricercare un lotto selezionare il foglio </t>
    </r>
    <r>
      <rPr>
        <b/>
        <sz val="11"/>
        <rFont val="Calibri"/>
        <family val="2"/>
      </rPr>
      <t xml:space="preserve">RICERCA_LOTTI </t>
    </r>
    <r>
      <rPr>
        <sz val="11"/>
        <rFont val="Calibri"/>
        <family val="2"/>
      </rPr>
      <t xml:space="preserve">e impostare i criteri di ricerca. </t>
    </r>
  </si>
  <si>
    <t>S103/2025</t>
  </si>
  <si>
    <t>SEMI NERI</t>
  </si>
  <si>
    <r>
      <rPr>
        <b/>
        <sz val="11"/>
        <rFont val="Calibri"/>
        <family val="2"/>
      </rPr>
      <t>2.</t>
    </r>
    <r>
      <rPr>
        <sz val="11"/>
        <rFont val="Calibri"/>
        <family val="2"/>
      </rPr>
      <t xml:space="preserve"> Per i movimenti in </t>
    </r>
    <r>
      <rPr>
        <b/>
        <sz val="11"/>
        <rFont val="Calibri"/>
        <family val="2"/>
      </rPr>
      <t>uscita</t>
    </r>
    <r>
      <rPr>
        <sz val="11"/>
        <rFont val="Calibri"/>
        <family val="2"/>
      </rPr>
      <t xml:space="preserve"> basta inserire le informazioni dalla colonna F alla colonna M, il resto </t>
    </r>
    <r>
      <rPr>
        <b/>
        <sz val="11"/>
        <rFont val="Calibri"/>
        <family val="2"/>
      </rPr>
      <t>non</t>
    </r>
    <r>
      <rPr>
        <sz val="11"/>
        <rFont val="Calibri"/>
        <family val="2"/>
      </rPr>
      <t xml:space="preserve"> è necessario</t>
    </r>
  </si>
  <si>
    <r>
      <rPr>
        <b/>
        <sz val="11"/>
        <rFont val="Calibri"/>
        <family val="2"/>
      </rPr>
      <t>3.</t>
    </r>
    <r>
      <rPr>
        <sz val="11"/>
        <rFont val="Calibri"/>
        <family val="2"/>
      </rPr>
      <t xml:space="preserve"> Ogni volta che si </t>
    </r>
    <r>
      <rPr>
        <b/>
        <sz val="11"/>
        <rFont val="Calibri"/>
        <family val="2"/>
      </rPr>
      <t>aggiungono</t>
    </r>
    <r>
      <rPr>
        <sz val="11"/>
        <rFont val="Calibri"/>
        <family val="2"/>
      </rPr>
      <t xml:space="preserve"> dei movimenti è necessario aggiornare il magazzino cliccando il pulsante </t>
    </r>
    <r>
      <rPr>
        <b/>
        <sz val="11"/>
        <rFont val="Calibri"/>
        <family val="2"/>
      </rPr>
      <t>Aggiorna magazzino</t>
    </r>
  </si>
  <si>
    <r>
      <t xml:space="preserve">    cliccare </t>
    </r>
    <r>
      <rPr>
        <b/>
        <sz val="11"/>
        <rFont val="Calibri"/>
        <family val="2"/>
      </rPr>
      <t>Vai alla riga</t>
    </r>
    <r>
      <rPr>
        <sz val="11"/>
        <rFont val="Calibri"/>
        <family val="2"/>
      </rPr>
      <t>.  Anche in questo caso si deve aggiornare il Magazzino.</t>
    </r>
  </si>
  <si>
    <r>
      <rPr>
        <b/>
        <sz val="11"/>
        <rFont val="Calibri"/>
        <family val="2"/>
      </rPr>
      <t xml:space="preserve">6. </t>
    </r>
    <r>
      <rPr>
        <sz val="11"/>
        <rFont val="Calibri"/>
        <family val="2"/>
      </rPr>
      <t xml:space="preserve">Se si devono apportare delle </t>
    </r>
    <r>
      <rPr>
        <b/>
        <sz val="11"/>
        <rFont val="Calibri"/>
        <family val="2"/>
      </rPr>
      <t>modifiche</t>
    </r>
    <r>
      <rPr>
        <sz val="11"/>
        <rFont val="Calibri"/>
        <family val="2"/>
      </rPr>
      <t xml:space="preserve"> a dei dati già inseriti si può farlo nel foglio </t>
    </r>
    <r>
      <rPr>
        <b/>
        <sz val="11"/>
        <rFont val="Calibri"/>
        <family val="2"/>
      </rPr>
      <t>LOTTI_MAGAZZINO</t>
    </r>
    <r>
      <rPr>
        <sz val="11"/>
        <rFont val="Calibri"/>
        <family val="2"/>
      </rPr>
      <t xml:space="preserve"> e poi aggiornare.</t>
    </r>
  </si>
  <si>
    <t>CONTRATTO</t>
  </si>
  <si>
    <r>
      <rPr>
        <b/>
        <sz val="11"/>
        <rFont val="Calibri"/>
        <family val="2"/>
      </rPr>
      <t>7.</t>
    </r>
    <r>
      <rPr>
        <sz val="11"/>
        <rFont val="Calibri"/>
        <family val="2"/>
      </rPr>
      <t xml:space="preserve"> Per conoscere i movimenti che hanno movimentato i contratti utilizzare il foglio </t>
    </r>
    <r>
      <rPr>
        <b/>
        <sz val="11"/>
        <rFont val="Calibri"/>
        <family val="2"/>
      </rPr>
      <t>RICERCA_CONTRATTI.</t>
    </r>
  </si>
  <si>
    <t>(Tutto)</t>
  </si>
  <si>
    <t>DISPONIBILITA'</t>
  </si>
  <si>
    <t>Mov.</t>
  </si>
  <si>
    <t>Descrizione           1</t>
  </si>
  <si>
    <t>Descrizione           3</t>
  </si>
  <si>
    <t>Descrizione           4</t>
  </si>
  <si>
    <t>Somma di Q. Disp.</t>
  </si>
  <si>
    <t xml:space="preserve">    tutti i valori sono selezionati.</t>
  </si>
  <si>
    <r>
      <rPr>
        <b/>
        <sz val="11"/>
        <rFont val="Calibri"/>
        <family val="2"/>
      </rPr>
      <t>1.</t>
    </r>
    <r>
      <rPr>
        <sz val="11"/>
        <rFont val="Calibri"/>
        <family val="2"/>
      </rPr>
      <t xml:space="preserve"> Inserisci ogni movimentazione in </t>
    </r>
    <r>
      <rPr>
        <b/>
        <sz val="11"/>
        <rFont val="Calibri"/>
        <family val="2"/>
      </rPr>
      <t>entrata o in uscita</t>
    </r>
    <r>
      <rPr>
        <sz val="11"/>
        <rFont val="Calibri"/>
        <family val="2"/>
      </rPr>
      <t xml:space="preserve"> del magazzino nel foglio </t>
    </r>
    <r>
      <rPr>
        <b/>
        <sz val="11"/>
        <rFont val="Calibri"/>
        <family val="2"/>
      </rPr>
      <t>MOVIEMENTI_MAGAZZINO</t>
    </r>
  </si>
  <si>
    <r>
      <t xml:space="preserve">    Per agevolare la selezione della riga nel foglio </t>
    </r>
    <r>
      <rPr>
        <b/>
        <sz val="11"/>
        <rFont val="Calibri"/>
        <family val="2"/>
      </rPr>
      <t xml:space="preserve">LOTTI_MAGAZZINO </t>
    </r>
    <r>
      <rPr>
        <sz val="11"/>
        <rFont val="Calibri"/>
        <family val="2"/>
      </rPr>
      <t>basta selezionare la cella del lotto desiderato nel foglio di ricerca e</t>
    </r>
  </si>
  <si>
    <r>
      <rPr>
        <b/>
        <sz val="11"/>
        <rFont val="Calibri"/>
        <family val="2"/>
      </rPr>
      <t>8.</t>
    </r>
    <r>
      <rPr>
        <sz val="11"/>
        <rFont val="Calibri"/>
        <family val="2"/>
      </rPr>
      <t xml:space="preserve"> Nel foglio </t>
    </r>
    <r>
      <rPr>
        <b/>
        <sz val="11"/>
        <rFont val="Calibri"/>
        <family val="2"/>
      </rPr>
      <t>TABELLE</t>
    </r>
    <r>
      <rPr>
        <sz val="11"/>
        <rFont val="Calibri"/>
        <family val="2"/>
      </rPr>
      <t xml:space="preserve"> sono presenti le tabelle pivot per analizzare la situazione corrente. </t>
    </r>
    <r>
      <rPr>
        <b/>
        <sz val="11"/>
        <rFont val="Calibri"/>
        <family val="2"/>
      </rPr>
      <t>Nota bene</t>
    </r>
    <r>
      <rPr>
        <sz val="11"/>
        <rFont val="Calibri"/>
        <family val="2"/>
      </rPr>
      <t>: ricordarsi di controllare se nei filtri</t>
    </r>
  </si>
  <si>
    <r>
      <rPr>
        <b/>
        <sz val="11"/>
        <rFont val="Calibri"/>
        <family val="2"/>
      </rPr>
      <t>9.</t>
    </r>
    <r>
      <rPr>
        <sz val="11"/>
        <rFont val="Calibri"/>
        <family val="2"/>
      </rPr>
      <t xml:space="preserve"> Nel foglio </t>
    </r>
    <r>
      <rPr>
        <b/>
        <sz val="11"/>
        <rFont val="Calibri"/>
        <family val="2"/>
      </rPr>
      <t>DASHBOARD</t>
    </r>
    <r>
      <rPr>
        <sz val="11"/>
        <rFont val="Calibri"/>
        <family val="2"/>
      </rPr>
      <t xml:space="preserve"> sono presenti i grafici pivot per analizzare la situazione corrente delle disponibilità di magazzino e dei contratti. </t>
    </r>
    <r>
      <rPr>
        <b/>
        <sz val="11"/>
        <rFont val="Calibri"/>
        <family val="2"/>
      </rPr>
      <t xml:space="preserve">Nota bene: </t>
    </r>
    <r>
      <rPr>
        <sz val="11"/>
        <rFont val="Calibri"/>
        <family val="2"/>
      </rPr>
      <t>ricordarsi di controllare se nei filtri tutti i valori sono selezionati.</t>
    </r>
  </si>
  <si>
    <r>
      <rPr>
        <b/>
        <sz val="11"/>
        <color theme="1"/>
        <rFont val="Calibri"/>
        <family val="2"/>
        <scheme val="minor"/>
      </rPr>
      <t>10.</t>
    </r>
    <r>
      <rPr>
        <sz val="11"/>
        <color theme="1"/>
        <rFont val="Calibri"/>
        <family val="2"/>
        <scheme val="minor"/>
      </rPr>
      <t xml:space="preserve"> Il tasto Backup salva una copia del file in una cartella predefinita. ( Effettuare almeno una volta la settimana )</t>
    </r>
  </si>
  <si>
    <t>BIG02/2025</t>
  </si>
  <si>
    <t>TRASFERIMENTO</t>
  </si>
  <si>
    <t>GIFFONI</t>
  </si>
  <si>
    <t>Tipo</t>
  </si>
  <si>
    <t>Data</t>
  </si>
  <si>
    <t>Desc1</t>
  </si>
  <si>
    <t>Desc2</t>
  </si>
  <si>
    <t>Desc3</t>
  </si>
  <si>
    <t>Qta</t>
  </si>
  <si>
    <t>Tipologia</t>
  </si>
  <si>
    <t>ACQUIRENTE</t>
  </si>
  <si>
    <t>ACQUIRENTI</t>
  </si>
  <si>
    <t>S120/2025</t>
  </si>
  <si>
    <t>S106/2025</t>
  </si>
  <si>
    <t>S121/2025</t>
  </si>
  <si>
    <t>VARI1</t>
  </si>
  <si>
    <t>VARI2</t>
  </si>
  <si>
    <t>2026</t>
  </si>
  <si>
    <t>10</t>
  </si>
  <si>
    <t>S104/2025</t>
  </si>
  <si>
    <t>12</t>
  </si>
  <si>
    <t>BIG03/2025</t>
  </si>
  <si>
    <t>S105/2025</t>
  </si>
  <si>
    <t>BIG BAG N° 1</t>
  </si>
  <si>
    <t>BIG BAG N° 11</t>
  </si>
  <si>
    <t>BIG BAG N° 12</t>
  </si>
  <si>
    <t>BIG BAG N° 13</t>
  </si>
  <si>
    <t>BIG BAG N° 3</t>
  </si>
  <si>
    <t>BIG BAG N° 4</t>
  </si>
  <si>
    <t>BIG BAG N° 6</t>
  </si>
  <si>
    <t>BIG BAG N° 8</t>
  </si>
  <si>
    <t>BIG BAG N° 9</t>
  </si>
  <si>
    <t>BIG BAG N° 10</t>
  </si>
  <si>
    <t>BIG BAG N° 15</t>
  </si>
  <si>
    <t>BIG BAG N° 16</t>
  </si>
  <si>
    <t>BIG BAG N° 14</t>
  </si>
  <si>
    <t>S101/2025</t>
  </si>
  <si>
    <t>S103/2026</t>
  </si>
  <si>
    <t>S104/2026</t>
  </si>
  <si>
    <t>SO122025</t>
  </si>
  <si>
    <t>FA10/2025</t>
  </si>
  <si>
    <t>FA11/2025</t>
  </si>
  <si>
    <t>49</t>
  </si>
  <si>
    <t>FA12/2025</t>
  </si>
  <si>
    <t>SO112025</t>
  </si>
  <si>
    <t>BIG BAG N°21</t>
  </si>
  <si>
    <t>BIG BAG N°28</t>
  </si>
  <si>
    <t>BIG BAG N°32</t>
  </si>
  <si>
    <t>BIG BAG N°33</t>
  </si>
  <si>
    <t>BIG BAG N°34</t>
  </si>
  <si>
    <t>BIG BAG N°39</t>
  </si>
  <si>
    <t>BIG BAG N°40</t>
  </si>
  <si>
    <t>BIG BAG N°41</t>
  </si>
  <si>
    <t>BIG BAG N°43</t>
  </si>
  <si>
    <t>SBSS125/2025</t>
  </si>
  <si>
    <t>Descrizione                    2</t>
  </si>
  <si>
    <t>Q. iniz</t>
  </si>
  <si>
    <t xml:space="preserve">Contratto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</si>
</sst>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_(* #,##0.00_);_(* \(#,##0.00\);_(* &quot;-&quot;??_);_(@_)"/>
    <numFmt numFmtId="166" formatCode="_-* #,##0_-;\-* #,##0_-;_-* &quot;-&quot;??_-;_-@_-"/>
    <numFmt numFmtId="167" formatCode="_(* #,##0_);_(* \(#,##0\);_(* &quot;-&quot;??_);_(@_)"/>
  </numFmts>
  <fonts count="20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name val="Arial"/>
      <family val="2"/>
    </font>
    <font>
      <sz val="11"/>
      <color rgb="FF000000"/>
      <name val="Calibri"/>
      <family val="2"/>
    </font>
    <font>
      <b/>
      <sz val="11"/>
      <color theme="1"/>
      <name val="Arial"/>
      <family val="2"/>
    </font>
    <font>
      <b/>
      <sz val="12"/>
      <name val="Arial"/>
      <family val="2"/>
    </font>
    <font>
      <b/>
      <sz val="11"/>
      <color rgb="FF000000"/>
      <name val="Arial"/>
      <family val="2"/>
    </font>
    <font>
      <sz val="18"/>
      <color rgb="FF008000"/>
      <name val="Cascadia Code"/>
      <charset val="1"/>
    </font>
    <font>
      <sz val="14"/>
      <color rgb="FF008000"/>
      <name val="Cascadia Code"/>
      <charset val="1"/>
    </font>
  </fonts>
  <fills count="6">
    <fill>
      <patternFill patternType="none"/>
    </fill>
    <fill>
      <patternFill patternType="gray125"/>
    </fill>
    <fill>
      <patternFill patternType="solid">
        <fgColor rgb="FF4F81BD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FF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n">
        <color auto="1"/>
      </bottom>
      <diagonal/>
    </border>
    <border>
      <left/>
      <right style="thick">
        <color rgb="FFFF0000"/>
      </right>
      <top/>
      <bottom style="thin">
        <color auto="1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3">
    <xf numFmtId="0" fontId="0" fillId="0" borderId="0"/>
    <xf numFmtId="165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166">
    <xf numFmtId="0" fontId="0" fillId="0" borderId="0" xfId="0"/>
    <xf numFmtId="0" fontId="2" fillId="0" borderId="0" xfId="0" applyFont="1"/>
    <xf numFmtId="0" fontId="3" fillId="0" borderId="0" xfId="0" applyFont="1"/>
    <xf numFmtId="0" fontId="5" fillId="0" borderId="1" xfId="0" applyFont="1" applyBorder="1"/>
    <xf numFmtId="0" fontId="7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7" fontId="6" fillId="0" borderId="1" xfId="0" quotePrefix="1" applyNumberFormat="1" applyFont="1" applyBorder="1"/>
    <xf numFmtId="17" fontId="7" fillId="0" borderId="1" xfId="0" quotePrefix="1" applyNumberFormat="1" applyFont="1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14" fontId="0" fillId="0" borderId="1" xfId="0" applyNumberFormat="1" applyBorder="1"/>
    <xf numFmtId="0" fontId="1" fillId="2" borderId="1" xfId="0" applyFont="1" applyFill="1" applyBorder="1" applyAlignment="1">
      <alignment vertical="center"/>
    </xf>
    <xf numFmtId="49" fontId="8" fillId="0" borderId="1" xfId="0" applyNumberFormat="1" applyFont="1" applyBorder="1" applyAlignment="1">
      <alignment horizontal="center"/>
    </xf>
    <xf numFmtId="166" fontId="5" fillId="0" borderId="1" xfId="1" applyNumberFormat="1" applyFont="1" applyBorder="1" applyAlignment="1">
      <alignment horizontal="center" vertical="center" wrapText="1"/>
    </xf>
    <xf numFmtId="49" fontId="0" fillId="0" borderId="1" xfId="0" applyNumberFormat="1" applyBorder="1"/>
    <xf numFmtId="1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14" fontId="0" fillId="0" borderId="1" xfId="0" applyNumberFormat="1" applyBorder="1" applyAlignment="1">
      <alignment vertical="center"/>
    </xf>
    <xf numFmtId="49" fontId="0" fillId="0" borderId="1" xfId="0" applyNumberFormat="1" applyBorder="1" applyAlignment="1">
      <alignment horizontal="center"/>
    </xf>
    <xf numFmtId="166" fontId="0" fillId="0" borderId="1" xfId="1" applyNumberFormat="1" applyFont="1" applyBorder="1"/>
    <xf numFmtId="0" fontId="0" fillId="0" borderId="1" xfId="0" applyBorder="1" applyAlignment="1">
      <alignment horizontal="left"/>
    </xf>
    <xf numFmtId="17" fontId="0" fillId="0" borderId="1" xfId="0" applyNumberFormat="1" applyBorder="1" applyAlignment="1">
      <alignment horizontal="right" vertical="center"/>
    </xf>
    <xf numFmtId="10" fontId="0" fillId="0" borderId="1" xfId="0" applyNumberFormat="1" applyBorder="1"/>
    <xf numFmtId="10" fontId="8" fillId="3" borderId="1" xfId="1" applyNumberFormat="1" applyFont="1" applyFill="1" applyBorder="1" applyAlignment="1">
      <alignment horizontal="right"/>
    </xf>
    <xf numFmtId="10" fontId="7" fillId="0" borderId="3" xfId="0" applyNumberFormat="1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5" xfId="0" applyBorder="1"/>
    <xf numFmtId="0" fontId="7" fillId="0" borderId="4" xfId="0" applyFont="1" applyBorder="1" applyAlignment="1">
      <alignment horizontal="center"/>
    </xf>
    <xf numFmtId="167" fontId="0" fillId="0" borderId="1" xfId="1" applyNumberFormat="1" applyFont="1" applyBorder="1"/>
    <xf numFmtId="167" fontId="9" fillId="0" borderId="1" xfId="1" applyNumberFormat="1" applyFont="1" applyBorder="1"/>
    <xf numFmtId="0" fontId="3" fillId="0" borderId="0" xfId="0" applyFont="1" applyAlignment="1">
      <alignment horizontal="left"/>
    </xf>
    <xf numFmtId="49" fontId="1" fillId="2" borderId="2" xfId="0" applyNumberFormat="1" applyFont="1" applyFill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8" fillId="0" borderId="1" xfId="0" quotePrefix="1" applyFont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167" fontId="0" fillId="0" borderId="1" xfId="0" applyNumberFormat="1" applyBorder="1"/>
    <xf numFmtId="0" fontId="0" fillId="0" borderId="1" xfId="0" applyBorder="1" applyAlignment="1">
      <alignment horizontal="left" indent="1"/>
    </xf>
    <xf numFmtId="0" fontId="1" fillId="2" borderId="1" xfId="0" applyFont="1" applyFill="1" applyBorder="1" applyAlignment="1">
      <alignment horizontal="left" vertical="center"/>
    </xf>
    <xf numFmtId="167" fontId="0" fillId="0" borderId="0" xfId="0" applyNumberFormat="1"/>
    <xf numFmtId="0" fontId="0" fillId="0" borderId="0" xfId="0" applyAlignment="1">
      <alignment horizontal="center"/>
    </xf>
    <xf numFmtId="0" fontId="0" fillId="0" borderId="1" xfId="0" pivotButton="1" applyBorder="1" applyAlignment="1">
      <alignment horizontal="left" vertical="center"/>
    </xf>
    <xf numFmtId="17" fontId="5" fillId="0" borderId="13" xfId="0" quotePrefix="1" applyNumberFormat="1" applyFont="1" applyBorder="1"/>
    <xf numFmtId="0" fontId="8" fillId="3" borderId="1" xfId="0" applyFont="1" applyFill="1" applyBorder="1"/>
    <xf numFmtId="0" fontId="8" fillId="3" borderId="3" xfId="0" applyFont="1" applyFill="1" applyBorder="1"/>
    <xf numFmtId="0" fontId="8" fillId="3" borderId="7" xfId="0" applyFont="1" applyFill="1" applyBorder="1"/>
    <xf numFmtId="0" fontId="0" fillId="0" borderId="14" xfId="0" applyBorder="1"/>
    <xf numFmtId="10" fontId="7" fillId="0" borderId="1" xfId="0" applyNumberFormat="1" applyFont="1" applyBorder="1" applyAlignment="1">
      <alignment horizontal="center" wrapText="1"/>
    </xf>
    <xf numFmtId="9" fontId="7" fillId="0" borderId="1" xfId="0" applyNumberFormat="1" applyFont="1" applyBorder="1" applyAlignment="1">
      <alignment horizontal="center" wrapText="1"/>
    </xf>
    <xf numFmtId="10" fontId="7" fillId="0" borderId="1" xfId="0" applyNumberFormat="1" applyFont="1" applyBorder="1" applyAlignment="1">
      <alignment horizontal="center"/>
    </xf>
    <xf numFmtId="17" fontId="0" fillId="0" borderId="0" xfId="0" quotePrefix="1" applyNumberFormat="1"/>
    <xf numFmtId="14" fontId="0" fillId="0" borderId="0" xfId="0" applyNumberFormat="1"/>
    <xf numFmtId="0" fontId="0" fillId="0" borderId="0" xfId="0" quotePrefix="1"/>
    <xf numFmtId="0" fontId="0" fillId="0" borderId="0" xfId="0" applyAlignment="1">
      <alignment horizontal="right"/>
    </xf>
    <xf numFmtId="0" fontId="11" fillId="0" borderId="0" xfId="0" applyFont="1" applyAlignment="1">
      <alignment horizontal="center" vertical="center"/>
    </xf>
    <xf numFmtId="0" fontId="0" fillId="0" borderId="14" xfId="0" pivotButton="1" applyBorder="1"/>
    <xf numFmtId="0" fontId="0" fillId="0" borderId="5" xfId="0" pivotButton="1" applyBorder="1"/>
    <xf numFmtId="0" fontId="0" fillId="0" borderId="5" xfId="0" applyBorder="1" applyAlignment="1">
      <alignment horizontal="left"/>
    </xf>
    <xf numFmtId="167" fontId="0" fillId="0" borderId="6" xfId="0" applyNumberFormat="1" applyBorder="1"/>
    <xf numFmtId="167" fontId="0" fillId="0" borderId="14" xfId="0" applyNumberFormat="1" applyBorder="1"/>
    <xf numFmtId="0" fontId="0" fillId="0" borderId="14" xfId="0" applyBorder="1" applyAlignment="1">
      <alignment horizontal="left"/>
    </xf>
    <xf numFmtId="0" fontId="0" fillId="0" borderId="14" xfId="0" applyBorder="1" applyAlignment="1">
      <alignment horizontal="center"/>
    </xf>
    <xf numFmtId="17" fontId="8" fillId="0" borderId="1" xfId="0" quotePrefix="1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3" xfId="0" applyFont="1" applyBorder="1"/>
    <xf numFmtId="2" fontId="0" fillId="0" borderId="1" xfId="0" applyNumberFormat="1" applyBorder="1"/>
    <xf numFmtId="9" fontId="7" fillId="0" borderId="1" xfId="2" applyFont="1" applyBorder="1" applyAlignment="1">
      <alignment horizontal="center"/>
    </xf>
    <xf numFmtId="0" fontId="13" fillId="3" borderId="1" xfId="0" applyFont="1" applyFill="1" applyBorder="1"/>
    <xf numFmtId="0" fontId="13" fillId="3" borderId="3" xfId="0" applyFont="1" applyFill="1" applyBorder="1"/>
    <xf numFmtId="0" fontId="13" fillId="3" borderId="7" xfId="0" applyFont="1" applyFill="1" applyBorder="1"/>
    <xf numFmtId="0" fontId="8" fillId="3" borderId="13" xfId="0" applyFont="1" applyFill="1" applyBorder="1"/>
    <xf numFmtId="0" fontId="9" fillId="0" borderId="1" xfId="0" applyFont="1" applyBorder="1"/>
    <xf numFmtId="0" fontId="0" fillId="0" borderId="1" xfId="0" pivotButton="1" applyBorder="1"/>
    <xf numFmtId="10" fontId="0" fillId="0" borderId="0" xfId="2" applyNumberFormat="1" applyFont="1"/>
    <xf numFmtId="10" fontId="0" fillId="0" borderId="5" xfId="2" applyNumberFormat="1" applyFont="1" applyBorder="1"/>
    <xf numFmtId="10" fontId="7" fillId="0" borderId="3" xfId="2" applyNumberFormat="1" applyFont="1" applyBorder="1" applyAlignment="1">
      <alignment horizontal="center"/>
    </xf>
    <xf numFmtId="9" fontId="0" fillId="0" borderId="0" xfId="2" applyFont="1"/>
    <xf numFmtId="10" fontId="7" fillId="0" borderId="1" xfId="2" applyNumberFormat="1" applyFont="1" applyBorder="1" applyAlignment="1">
      <alignment horizontal="center"/>
    </xf>
    <xf numFmtId="10" fontId="0" fillId="0" borderId="1" xfId="2" applyNumberFormat="1" applyFont="1" applyBorder="1"/>
    <xf numFmtId="49" fontId="9" fillId="0" borderId="0" xfId="0" applyNumberFormat="1" applyFont="1"/>
    <xf numFmtId="0" fontId="0" fillId="0" borderId="18" xfId="0" applyBorder="1"/>
    <xf numFmtId="0" fontId="0" fillId="0" borderId="19" xfId="0" applyBorder="1"/>
    <xf numFmtId="0" fontId="9" fillId="0" borderId="19" xfId="0" applyFont="1" applyBorder="1"/>
    <xf numFmtId="0" fontId="13" fillId="3" borderId="22" xfId="0" applyFont="1" applyFill="1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10" fontId="4" fillId="0" borderId="5" xfId="2" applyNumberFormat="1" applyFont="1" applyBorder="1"/>
    <xf numFmtId="0" fontId="9" fillId="0" borderId="1" xfId="0" applyFont="1" applyBorder="1" applyAlignment="1">
      <alignment horizontal="left"/>
    </xf>
    <xf numFmtId="14" fontId="0" fillId="0" borderId="1" xfId="0" applyNumberFormat="1" applyBorder="1" applyAlignment="1">
      <alignment horizontal="left"/>
    </xf>
    <xf numFmtId="17" fontId="5" fillId="0" borderId="1" xfId="0" quotePrefix="1" applyNumberFormat="1" applyFont="1" applyBorder="1"/>
    <xf numFmtId="49" fontId="5" fillId="0" borderId="1" xfId="0" applyNumberFormat="1" applyFont="1" applyBorder="1"/>
    <xf numFmtId="0" fontId="0" fillId="0" borderId="10" xfId="0" pivotButton="1" applyBorder="1"/>
    <xf numFmtId="0" fontId="0" fillId="0" borderId="12" xfId="0" applyBorder="1"/>
    <xf numFmtId="0" fontId="11" fillId="4" borderId="10" xfId="0" applyFont="1" applyFill="1" applyBorder="1" applyAlignment="1">
      <alignment vertical="center"/>
    </xf>
    <xf numFmtId="0" fontId="11" fillId="4" borderId="12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10" fontId="1" fillId="2" borderId="1" xfId="2" applyNumberFormat="1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15" fillId="0" borderId="1" xfId="0" applyFont="1" applyBorder="1" applyAlignment="1">
      <alignment wrapText="1"/>
    </xf>
    <xf numFmtId="0" fontId="13" fillId="0" borderId="1" xfId="0" applyFont="1" applyBorder="1"/>
    <xf numFmtId="0" fontId="13" fillId="0" borderId="1" xfId="0" quotePrefix="1" applyFont="1" applyBorder="1"/>
    <xf numFmtId="166" fontId="15" fillId="0" borderId="1" xfId="1" applyNumberFormat="1" applyFont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right"/>
    </xf>
    <xf numFmtId="0" fontId="15" fillId="0" borderId="1" xfId="0" applyFont="1" applyBorder="1"/>
    <xf numFmtId="0" fontId="17" fillId="5" borderId="13" xfId="0" applyFont="1" applyFill="1" applyBorder="1" applyAlignment="1">
      <alignment horizontal="right" wrapText="1"/>
    </xf>
    <xf numFmtId="0" fontId="17" fillId="5" borderId="12" xfId="0" applyFont="1" applyFill="1" applyBorder="1" applyAlignment="1">
      <alignment horizontal="right" wrapText="1"/>
    </xf>
    <xf numFmtId="0" fontId="0" fillId="0" borderId="0" xfId="0" applyAlignment="1">
      <alignment horizontal="center" vertical="center"/>
    </xf>
    <xf numFmtId="0" fontId="7" fillId="0" borderId="1" xfId="0" applyFont="1" applyBorder="1" applyAlignment="1">
      <alignment horizontal="left"/>
    </xf>
    <xf numFmtId="16" fontId="0" fillId="0" borderId="1" xfId="0" applyNumberFormat="1" applyBorder="1"/>
    <xf numFmtId="1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164" fontId="0" fillId="0" borderId="1" xfId="1" applyNumberFormat="1" applyFont="1" applyBorder="1"/>
    <xf numFmtId="164" fontId="9" fillId="0" borderId="1" xfId="1" applyNumberFormat="1" applyFont="1" applyBorder="1"/>
    <xf numFmtId="49" fontId="0" fillId="0" borderId="0" xfId="0" applyNumberFormat="1"/>
    <xf numFmtId="17" fontId="6" fillId="0" borderId="13" xfId="0" quotePrefix="1" applyNumberFormat="1" applyFont="1" applyBorder="1"/>
    <xf numFmtId="0" fontId="0" fillId="0" borderId="1" xfId="0" applyNumberFormat="1" applyBorder="1"/>
    <xf numFmtId="17" fontId="5" fillId="0" borderId="1" xfId="0" quotePrefix="1" applyNumberFormat="1" applyFont="1" applyBorder="1" applyAlignment="1">
      <alignment horizontal="center"/>
    </xf>
    <xf numFmtId="17" fontId="7" fillId="0" borderId="13" xfId="0" quotePrefix="1" applyNumberFormat="1" applyFont="1" applyBorder="1"/>
    <xf numFmtId="0" fontId="5" fillId="0" borderId="1" xfId="0" applyFont="1" applyBorder="1" applyAlignment="1">
      <alignment wrapText="1"/>
    </xf>
    <xf numFmtId="10" fontId="7" fillId="0" borderId="1" xfId="2" applyNumberFormat="1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17" fontId="5" fillId="3" borderId="1" xfId="0" quotePrefix="1" applyNumberFormat="1" applyFont="1" applyFill="1" applyBorder="1" applyAlignment="1">
      <alignment horizontal="center"/>
    </xf>
    <xf numFmtId="17" fontId="5" fillId="3" borderId="1" xfId="0" applyNumberFormat="1" applyFont="1" applyFill="1" applyBorder="1"/>
    <xf numFmtId="0" fontId="8" fillId="3" borderId="1" xfId="0" applyFont="1" applyFill="1" applyBorder="1" applyAlignment="1">
      <alignment horizontal="center"/>
    </xf>
    <xf numFmtId="0" fontId="5" fillId="3" borderId="1" xfId="0" applyFont="1" applyFill="1" applyBorder="1"/>
    <xf numFmtId="0" fontId="5" fillId="0" borderId="13" xfId="0" applyFont="1" applyBorder="1" applyAlignment="1">
      <alignment horizontal="center"/>
    </xf>
    <xf numFmtId="0" fontId="5" fillId="0" borderId="1" xfId="0" applyFont="1" applyBorder="1" applyAlignment="1">
      <alignment horizontal="right" wrapText="1"/>
    </xf>
    <xf numFmtId="17" fontId="8" fillId="0" borderId="13" xfId="0" quotePrefix="1" applyNumberFormat="1" applyFont="1" applyBorder="1"/>
    <xf numFmtId="0" fontId="5" fillId="0" borderId="1" xfId="0" applyFont="1" applyBorder="1" applyAlignment="1">
      <alignment horizontal="right"/>
    </xf>
    <xf numFmtId="49" fontId="5" fillId="0" borderId="1" xfId="0" quotePrefix="1" applyNumberFormat="1" applyFont="1" applyBorder="1" applyAlignment="1">
      <alignment horizontal="center"/>
    </xf>
    <xf numFmtId="0" fontId="8" fillId="3" borderId="1" xfId="0" applyFont="1" applyFill="1" applyBorder="1" applyAlignment="1">
      <alignment horizontal="right"/>
    </xf>
    <xf numFmtId="10" fontId="7" fillId="3" borderId="1" xfId="0" applyNumberFormat="1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10" fontId="7" fillId="3" borderId="1" xfId="2" applyNumberFormat="1" applyFont="1" applyFill="1" applyBorder="1" applyAlignment="1">
      <alignment horizontal="center"/>
    </xf>
    <xf numFmtId="0" fontId="8" fillId="0" borderId="1" xfId="0" applyFont="1" applyBorder="1"/>
    <xf numFmtId="0" fontId="8" fillId="0" borderId="1" xfId="0" applyFont="1" applyBorder="1" applyAlignment="1">
      <alignment horizontal="right"/>
    </xf>
    <xf numFmtId="0" fontId="0" fillId="0" borderId="0" xfId="0"/>
    <xf numFmtId="0" fontId="11" fillId="4" borderId="2" xfId="0" applyFont="1" applyFill="1" applyBorder="1" applyAlignment="1">
      <alignment horizontal="center" vertical="center"/>
    </xf>
    <xf numFmtId="0" fontId="11" fillId="4" borderId="13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1" fillId="4" borderId="9" xfId="0" applyFont="1" applyFill="1" applyBorder="1" applyAlignment="1">
      <alignment horizontal="center" vertical="center"/>
    </xf>
    <xf numFmtId="0" fontId="11" fillId="4" borderId="10" xfId="0" applyFont="1" applyFill="1" applyBorder="1" applyAlignment="1">
      <alignment horizontal="center" vertical="center"/>
    </xf>
    <xf numFmtId="0" fontId="11" fillId="4" borderId="11" xfId="0" applyFont="1" applyFill="1" applyBorder="1" applyAlignment="1">
      <alignment horizontal="center" vertical="center"/>
    </xf>
    <xf numFmtId="0" fontId="11" fillId="4" borderId="12" xfId="0" applyFont="1" applyFill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49" fontId="1" fillId="2" borderId="2" xfId="0" applyNumberFormat="1" applyFont="1" applyFill="1" applyBorder="1" applyAlignment="1">
      <alignment horizontal="center" vertical="center" wrapText="1"/>
    </xf>
  </cellXfs>
  <cellStyles count="3">
    <cellStyle name="Migliaia" xfId="1" builtinId="3"/>
    <cellStyle name="Normale" xfId="0" builtinId="0"/>
    <cellStyle name="Percentuale" xfId="2" builtinId="5"/>
  </cellStyles>
  <dxfs count="48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</font>
    </dxf>
    <dxf>
      <font>
        <b/>
      </font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_(* #,##0_);_(* \(#,##0\);_(* &quot;-&quot;??_);_(@_)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numFmt numFmtId="167" formatCode="_(* #,##0_);_(* \(#,##0\);_(* &quot;-&quot;??_);_(@_)"/>
    </dxf>
    <dxf>
      <alignment horizontal="center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7" formatCode="_(* #,##0_);_(* \(#,##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alignment horizontal="left"/>
    </dxf>
    <dxf>
      <alignment vertical="center"/>
    </dxf>
    <dxf>
      <alignment vertical="center"/>
    </dxf>
    <dxf>
      <alignment horizontal="center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[Magazzino_Nuovo.xlsm]TABELLE!Tabella pivot4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2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it-IT" sz="2400" b="1">
                <a:solidFill>
                  <a:sysClr val="windowText" lastClr="000000"/>
                </a:solidFill>
              </a:rPr>
              <a:t>Contratti</a:t>
            </a:r>
          </a:p>
          <a:p>
            <a:pPr>
              <a:defRPr sz="2400" b="1">
                <a:solidFill>
                  <a:sysClr val="windowText" lastClr="000000"/>
                </a:solidFill>
              </a:defRPr>
            </a:pPr>
            <a:r>
              <a:rPr lang="it-IT" sz="2400" b="1">
                <a:solidFill>
                  <a:sysClr val="windowText" lastClr="000000"/>
                </a:solidFill>
              </a:rPr>
              <a:t> da adempiere</a:t>
            </a:r>
          </a:p>
          <a:p>
            <a:pPr>
              <a:defRPr sz="2400" b="1">
                <a:solidFill>
                  <a:sysClr val="windowText" lastClr="000000"/>
                </a:solidFill>
              </a:defRPr>
            </a:pPr>
            <a:endParaRPr lang="it-IT" sz="24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43186710478817514"/>
          <c:y val="5.5752374743442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1.8500794660117094E-2"/>
              <c:y val="-3.0255607471848588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layout>
            <c:manualLayout>
              <c:x val="-3.7467685964737599E-3"/>
              <c:y val="-5.7999998260217574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layout>
            <c:manualLayout>
              <c:x val="-1.4987074385895107E-2"/>
              <c:y val="-2.2095237432463818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TABELLE!$C$276:$C$277</c:f>
              <c:strCache>
                <c:ptCount val="1"/>
                <c:pt idx="0">
                  <c:v>BIOSIC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TABELLE!$B$278:$B$286</c:f>
              <c:multiLvlStrCache>
                <c:ptCount val="5"/>
                <c:lvl>
                  <c:pt idx="0">
                    <c:v>CONVENZIONALI</c:v>
                  </c:pt>
                  <c:pt idx="1">
                    <c:v>BIOLOGICHE</c:v>
                  </c:pt>
                  <c:pt idx="2">
                    <c:v>CONVENZIONALI</c:v>
                  </c:pt>
                  <c:pt idx="3">
                    <c:v>FAIR FOR LIFE</c:v>
                  </c:pt>
                  <c:pt idx="4">
                    <c:v>BIOLOGICHE</c:v>
                  </c:pt>
                </c:lvl>
                <c:lvl>
                  <c:pt idx="0">
                    <c:v>01/05/25</c:v>
                  </c:pt>
                  <c:pt idx="1">
                    <c:v>01/11/25</c:v>
                  </c:pt>
                  <c:pt idx="4">
                    <c:v>01/12/25</c:v>
                  </c:pt>
                </c:lvl>
              </c:multiLvlStrCache>
            </c:multiLvlStrRef>
          </c:cat>
          <c:val>
            <c:numRef>
              <c:f>TABELLE!$C$278:$C$286</c:f>
              <c:numCache>
                <c:formatCode>_(* #,##0_);_(* \(#,##0\);_(* "-"??_);_(@_)</c:formatCode>
                <c:ptCount val="5"/>
                <c:pt idx="1">
                  <c:v>53600</c:v>
                </c:pt>
                <c:pt idx="2">
                  <c:v>48899</c:v>
                </c:pt>
                <c:pt idx="3">
                  <c:v>42000</c:v>
                </c:pt>
                <c:pt idx="4">
                  <c:v>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9B-495A-9B93-8F50CE889DCF}"/>
            </c:ext>
          </c:extLst>
        </c:ser>
        <c:ser>
          <c:idx val="1"/>
          <c:order val="1"/>
          <c:tx>
            <c:strRef>
              <c:f>TABELLE!$D$276:$D$277</c:f>
              <c:strCache>
                <c:ptCount val="1"/>
                <c:pt idx="0">
                  <c:v>ITALNUX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TABELLE!$B$278:$B$286</c:f>
              <c:multiLvlStrCache>
                <c:ptCount val="5"/>
                <c:lvl>
                  <c:pt idx="0">
                    <c:v>CONVENZIONALI</c:v>
                  </c:pt>
                  <c:pt idx="1">
                    <c:v>BIOLOGICHE</c:v>
                  </c:pt>
                  <c:pt idx="2">
                    <c:v>CONVENZIONALI</c:v>
                  </c:pt>
                  <c:pt idx="3">
                    <c:v>FAIR FOR LIFE</c:v>
                  </c:pt>
                  <c:pt idx="4">
                    <c:v>BIOLOGICHE</c:v>
                  </c:pt>
                </c:lvl>
                <c:lvl>
                  <c:pt idx="0">
                    <c:v>01/05/25</c:v>
                  </c:pt>
                  <c:pt idx="1">
                    <c:v>01/11/25</c:v>
                  </c:pt>
                  <c:pt idx="4">
                    <c:v>01/12/25</c:v>
                  </c:pt>
                </c:lvl>
              </c:multiLvlStrCache>
            </c:multiLvlStrRef>
          </c:cat>
          <c:val>
            <c:numRef>
              <c:f>TABELLE!$D$278:$D$286</c:f>
              <c:numCache>
                <c:formatCode>_(* #,##0_);_(* \(#,##0\);_(* "-"??_);_(@_)</c:formatCode>
                <c:ptCount val="5"/>
                <c:pt idx="0">
                  <c:v>24000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69B-495A-9B93-8F50CE889D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6649360"/>
        <c:axId val="56647920"/>
      </c:barChart>
      <c:catAx>
        <c:axId val="56649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6647920"/>
        <c:crosses val="autoZero"/>
        <c:auto val="1"/>
        <c:lblAlgn val="ctr"/>
        <c:lblOffset val="100"/>
        <c:noMultiLvlLbl val="0"/>
      </c:catAx>
      <c:valAx>
        <c:axId val="5664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664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25" r="0.25" t="0.75" header="0.3" footer="0.3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[Magazzino_Nuovo.xlsm]TABELLE!Tabella pivot3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baseline="0"/>
              <a:t>Totale disponibilità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TABELLE!$C$4</c:f>
              <c:strCache>
                <c:ptCount val="1"/>
                <c:pt idx="0">
                  <c:v>Totale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TABELLE!$B$5:$B$10</c:f>
              <c:strCache>
                <c:ptCount val="5"/>
                <c:pt idx="0">
                  <c:v>BIOLOGICHE</c:v>
                </c:pt>
                <c:pt idx="1">
                  <c:v>BIOSUISSE</c:v>
                </c:pt>
                <c:pt idx="2">
                  <c:v>CONVENZIONALI</c:v>
                </c:pt>
                <c:pt idx="3">
                  <c:v>FAIR FOR LIFE</c:v>
                </c:pt>
                <c:pt idx="4">
                  <c:v>GIFFONI</c:v>
                </c:pt>
              </c:strCache>
            </c:strRef>
          </c:cat>
          <c:val>
            <c:numRef>
              <c:f>TABELLE!$C$5:$C$10</c:f>
              <c:numCache>
                <c:formatCode>_(* #,##0_);_(* \(#,##0\);_(* "-"??_);_(@_)</c:formatCode>
                <c:ptCount val="5"/>
                <c:pt idx="0">
                  <c:v>23007</c:v>
                </c:pt>
                <c:pt idx="1">
                  <c:v>1422</c:v>
                </c:pt>
                <c:pt idx="2">
                  <c:v>130901</c:v>
                </c:pt>
                <c:pt idx="3">
                  <c:v>68872</c:v>
                </c:pt>
                <c:pt idx="4">
                  <c:v>24866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F8-46FF-8B0B-09BA248CCBA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25682735"/>
        <c:axId val="925659695"/>
      </c:barChart>
      <c:catAx>
        <c:axId val="92568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25659695"/>
        <c:crosses val="autoZero"/>
        <c:auto val="1"/>
        <c:lblAlgn val="ctr"/>
        <c:lblOffset val="100"/>
        <c:noMultiLvlLbl val="0"/>
      </c:catAx>
      <c:valAx>
        <c:axId val="925659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25682735"/>
        <c:crosses val="autoZero"/>
        <c:crossBetween val="between"/>
      </c:valAx>
      <c:spPr>
        <a:noFill/>
        <a:ln>
          <a:solidFill>
            <a:schemeClr val="accent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25" r="0.25" t="0.75" header="0.3" footer="0.3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[Magazzino_Nuovo.xlsm]TABELLE!Tabella pivot2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MAGAZZINI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3327496665121666E-2"/>
              <c:y val="-1.66889417992186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8994356204388438E-2"/>
              <c:y val="-0.172237794871915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5822248207850019E-2"/>
              <c:y val="2.644315890662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2.0063799428651848E-3"/>
              <c:y val="-0.10400878426120734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216084968963668"/>
              <c:y val="3.2715853069629916E-2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8.453272825866337E-2"/>
                  <c:h val="4.6025192155713907E-2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4.1051569690121387E-2"/>
              <c:y val="-0.1089215197984108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8013614180074342"/>
          <c:y val="0.19443187227825631"/>
          <c:w val="0.43171229466894073"/>
          <c:h val="0.77120387275232072"/>
        </c:manualLayout>
      </c:layout>
      <c:pieChart>
        <c:varyColors val="1"/>
        <c:ser>
          <c:idx val="0"/>
          <c:order val="0"/>
          <c:tx>
            <c:strRef>
              <c:f>TABELLE!$C$110</c:f>
              <c:strCache>
                <c:ptCount val="1"/>
                <c:pt idx="0">
                  <c:v>Totale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D84-426F-AFAA-244E6034E7A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D84-426F-AFAA-244E6034E7A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BD84-426F-AFAA-244E6034E7A9}"/>
              </c:ext>
            </c:extLst>
          </c:dPt>
          <c:dLbls>
            <c:dLbl>
              <c:idx val="0"/>
              <c:layout>
                <c:manualLayout>
                  <c:x val="2.0063799428651848E-3"/>
                  <c:y val="-0.10400878426120734"/>
                </c:manualLayout>
              </c:layout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D84-426F-AFAA-244E6034E7A9}"/>
                </c:ext>
              </c:extLst>
            </c:dLbl>
            <c:dLbl>
              <c:idx val="1"/>
              <c:layout>
                <c:manualLayout>
                  <c:x val="-4.1051569690121387E-2"/>
                  <c:y val="-0.1089215197984108"/>
                </c:manualLayout>
              </c:layout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D84-426F-AFAA-244E6034E7A9}"/>
                </c:ext>
              </c:extLst>
            </c:dLbl>
            <c:dLbl>
              <c:idx val="2"/>
              <c:layout>
                <c:manualLayout>
                  <c:x val="-0.13216084968963668"/>
                  <c:y val="3.2715853069629916E-2"/>
                </c:manualLayout>
              </c:layout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453272825866337E-2"/>
                      <c:h val="4.602519215571390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BD84-426F-AFAA-244E6034E7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TABELLE!$B$111:$B$114</c:f>
              <c:strCache>
                <c:ptCount val="3"/>
                <c:pt idx="0">
                  <c:v>Vignanello</c:v>
                </c:pt>
                <c:pt idx="1">
                  <c:v>Fabrica</c:v>
                </c:pt>
                <c:pt idx="2">
                  <c:v>Soriano</c:v>
                </c:pt>
              </c:strCache>
            </c:strRef>
          </c:cat>
          <c:val>
            <c:numRef>
              <c:f>TABELLE!$C$111:$C$114</c:f>
              <c:numCache>
                <c:formatCode>General</c:formatCode>
                <c:ptCount val="3"/>
                <c:pt idx="0">
                  <c:v>94263</c:v>
                </c:pt>
                <c:pt idx="1">
                  <c:v>126939</c:v>
                </c:pt>
                <c:pt idx="2">
                  <c:v>27866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D84-426F-AFAA-244E6034E7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legendEntry>
      <c:layout>
        <c:manualLayout>
          <c:xMode val="edge"/>
          <c:yMode val="edge"/>
          <c:x val="0.84065542350682776"/>
          <c:y val="0.42877336205619826"/>
          <c:w val="0.115741231617777"/>
          <c:h val="0.332542624754421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[Magazzino_Nuovo.xlsm]TABELLE!Tabella pivot1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2800" b="1"/>
              <a:t>DISPONIBILITA'</a:t>
            </a:r>
            <a:r>
              <a:rPr lang="it-IT" sz="2800" b="1" baseline="0"/>
              <a:t> DIVISA PER QUALITA'</a:t>
            </a:r>
          </a:p>
        </c:rich>
      </c:tx>
      <c:layout>
        <c:manualLayout>
          <c:xMode val="edge"/>
          <c:yMode val="edge"/>
          <c:x val="0.25316556662251755"/>
          <c:y val="4.75950680583531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layout>
            <c:manualLayout>
              <c:x val="3.5242287489006395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layout>
            <c:manualLayout>
              <c:x val="3.0543315823805581E-2"/>
              <c:y val="-2.3255813953488372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layout>
            <c:manualLayout>
              <c:x val="-1.4096914995602576E-2"/>
              <c:y val="-4.6511627906976744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layout>
            <c:manualLayout>
              <c:x val="-1.997062957710365E-2"/>
              <c:y val="-1.5503875968992248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layout>
            <c:manualLayout>
              <c:x val="-1.4096914995602576E-2"/>
              <c:y val="-1.9379844961240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TABELLE!$C$217:$C$218</c:f>
              <c:strCache>
                <c:ptCount val="1"/>
                <c:pt idx="0">
                  <c:v>BIOLOGICHE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TABELLE!$B$219:$B$226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strCache>
            </c:strRef>
          </c:cat>
          <c:val>
            <c:numRef>
              <c:f>TABELLE!$C$219:$C$226</c:f>
              <c:numCache>
                <c:formatCode>_(* #,##0_);_(* \(#,##0\);_(* "-"??_);_(@_)</c:formatCode>
                <c:ptCount val="7"/>
                <c:pt idx="0">
                  <c:v>19007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4D4-491E-9786-2A9913AF0E51}"/>
            </c:ext>
          </c:extLst>
        </c:ser>
        <c:ser>
          <c:idx val="1"/>
          <c:order val="1"/>
          <c:tx>
            <c:strRef>
              <c:f>TABELLE!$D$217:$D$218</c:f>
              <c:strCache>
                <c:ptCount val="1"/>
                <c:pt idx="0">
                  <c:v>BIOSUISSE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TABELLE!$B$219:$B$226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strCache>
            </c:strRef>
          </c:cat>
          <c:val>
            <c:numRef>
              <c:f>TABELLE!$D$219:$D$226</c:f>
              <c:numCache>
                <c:formatCode>_(* #,##0_);_(* \(#,##0\);_(* "-"??_);_(@_)</c:formatCode>
                <c:ptCount val="7"/>
                <c:pt idx="0">
                  <c:v>1422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4D4-491E-9786-2A9913AF0E51}"/>
            </c:ext>
          </c:extLst>
        </c:ser>
        <c:ser>
          <c:idx val="2"/>
          <c:order val="2"/>
          <c:tx>
            <c:strRef>
              <c:f>TABELLE!$E$217:$E$218</c:f>
              <c:strCache>
                <c:ptCount val="1"/>
                <c:pt idx="0">
                  <c:v>CONVENZIONALI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TABELLE!$B$219:$B$226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strCache>
            </c:strRef>
          </c:cat>
          <c:val>
            <c:numRef>
              <c:f>TABELLE!$E$219:$E$226</c:f>
              <c:numCache>
                <c:formatCode>_(* #,##0_);_(* \(#,##0\);_(* "-"??_);_(@_)</c:formatCode>
                <c:ptCount val="7"/>
                <c:pt idx="0">
                  <c:v>41464</c:v>
                </c:pt>
                <c:pt idx="1">
                  <c:v>7000</c:v>
                </c:pt>
                <c:pt idx="2">
                  <c:v>25651</c:v>
                </c:pt>
                <c:pt idx="3">
                  <c:v>11754</c:v>
                </c:pt>
                <c:pt idx="4">
                  <c:v>4811</c:v>
                </c:pt>
                <c:pt idx="5">
                  <c:v>6584</c:v>
                </c:pt>
                <c:pt idx="6">
                  <c:v>31637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4D4-491E-9786-2A9913AF0E51}"/>
            </c:ext>
          </c:extLst>
        </c:ser>
        <c:ser>
          <c:idx val="3"/>
          <c:order val="3"/>
          <c:tx>
            <c:strRef>
              <c:f>TABELLE!$F$217:$F$218</c:f>
              <c:strCache>
                <c:ptCount val="1"/>
                <c:pt idx="0">
                  <c:v>FAIR FOR LIFE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TABELLE!$B$219:$B$226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strCache>
            </c:strRef>
          </c:cat>
          <c:val>
            <c:numRef>
              <c:f>TABELLE!$F$219:$F$226</c:f>
              <c:numCache>
                <c:formatCode>_(* #,##0_);_(* \(#,##0\);_(* "-"??_);_(@_)</c:formatCode>
                <c:ptCount val="7"/>
                <c:pt idx="0">
                  <c:v>64749</c:v>
                </c:pt>
                <c:pt idx="1">
                  <c:v>2000</c:v>
                </c:pt>
                <c:pt idx="2">
                  <c:v>1000</c:v>
                </c:pt>
                <c:pt idx="6">
                  <c:v>1123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4D4-491E-9786-2A9913AF0E51}"/>
            </c:ext>
          </c:extLst>
        </c:ser>
        <c:ser>
          <c:idx val="4"/>
          <c:order val="4"/>
          <c:tx>
            <c:strRef>
              <c:f>TABELLE!$G$217:$G$218</c:f>
              <c:strCache>
                <c:ptCount val="1"/>
                <c:pt idx="0">
                  <c:v>GIFFONI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TABELLE!$B$219:$B$226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strCache>
            </c:strRef>
          </c:cat>
          <c:val>
            <c:numRef>
              <c:f>TABELLE!$G$219:$G$226</c:f>
              <c:numCache>
                <c:formatCode>_(* #,##0_);_(* \(#,##0\);_(* "-"??_);_(@_)</c:formatCode>
                <c:ptCount val="7"/>
                <c:pt idx="0">
                  <c:v>20866</c:v>
                </c:pt>
                <c:pt idx="1">
                  <c:v>2000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9C-4D85-88AC-9E5A3791EF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95420495"/>
        <c:axId val="1021911567"/>
      </c:barChart>
      <c:catAx>
        <c:axId val="11954204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21911567"/>
        <c:crosses val="autoZero"/>
        <c:auto val="1"/>
        <c:lblAlgn val="ctr"/>
        <c:lblOffset val="100"/>
        <c:noMultiLvlLbl val="0"/>
      </c:catAx>
      <c:valAx>
        <c:axId val="102191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9542049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800" b="1">
                <a:solidFill>
                  <a:sysClr val="windowText" lastClr="000000"/>
                </a:solidFill>
              </a:rPr>
              <a:t>Differenza</a:t>
            </a:r>
            <a:r>
              <a:rPr lang="en-US" sz="2800" b="1" baseline="0">
                <a:solidFill>
                  <a:sysClr val="windowText" lastClr="000000"/>
                </a:solidFill>
              </a:rPr>
              <a:t> tra disp. e contratti</a:t>
            </a:r>
            <a:r>
              <a:rPr lang="en-US" sz="2800" b="1">
                <a:solidFill>
                  <a:sysClr val="windowText" lastClr="000000"/>
                </a:solidFill>
              </a:rPr>
              <a:t> </a:t>
            </a:r>
          </a:p>
        </c:rich>
      </c:tx>
      <c:layout>
        <c:manualLayout>
          <c:xMode val="edge"/>
          <c:yMode val="edge"/>
          <c:x val="0.33648518344544948"/>
          <c:y val="5.767581114493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143513456301056"/>
          <c:y val="0.16854977881688055"/>
          <c:w val="0.8010159667541557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TABELLE!$C$346</c:f>
              <c:strCache>
                <c:ptCount val="1"/>
                <c:pt idx="0">
                  <c:v> Quantità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TABELLE!$B$347:$B$349</c:f>
              <c:strCache>
                <c:ptCount val="3"/>
                <c:pt idx="0">
                  <c:v>BIOLOGICHE</c:v>
                </c:pt>
                <c:pt idx="1">
                  <c:v>CONVENZIONALI</c:v>
                </c:pt>
                <c:pt idx="2">
                  <c:v>FAIR FOR LIFE</c:v>
                </c:pt>
              </c:strCache>
            </c:strRef>
          </c:cat>
          <c:val>
            <c:numRef>
              <c:f>TABELLE!$C$347:$C$349</c:f>
              <c:numCache>
                <c:formatCode>_-* #,##0.00_-;\-* #,##0.00_-;_-* "-"??_-;_-@_-</c:formatCode>
                <c:ptCount val="3"/>
                <c:pt idx="0">
                  <c:v>-32468</c:v>
                </c:pt>
                <c:pt idx="1">
                  <c:v>58002</c:v>
                </c:pt>
                <c:pt idx="2">
                  <c:v>-110872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B8-4A2C-A740-32B94CC0AD7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89368144"/>
        <c:axId val="1889367184"/>
      </c:barChart>
      <c:catAx>
        <c:axId val="1889368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9367184"/>
        <c:crosses val="autoZero"/>
        <c:auto val="1"/>
        <c:lblAlgn val="ctr"/>
        <c:lblOffset val="100"/>
        <c:noMultiLvlLbl val="0"/>
      </c:catAx>
      <c:valAx>
        <c:axId val="188936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936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520700</xdr:colOff>
          <xdr:row>0</xdr:row>
          <xdr:rowOff>177800</xdr:rowOff>
        </xdr:from>
        <xdr:to>
          <xdr:col>3</xdr:col>
          <xdr:colOff>876300</xdr:colOff>
          <xdr:row>3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Vai alla riga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0</xdr:row>
          <xdr:rowOff>0</xdr:rowOff>
        </xdr:from>
        <xdr:to>
          <xdr:col>3</xdr:col>
          <xdr:colOff>914400</xdr:colOff>
          <xdr:row>2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5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RICERCA MOVIMENTI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800100</xdr:colOff>
          <xdr:row>47</xdr:row>
          <xdr:rowOff>25400</xdr:rowOff>
        </xdr:from>
        <xdr:to>
          <xdr:col>5</xdr:col>
          <xdr:colOff>482600</xdr:colOff>
          <xdr:row>51</xdr:row>
          <xdr:rowOff>76200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5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RICERCA MOVIMENTI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1104900</xdr:colOff>
          <xdr:row>47</xdr:row>
          <xdr:rowOff>12700</xdr:rowOff>
        </xdr:from>
        <xdr:to>
          <xdr:col>8</xdr:col>
          <xdr:colOff>63500</xdr:colOff>
          <xdr:row>51</xdr:row>
          <xdr:rowOff>88900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5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VAI ALLA RIGA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876300</xdr:colOff>
          <xdr:row>0</xdr:row>
          <xdr:rowOff>0</xdr:rowOff>
        </xdr:from>
        <xdr:to>
          <xdr:col>6</xdr:col>
          <xdr:colOff>431800</xdr:colOff>
          <xdr:row>1</xdr:row>
          <xdr:rowOff>190500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5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VAI ALLA RIGA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199696</xdr:colOff>
      <xdr:row>36</xdr:row>
      <xdr:rowOff>57805</xdr:rowOff>
    </xdr:from>
    <xdr:to>
      <xdr:col>22</xdr:col>
      <xdr:colOff>438149</xdr:colOff>
      <xdr:row>68</xdr:row>
      <xdr:rowOff>66675</xdr:rowOff>
    </xdr:to>
    <xdr:graphicFrame macro="">
      <xdr:nvGraphicFramePr>
        <xdr:cNvPr id="2" name="Grafico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302984</xdr:colOff>
      <xdr:row>1</xdr:row>
      <xdr:rowOff>114300</xdr:rowOff>
    </xdr:from>
    <xdr:to>
      <xdr:col>22</xdr:col>
      <xdr:colOff>323850</xdr:colOff>
      <xdr:row>34</xdr:row>
      <xdr:rowOff>23935</xdr:rowOff>
    </xdr:to>
    <xdr:graphicFrame macro="">
      <xdr:nvGraphicFramePr>
        <xdr:cNvPr id="3" name="Grafico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110586</xdr:colOff>
      <xdr:row>104</xdr:row>
      <xdr:rowOff>112939</xdr:rowOff>
    </xdr:from>
    <xdr:to>
      <xdr:col>23</xdr:col>
      <xdr:colOff>285750</xdr:colOff>
      <xdr:row>135</xdr:row>
      <xdr:rowOff>13607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586468</xdr:colOff>
      <xdr:row>136</xdr:row>
      <xdr:rowOff>146958</xdr:rowOff>
    </xdr:from>
    <xdr:to>
      <xdr:col>23</xdr:col>
      <xdr:colOff>421822</xdr:colOff>
      <xdr:row>171</xdr:row>
      <xdr:rowOff>32658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602542</xdr:colOff>
      <xdr:row>70</xdr:row>
      <xdr:rowOff>123486</xdr:rowOff>
    </xdr:from>
    <xdr:to>
      <xdr:col>23</xdr:col>
      <xdr:colOff>27213</xdr:colOff>
      <xdr:row>101</xdr:row>
      <xdr:rowOff>163286</xdr:rowOff>
    </xdr:to>
    <xdr:graphicFrame macro="">
      <xdr:nvGraphicFramePr>
        <xdr:cNvPr id="6" name="Grafico 1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5207000</xdr:colOff>
          <xdr:row>19</xdr:row>
          <xdr:rowOff>127000</xdr:rowOff>
        </xdr:from>
        <xdr:to>
          <xdr:col>0</xdr:col>
          <xdr:colOff>6654800</xdr:colOff>
          <xdr:row>22</xdr:row>
          <xdr:rowOff>12700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800" b="0" i="0" u="none" strike="noStrike" baseline="0">
                  <a:solidFill>
                    <a:srgbClr val="008000"/>
                  </a:solidFill>
                  <a:latin typeface="Cascadia Code"/>
                </a:rPr>
                <a:t>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1689100</xdr:colOff>
          <xdr:row>16</xdr:row>
          <xdr:rowOff>101600</xdr:rowOff>
        </xdr:from>
        <xdr:to>
          <xdr:col>0</xdr:col>
          <xdr:colOff>3860800</xdr:colOff>
          <xdr:row>22</xdr:row>
          <xdr:rowOff>25400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8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400" b="0" i="0" u="none" strike="noStrike" baseline="0">
                  <a:solidFill>
                    <a:srgbClr val="008000"/>
                  </a:solidFill>
                  <a:latin typeface="Cascadia Code"/>
                </a:rPr>
                <a:t>Aggiorna Magazzino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tente" refreshedDate="45813.404252893517" createdVersion="8" refreshedVersion="8" minRefreshableVersion="3" recordCount="43" xr:uid="{FCFB9F72-6FB1-400E-8643-FC88929F1C75}">
  <cacheSource type="worksheet">
    <worksheetSource ref="A1:L44" sheet="CONTRATTI_CLIENTI"/>
  </cacheSource>
  <cacheFields count="12">
    <cacheField name="Contratto" numFmtId="0">
      <sharedItems containsBlank="1" containsMixedTypes="1" containsNumber="1" containsInteger="1" minValue="1" maxValue="250013"/>
    </cacheField>
    <cacheField name="Descrizione 1" numFmtId="49">
      <sharedItems containsBlank="1" count="4">
        <s v="CONVENZIONALI"/>
        <s v="BIOLOGICHE"/>
        <s v="FAIR FOR LIFE"/>
        <m/>
      </sharedItems>
    </cacheField>
    <cacheField name="Descrizione 2" numFmtId="49">
      <sharedItems containsBlank="1" count="4">
        <s v="SGUSCIATE"/>
        <s v="ROTTAME"/>
        <s v="ROTTAMI"/>
        <m/>
      </sharedItems>
    </cacheField>
    <cacheField name="Descrizione 3" numFmtId="49">
      <sharedItems containsBlank="1" count="7">
        <s v="9/11"/>
        <s v="11/13"/>
        <s v="13/15"/>
        <s v="PASTA"/>
        <s v="GRANELLA"/>
        <s v="FARINA "/>
        <m/>
      </sharedItems>
    </cacheField>
    <cacheField name="Cliente" numFmtId="0">
      <sharedItems containsBlank="1" count="6">
        <s v="ITALNUX"/>
        <s v="SANTANIELLO"/>
        <s v="BIOSIC"/>
        <s v="CAPRINO"/>
        <m/>
        <s v="DAR" u="1"/>
      </sharedItems>
    </cacheField>
    <cacheField name="Scadenza" numFmtId="17">
      <sharedItems containsDate="1" containsBlank="1" containsMixedTypes="1" minDate="2025-03-01T00:00:00" maxDate="2025-12-02T00:00:00" count="8">
        <d v="2025-05-01T00:00:00"/>
        <d v="2025-10-01T00:00:00"/>
        <d v="2025-04-01T00:00:00"/>
        <d v="2025-12-01T00:00:00"/>
        <d v="2025-11-01T00:00:00"/>
        <d v="2025-03-01T00:00:00"/>
        <s v="-"/>
        <m/>
      </sharedItems>
    </cacheField>
    <cacheField name="M.O" numFmtId="0">
      <sharedItems containsString="0" containsBlank="1" containsNumber="1" minValue="0.02" maxValue="0.03"/>
    </cacheField>
    <cacheField name="C.O." numFmtId="0">
      <sharedItems containsString="0" containsBlank="1" containsNumber="1" minValue="0.08" maxValue="0.12"/>
    </cacheField>
    <cacheField name="Quantità Totale" numFmtId="166">
      <sharedItems containsString="0" containsBlank="1" containsNumber="1" containsInteger="1" minValue="2000" maxValue="42000"/>
    </cacheField>
    <cacheField name="Quantità Evasa" numFmtId="166">
      <sharedItems containsString="0" containsBlank="1" containsNumber="1" containsInteger="1" minValue="0" maxValue="40000"/>
    </cacheField>
    <cacheField name="Residuo" numFmtId="166">
      <sharedItems containsMixedTypes="1" containsNumber="1" containsInteger="1" minValue="0" maxValue="30000"/>
    </cacheField>
    <cacheField name="Stato" numFmtId="0">
      <sharedItems containsBlank="1" count="4">
        <s v="APERTO"/>
        <s v="CHIUSO"/>
        <s v="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tente" refreshedDate="45813.404253125002" createdVersion="8" refreshedVersion="8" minRefreshableVersion="3" recordCount="499" xr:uid="{43AEAA05-B368-4460-B37D-08A17432E8FF}">
  <cacheSource type="worksheet">
    <worksheetSource ref="A170:U500" sheet="GIACENZE_ATTUALI"/>
  </cacheSource>
  <cacheFields count="21">
    <cacheField name="Anno P." numFmtId="0">
      <sharedItems containsString="0" containsBlank="1" containsNumber="1" containsInteger="1" minValue="2" maxValue="51"/>
    </cacheField>
    <cacheField name="Set. P." numFmtId="0">
      <sharedItems containsString="0" containsBlank="1" containsNumber="1" containsInteger="1" minValue="2024" maxValue="2025"/>
    </cacheField>
    <cacheField name="Lotto Imballo" numFmtId="0">
      <sharedItems containsBlank="1"/>
    </cacheField>
    <cacheField name="Lotto Nocciole" numFmtId="0">
      <sharedItems containsBlank="1"/>
    </cacheField>
    <cacheField name="Tipo Imballo" numFmtId="0">
      <sharedItems containsBlank="1"/>
    </cacheField>
    <cacheField name="Descrizione           1" numFmtId="0">
      <sharedItems containsBlank="1" count="6">
        <s v="CONVENZIONALI"/>
        <s v="BIOLOGICHE"/>
        <s v="FAIR FOR LIFE"/>
        <s v="BIOSUISSE"/>
        <s v="GIFFONI"/>
        <m/>
      </sharedItems>
    </cacheField>
    <cacheField name="Descrizione           2" numFmtId="0">
      <sharedItems containsBlank="1" count="4">
        <s v="SGUSCIATE"/>
        <s v="ROTTAME"/>
        <s v="SCARTI"/>
        <m/>
      </sharedItems>
    </cacheField>
    <cacheField name="Descrizione           3" numFmtId="49">
      <sharedItems containsBlank="1" count="10">
        <s v="9/11"/>
        <s v="11/13"/>
        <s v="13/15"/>
        <s v="DA SCEGLIERE"/>
        <s v="VENTILATO"/>
        <s v="PICCOLO "/>
        <s v="GRANDE"/>
        <s v="SCELTO"/>
        <s v="SEMI NERI"/>
        <m/>
      </sharedItems>
    </cacheField>
    <cacheField name="Descrizione           4" numFmtId="49">
      <sharedItems containsBlank="1"/>
    </cacheField>
    <cacheField name="Q. Iniz" numFmtId="167">
      <sharedItems containsString="0" containsBlank="1" containsNumber="1" containsInteger="1" minValue="187" maxValue="1106"/>
    </cacheField>
    <cacheField name="Mov." numFmtId="167">
      <sharedItems containsString="0" containsBlank="1" containsNumber="1" containsInteger="1" minValue="0" maxValue="0"/>
    </cacheField>
    <cacheField name="Q. Disp." numFmtId="167">
      <sharedItems containsString="0" containsBlank="1" containsNumber="1" containsInteger="1" minValue="187" maxValue="1106"/>
    </cacheField>
    <cacheField name="Magazzino" numFmtId="0">
      <sharedItems containsBlank="1"/>
    </cacheField>
    <cacheField name="M.V" numFmtId="0">
      <sharedItems containsString="0" containsBlank="1" containsNumber="1" minValue="0" maxValue="1"/>
    </cacheField>
    <cacheField name="M.O." numFmtId="0">
      <sharedItems containsString="0" containsBlank="1" containsNumber="1" minValue="0" maxValue="0.24"/>
    </cacheField>
    <cacheField name="C.V." numFmtId="0">
      <sharedItems containsString="0" containsBlank="1" containsNumber="1" minValue="0" maxValue="0.32400000000000001"/>
    </cacheField>
    <cacheField name="C.O." numFmtId="0">
      <sharedItems containsString="0" containsBlank="1" containsNumber="1" minValue="0" maxValue="0.36"/>
    </cacheField>
    <cacheField name="C.E." numFmtId="0">
      <sharedItems containsString="0" containsBlank="1" containsNumber="1" minValue="0" maxValue="0.40500000000000003"/>
    </cacheField>
    <cacheField name="Stato" numFmtId="0">
      <sharedItems/>
    </cacheField>
    <cacheField name="Contratto" numFmtId="0">
      <sharedItems containsBlank="1"/>
    </cacheField>
    <cacheField name="Acquirent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tente" refreshedDate="45813.40425324074" createdVersion="8" refreshedVersion="8" minRefreshableVersion="3" recordCount="41" xr:uid="{7F450821-21DE-4F6E-8908-54C383171C72}">
  <cacheSource type="worksheet">
    <worksheetSource ref="A1:L42" sheet="CONTRATTI_CLIENTI"/>
  </cacheSource>
  <cacheFields count="12">
    <cacheField name="Contratto" numFmtId="0">
      <sharedItems containsBlank="1" containsMixedTypes="1" containsNumber="1" containsInteger="1" minValue="1" maxValue="250013"/>
    </cacheField>
    <cacheField name="Descrizione 1" numFmtId="49">
      <sharedItems containsBlank="1" count="4">
        <s v="CONVENZIONALI"/>
        <s v="BIOLOGICHE"/>
        <s v="FAIR FOR LIFE"/>
        <m/>
      </sharedItems>
    </cacheField>
    <cacheField name="Descrizione 2" numFmtId="49">
      <sharedItems containsBlank="1" count="4">
        <s v="SGUSCIATE"/>
        <s v="ROTTAME"/>
        <s v="ROTTAMI"/>
        <m/>
      </sharedItems>
    </cacheField>
    <cacheField name="Descrizione 3" numFmtId="49">
      <sharedItems containsBlank="1" count="7">
        <s v="9/11"/>
        <s v="11/13"/>
        <s v="13/15"/>
        <s v="PASTA"/>
        <s v="GRANELLA"/>
        <s v="FARINA "/>
        <m/>
      </sharedItems>
    </cacheField>
    <cacheField name="Cliente" numFmtId="0">
      <sharedItems containsBlank="1"/>
    </cacheField>
    <cacheField name="Scadenza" numFmtId="17">
      <sharedItems containsDate="1" containsBlank="1" containsMixedTypes="1" minDate="2025-03-01T00:00:00" maxDate="2025-12-02T00:00:00"/>
    </cacheField>
    <cacheField name="M.O" numFmtId="0">
      <sharedItems containsString="0" containsBlank="1" containsNumber="1" minValue="0.02" maxValue="0.03"/>
    </cacheField>
    <cacheField name="C.O." numFmtId="0">
      <sharedItems containsString="0" containsBlank="1" containsNumber="1" minValue="0.08" maxValue="0.12"/>
    </cacheField>
    <cacheField name="Quantità Totale" numFmtId="166">
      <sharedItems containsString="0" containsBlank="1" containsNumber="1" containsInteger="1" minValue="2000" maxValue="42000"/>
    </cacheField>
    <cacheField name="Quantità Evasa" numFmtId="166">
      <sharedItems containsString="0" containsBlank="1" containsNumber="1" containsInteger="1" minValue="0" maxValue="40000"/>
    </cacheField>
    <cacheField name="Residuo" numFmtId="166">
      <sharedItems containsMixedTypes="1" containsNumber="1" containsInteger="1" minValue="0" maxValue="30000"/>
    </cacheField>
    <cacheField name="Stato" numFmtId="0">
      <sharedItems count="3">
        <s v="APERTO"/>
        <s v="CHIUSO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tente" refreshedDate="45813.404254050925" createdVersion="8" refreshedVersion="8" minRefreshableVersion="3" recordCount="1277" xr:uid="{A85CD57F-7F92-4D17-B2D8-9C6646FE6EF2}">
  <cacheSource type="worksheet">
    <worksheetSource ref="A170:W1294" sheet="GIACENZE_ATTUALI"/>
  </cacheSource>
  <cacheFields count="23">
    <cacheField name="Anno P." numFmtId="0">
      <sharedItems containsString="0" containsBlank="1" containsNumber="1" containsInteger="1" minValue="2" maxValue="51"/>
    </cacheField>
    <cacheField name="Set. P." numFmtId="0">
      <sharedItems containsString="0" containsBlank="1" containsNumber="1" containsInteger="1" minValue="2024" maxValue="2025"/>
    </cacheField>
    <cacheField name="Lotto Imballo" numFmtId="0">
      <sharedItems containsBlank="1"/>
    </cacheField>
    <cacheField name="Lotto Nocciole" numFmtId="0">
      <sharedItems containsBlank="1"/>
    </cacheField>
    <cacheField name="Tipo Imballo" numFmtId="0">
      <sharedItems containsBlank="1"/>
    </cacheField>
    <cacheField name="Descrizione           1" numFmtId="0">
      <sharedItems containsBlank="1" count="6">
        <s v="CONVENZIONALI"/>
        <s v="BIOLOGICHE"/>
        <s v="FAIR FOR LIFE"/>
        <s v="BIOSUISSE"/>
        <s v="GIFFONI"/>
        <m/>
      </sharedItems>
    </cacheField>
    <cacheField name="Descrizione           2" numFmtId="0">
      <sharedItems containsBlank="1" count="4">
        <s v="SGUSCIATE"/>
        <s v="ROTTAME"/>
        <s v="SCARTI"/>
        <m/>
      </sharedItems>
    </cacheField>
    <cacheField name="Descrizione           3" numFmtId="49">
      <sharedItems containsBlank="1" count="10">
        <s v="9/11"/>
        <s v="11/13"/>
        <s v="13/15"/>
        <s v="DA SCEGLIERE"/>
        <s v="VENTILATO"/>
        <s v="PICCOLO "/>
        <s v="GRANDE"/>
        <s v="SCELTO"/>
        <s v="SEMI NERI"/>
        <m/>
      </sharedItems>
    </cacheField>
    <cacheField name="Descrizione           4" numFmtId="49">
      <sharedItems containsBlank="1"/>
    </cacheField>
    <cacheField name="Q. Iniz" numFmtId="167">
      <sharedItems containsString="0" containsBlank="1" containsNumber="1" containsInteger="1" minValue="187" maxValue="1106"/>
    </cacheField>
    <cacheField name="Mov." numFmtId="167">
      <sharedItems containsString="0" containsBlank="1" containsNumber="1" containsInteger="1" minValue="0" maxValue="0"/>
    </cacheField>
    <cacheField name="Q. Disp." numFmtId="167">
      <sharedItems containsString="0" containsBlank="1" containsNumber="1" containsInteger="1" minValue="187" maxValue="1106"/>
    </cacheField>
    <cacheField name="Magazzino" numFmtId="0">
      <sharedItems containsBlank="1" count="5">
        <s v="Fabrica"/>
        <s v="Vignanello"/>
        <s v="Soriano"/>
        <m/>
        <s v="Caprarola" u="1"/>
      </sharedItems>
    </cacheField>
    <cacheField name="M.V" numFmtId="0">
      <sharedItems containsString="0" containsBlank="1" containsNumber="1" minValue="0" maxValue="1"/>
    </cacheField>
    <cacheField name="M.O." numFmtId="0">
      <sharedItems containsString="0" containsBlank="1" containsNumber="1" minValue="0" maxValue="0.24"/>
    </cacheField>
    <cacheField name="C.V." numFmtId="0">
      <sharedItems containsString="0" containsBlank="1" containsNumber="1" minValue="0" maxValue="0.32400000000000001"/>
    </cacheField>
    <cacheField name="C.O." numFmtId="0">
      <sharedItems containsString="0" containsBlank="1" containsNumber="1" minValue="0" maxValue="0.36"/>
    </cacheField>
    <cacheField name="C.E." numFmtId="0">
      <sharedItems containsString="0" containsBlank="1" containsNumber="1" minValue="0" maxValue="0.40500000000000003"/>
    </cacheField>
    <cacheField name="Stato" numFmtId="0">
      <sharedItems containsBlank="1" count="4">
        <s v="DISPONIBILE"/>
        <s v="ASSEGNATO"/>
        <s v=""/>
        <m/>
      </sharedItems>
    </cacheField>
    <cacheField name="Contratto" numFmtId="0">
      <sharedItems containsBlank="1"/>
    </cacheField>
    <cacheField name="Acquirente" numFmtId="0">
      <sharedItems containsBlank="1"/>
    </cacheField>
    <cacheField name="Indice qualità" numFmtId="0">
      <sharedItems containsBlank="1" containsMixedTypes="1" containsNumber="1" minValue="0" maxValue="38.033333333333331"/>
    </cacheField>
    <cacheField name="Fascia qualità" numFmtId="0">
      <sharedItems containsBlank="1" containsMixedTypes="1" containsNumber="1" containsInteger="1" minValue="1" maxValue="7" count="9">
        <n v="1"/>
        <n v="2"/>
        <n v="3"/>
        <n v="4"/>
        <n v="7"/>
        <n v="6"/>
        <n v="5"/>
        <s v="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n v="1"/>
    <x v="0"/>
    <x v="0"/>
    <x v="0"/>
    <x v="0"/>
    <x v="0"/>
    <n v="2.5000000000000001E-2"/>
    <n v="0.1"/>
    <n v="24000"/>
    <n v="0"/>
    <n v="24000"/>
    <x v="0"/>
  </r>
  <r>
    <n v="2"/>
    <x v="0"/>
    <x v="0"/>
    <x v="1"/>
    <x v="1"/>
    <x v="1"/>
    <n v="0.03"/>
    <n v="0.12"/>
    <n v="24000"/>
    <n v="24000"/>
    <n v="0"/>
    <x v="1"/>
  </r>
  <r>
    <n v="3"/>
    <x v="0"/>
    <x v="0"/>
    <x v="1"/>
    <x v="1"/>
    <x v="2"/>
    <n v="0.03"/>
    <n v="0.12"/>
    <n v="24000"/>
    <n v="24000"/>
    <n v="0"/>
    <x v="1"/>
  </r>
  <r>
    <n v="4"/>
    <x v="0"/>
    <x v="0"/>
    <x v="1"/>
    <x v="1"/>
    <x v="3"/>
    <n v="0.03"/>
    <n v="0.12"/>
    <n v="24000"/>
    <n v="24000"/>
    <n v="0"/>
    <x v="1"/>
  </r>
  <r>
    <s v="685-91"/>
    <x v="0"/>
    <x v="0"/>
    <x v="1"/>
    <x v="2"/>
    <x v="4"/>
    <m/>
    <m/>
    <n v="33000"/>
    <n v="3000"/>
    <n v="30000"/>
    <x v="0"/>
  </r>
  <r>
    <n v="5"/>
    <x v="0"/>
    <x v="0"/>
    <x v="1"/>
    <x v="1"/>
    <x v="5"/>
    <n v="0.02"/>
    <n v="0.08"/>
    <n v="18000"/>
    <n v="18000"/>
    <n v="0"/>
    <x v="1"/>
  </r>
  <r>
    <n v="6"/>
    <x v="0"/>
    <x v="0"/>
    <x v="2"/>
    <x v="1"/>
    <x v="1"/>
    <n v="0.02"/>
    <n v="0.08"/>
    <n v="24000"/>
    <n v="24000"/>
    <n v="0"/>
    <x v="1"/>
  </r>
  <r>
    <n v="7"/>
    <x v="0"/>
    <x v="0"/>
    <x v="2"/>
    <x v="1"/>
    <x v="1"/>
    <n v="0.03"/>
    <n v="0.12"/>
    <n v="24000"/>
    <n v="24000"/>
    <n v="0"/>
    <x v="1"/>
  </r>
  <r>
    <n v="8"/>
    <x v="0"/>
    <x v="0"/>
    <x v="2"/>
    <x v="1"/>
    <x v="2"/>
    <n v="0.03"/>
    <n v="0.12"/>
    <n v="24000"/>
    <n v="24000"/>
    <n v="0"/>
    <x v="1"/>
  </r>
  <r>
    <n v="9"/>
    <x v="0"/>
    <x v="0"/>
    <x v="2"/>
    <x v="1"/>
    <x v="0"/>
    <n v="0.03"/>
    <n v="0.1"/>
    <n v="24000"/>
    <n v="24000"/>
    <n v="0"/>
    <x v="1"/>
  </r>
  <r>
    <n v="10"/>
    <x v="0"/>
    <x v="0"/>
    <x v="2"/>
    <x v="1"/>
    <x v="5"/>
    <n v="0.02"/>
    <n v="0.08"/>
    <n v="6000"/>
    <n v="6000"/>
    <n v="0"/>
    <x v="1"/>
  </r>
  <r>
    <s v="685-90"/>
    <x v="0"/>
    <x v="1"/>
    <x v="3"/>
    <x v="2"/>
    <x v="4"/>
    <m/>
    <m/>
    <n v="20000"/>
    <n v="1101"/>
    <n v="18899"/>
    <x v="0"/>
  </r>
  <r>
    <s v="685-80BIS"/>
    <x v="1"/>
    <x v="0"/>
    <x v="1"/>
    <x v="2"/>
    <x v="4"/>
    <m/>
    <m/>
    <n v="18000"/>
    <n v="16800"/>
    <n v="1200"/>
    <x v="0"/>
  </r>
  <r>
    <s v="685-88"/>
    <x v="1"/>
    <x v="0"/>
    <x v="1"/>
    <x v="2"/>
    <x v="4"/>
    <m/>
    <m/>
    <n v="22500"/>
    <n v="13000"/>
    <n v="9500"/>
    <x v="0"/>
  </r>
  <r>
    <n v="250013"/>
    <x v="1"/>
    <x v="0"/>
    <x v="1"/>
    <x v="3"/>
    <x v="6"/>
    <m/>
    <m/>
    <n v="10000"/>
    <n v="10000"/>
    <n v="0"/>
    <x v="1"/>
  </r>
  <r>
    <s v="685-80BIS"/>
    <x v="1"/>
    <x v="0"/>
    <x v="2"/>
    <x v="2"/>
    <x v="4"/>
    <m/>
    <m/>
    <n v="42000"/>
    <n v="40000"/>
    <n v="2000"/>
    <x v="0"/>
  </r>
  <r>
    <s v="685-88"/>
    <x v="1"/>
    <x v="0"/>
    <x v="2"/>
    <x v="2"/>
    <x v="4"/>
    <m/>
    <m/>
    <n v="22500"/>
    <n v="4000"/>
    <n v="18500"/>
    <x v="0"/>
  </r>
  <r>
    <n v="250013"/>
    <x v="1"/>
    <x v="0"/>
    <x v="2"/>
    <x v="3"/>
    <x v="6"/>
    <m/>
    <m/>
    <n v="10000"/>
    <n v="10000"/>
    <n v="0"/>
    <x v="1"/>
  </r>
  <r>
    <s v="685-94"/>
    <x v="1"/>
    <x v="2"/>
    <x v="4"/>
    <x v="2"/>
    <x v="4"/>
    <m/>
    <m/>
    <n v="2000"/>
    <n v="1750"/>
    <n v="250"/>
    <x v="0"/>
  </r>
  <r>
    <s v="685-93"/>
    <x v="1"/>
    <x v="2"/>
    <x v="5"/>
    <x v="2"/>
    <x v="4"/>
    <m/>
    <m/>
    <n v="2600"/>
    <n v="750"/>
    <n v="1850"/>
    <x v="0"/>
  </r>
  <r>
    <s v="685-92"/>
    <x v="1"/>
    <x v="1"/>
    <x v="3"/>
    <x v="2"/>
    <x v="4"/>
    <m/>
    <m/>
    <n v="30000"/>
    <n v="9700"/>
    <n v="20300"/>
    <x v="0"/>
  </r>
  <r>
    <s v="685-80"/>
    <x v="2"/>
    <x v="0"/>
    <x v="1"/>
    <x v="2"/>
    <x v="4"/>
    <m/>
    <m/>
    <n v="40000"/>
    <n v="17000"/>
    <n v="23000"/>
    <x v="0"/>
  </r>
  <r>
    <s v="685-80"/>
    <x v="2"/>
    <x v="0"/>
    <x v="2"/>
    <x v="2"/>
    <x v="4"/>
    <m/>
    <m/>
    <n v="40000"/>
    <n v="21000"/>
    <n v="19000"/>
    <x v="0"/>
  </r>
  <r>
    <s v="685-96"/>
    <x v="1"/>
    <x v="1"/>
    <x v="4"/>
    <x v="2"/>
    <x v="3"/>
    <m/>
    <m/>
    <n v="3500"/>
    <n v="1625"/>
    <n v="1875"/>
    <x v="0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9">
  <r>
    <n v="45"/>
    <n v="2024"/>
    <m/>
    <s v="SO112024"/>
    <s v="BIG BAG N°3"/>
    <x v="0"/>
    <x v="0"/>
    <x v="0"/>
    <m/>
    <n v="1000"/>
    <n v="0"/>
    <n v="1000"/>
    <s v="Fabrica"/>
    <n v="3.0000000000000001E-3"/>
    <n v="1.3299999999999999E-2"/>
    <n v="0"/>
    <n v="3.3300000000000003E-2"/>
    <n v="0"/>
    <s v="DISPONIBILE"/>
    <m/>
    <m/>
  </r>
  <r>
    <n v="45"/>
    <n v="2024"/>
    <m/>
    <s v="SO112024"/>
    <s v="BIG BAG N°4"/>
    <x v="0"/>
    <x v="0"/>
    <x v="0"/>
    <m/>
    <n v="1000"/>
    <n v="0"/>
    <n v="1000"/>
    <s v="Fabrica"/>
    <n v="1E-3"/>
    <n v="6.6E-3"/>
    <n v="0"/>
    <n v="7.0000000000000007E-2"/>
    <n v="0"/>
    <s v="DISPONIBILE"/>
    <m/>
    <m/>
  </r>
  <r>
    <n v="45"/>
    <n v="2024"/>
    <m/>
    <s v="SO112024"/>
    <s v="BIG BAG N°5"/>
    <x v="0"/>
    <x v="0"/>
    <x v="0"/>
    <m/>
    <n v="1000"/>
    <n v="0"/>
    <n v="1000"/>
    <s v="Fabrica"/>
    <n v="2E-3"/>
    <n v="0.01"/>
    <n v="0"/>
    <n v="5.6599999999999998E-2"/>
    <n v="0"/>
    <s v="DISPONIBILE"/>
    <m/>
    <m/>
  </r>
  <r>
    <n v="46"/>
    <n v="2024"/>
    <m/>
    <s v="SO112024"/>
    <s v="BIG BAG N°7"/>
    <x v="0"/>
    <x v="0"/>
    <x v="0"/>
    <m/>
    <n v="1000"/>
    <n v="0"/>
    <n v="1000"/>
    <s v="Fabrica"/>
    <n v="2E-3"/>
    <n v="0.03"/>
    <n v="0"/>
    <n v="5.6599999999999998E-2"/>
    <n v="0"/>
    <s v="DISPONIBILE"/>
    <m/>
    <m/>
  </r>
  <r>
    <n v="46"/>
    <n v="2024"/>
    <m/>
    <s v="SO112024"/>
    <s v="BIG BAG N°10"/>
    <x v="0"/>
    <x v="0"/>
    <x v="0"/>
    <m/>
    <n v="1000"/>
    <n v="0"/>
    <n v="1000"/>
    <s v="Fabrica"/>
    <n v="2E-3"/>
    <n v="1.66E-2"/>
    <n v="0"/>
    <n v="0.08"/>
    <n v="0"/>
    <s v="DISPONIBILE"/>
    <m/>
    <m/>
  </r>
  <r>
    <n v="6"/>
    <n v="2025"/>
    <m/>
    <s v="SO022025"/>
    <s v="BIG BAG N°1"/>
    <x v="0"/>
    <x v="0"/>
    <x v="0"/>
    <m/>
    <n v="1000"/>
    <n v="0"/>
    <n v="1000"/>
    <s v="Fabrica"/>
    <n v="0"/>
    <n v="0.01"/>
    <n v="0"/>
    <n v="6.3299999999999995E-2"/>
    <n v="0"/>
    <s v="DISPONIBILE"/>
    <m/>
    <m/>
  </r>
  <r>
    <n v="6"/>
    <n v="2025"/>
    <m/>
    <s v="SO022025"/>
    <s v="BIG BAG N°2"/>
    <x v="0"/>
    <x v="0"/>
    <x v="0"/>
    <m/>
    <n v="1000"/>
    <n v="0"/>
    <n v="1000"/>
    <s v="Fabrica"/>
    <n v="1E-3"/>
    <n v="6.6E-3"/>
    <n v="0"/>
    <n v="5.6599999999999998E-2"/>
    <n v="0"/>
    <s v="DISPONIBILE"/>
    <m/>
    <m/>
  </r>
  <r>
    <n v="9"/>
    <n v="2025"/>
    <m/>
    <s v="SO022025"/>
    <s v="BIG BAG N°7"/>
    <x v="0"/>
    <x v="0"/>
    <x v="0"/>
    <m/>
    <n v="1000"/>
    <n v="0"/>
    <n v="1000"/>
    <s v="Fabrica"/>
    <n v="5.0000000000000001E-3"/>
    <n v="3.6600000000000001E-2"/>
    <n v="0"/>
    <n v="4.6600000000000003E-2"/>
    <n v="0"/>
    <s v="DISPONIBILE"/>
    <m/>
    <m/>
  </r>
  <r>
    <n v="47"/>
    <n v="2024"/>
    <m/>
    <s v="FA11/2024"/>
    <s v="BIG BAG N°1"/>
    <x v="0"/>
    <x v="0"/>
    <x v="0"/>
    <m/>
    <n v="1000"/>
    <n v="0"/>
    <n v="1000"/>
    <s v="Fabrica"/>
    <n v="1.6E-2"/>
    <n v="2.6599999999999999E-2"/>
    <n v="0"/>
    <n v="4.3299999999999998E-2"/>
    <n v="0"/>
    <s v="DISPONIBILE"/>
    <m/>
    <m/>
  </r>
  <r>
    <n v="48"/>
    <n v="2024"/>
    <m/>
    <s v="FA11/2024"/>
    <s v="BIG BAG N°2"/>
    <x v="0"/>
    <x v="0"/>
    <x v="0"/>
    <m/>
    <n v="1000"/>
    <n v="0"/>
    <n v="1000"/>
    <s v="Fabrica"/>
    <n v="5.0000000000000001E-3"/>
    <n v="3.6600000000000001E-2"/>
    <n v="0"/>
    <n v="2.3300000000000001E-2"/>
    <n v="0"/>
    <s v="DISPONIBILE"/>
    <m/>
    <m/>
  </r>
  <r>
    <n v="50"/>
    <n v="2024"/>
    <m/>
    <s v="FA12/2024"/>
    <s v="BIG BAG N°3"/>
    <x v="0"/>
    <x v="0"/>
    <x v="0"/>
    <m/>
    <n v="1000"/>
    <n v="0"/>
    <n v="1000"/>
    <s v="Fabrica"/>
    <n v="8.9999999999999993E-3"/>
    <n v="3.6600000000000001E-2"/>
    <n v="0"/>
    <n v="2.6599999999999999E-2"/>
    <n v="0"/>
    <s v="DISPONIBILE"/>
    <m/>
    <m/>
  </r>
  <r>
    <n v="51"/>
    <n v="2024"/>
    <m/>
    <s v="FA12/2024"/>
    <s v="BIG BAG N°4"/>
    <x v="0"/>
    <x v="0"/>
    <x v="0"/>
    <m/>
    <n v="1000"/>
    <n v="0"/>
    <n v="1000"/>
    <s v="Fabrica"/>
    <n v="7.0000000000000001E-3"/>
    <n v="0.02"/>
    <n v="0"/>
    <n v="0.04"/>
    <n v="0"/>
    <s v="DISPONIBILE"/>
    <m/>
    <m/>
  </r>
  <r>
    <n v="3"/>
    <n v="2025"/>
    <m/>
    <s v="FA01/2025"/>
    <s v="BIG BAG N°5"/>
    <x v="0"/>
    <x v="0"/>
    <x v="0"/>
    <m/>
    <n v="1000"/>
    <n v="0"/>
    <n v="1000"/>
    <s v="Fabrica"/>
    <n v="6.0000000000000001E-3"/>
    <n v="3.3300000000000003E-2"/>
    <n v="0"/>
    <n v="7.0000000000000007E-2"/>
    <n v="0"/>
    <s v="DISPONIBILE"/>
    <m/>
    <m/>
  </r>
  <r>
    <n v="4"/>
    <n v="2025"/>
    <m/>
    <s v="FA01/2025"/>
    <s v="BIG BAG N°6"/>
    <x v="0"/>
    <x v="0"/>
    <x v="0"/>
    <m/>
    <n v="1000"/>
    <n v="0"/>
    <n v="1000"/>
    <s v="Fabrica"/>
    <n v="5.0000000000000001E-3"/>
    <n v="0.02"/>
    <n v="0"/>
    <n v="2.6599999999999999E-2"/>
    <n v="0"/>
    <s v="DISPONIBILE"/>
    <m/>
    <m/>
  </r>
  <r>
    <n v="4"/>
    <n v="2025"/>
    <m/>
    <s v="FA01/2025"/>
    <s v="BIG BAG N°7"/>
    <x v="0"/>
    <x v="0"/>
    <x v="0"/>
    <m/>
    <n v="1000"/>
    <n v="0"/>
    <n v="1000"/>
    <s v="Fabrica"/>
    <n v="8.9999999999999993E-3"/>
    <n v="2.3300000000000001E-2"/>
    <n v="0"/>
    <n v="3.3300000000000003E-2"/>
    <n v="0"/>
    <s v="DISPONIBILE"/>
    <m/>
    <m/>
  </r>
  <r>
    <n v="4"/>
    <n v="2025"/>
    <m/>
    <s v="FA02/2025"/>
    <s v="BIG BAG N°8"/>
    <x v="0"/>
    <x v="0"/>
    <x v="0"/>
    <m/>
    <n v="1000"/>
    <n v="0"/>
    <n v="1000"/>
    <s v="Fabrica"/>
    <n v="6.0000000000000001E-3"/>
    <n v="1.66E-2"/>
    <n v="0"/>
    <n v="0.03"/>
    <n v="0"/>
    <s v="DISPONIBILE"/>
    <m/>
    <m/>
  </r>
  <r>
    <n v="4"/>
    <n v="2025"/>
    <m/>
    <s v="FA02/2025"/>
    <s v="BIG BAG N°9"/>
    <x v="0"/>
    <x v="0"/>
    <x v="0"/>
    <m/>
    <n v="1000"/>
    <n v="0"/>
    <n v="1000"/>
    <s v="Fabrica"/>
    <n v="6.0000000000000001E-3"/>
    <n v="0.01"/>
    <n v="0"/>
    <n v="1.66E-2"/>
    <n v="0"/>
    <s v="DISPONIBILE"/>
    <m/>
    <m/>
  </r>
  <r>
    <n v="8"/>
    <n v="2025"/>
    <m/>
    <s v="FA02/2025"/>
    <s v="BIG BAG N°10"/>
    <x v="0"/>
    <x v="0"/>
    <x v="0"/>
    <m/>
    <n v="1000"/>
    <n v="0"/>
    <n v="1000"/>
    <s v="Fabrica"/>
    <n v="7.0000000000000001E-3"/>
    <n v="3.3300000000000003E-2"/>
    <n v="0"/>
    <n v="2.6599999999999999E-2"/>
    <n v="0"/>
    <s v="DISPONIBILE"/>
    <m/>
    <m/>
  </r>
  <r>
    <n v="11"/>
    <n v="2025"/>
    <m/>
    <s v="FA03/2025"/>
    <s v="BIG BAG N°11"/>
    <x v="0"/>
    <x v="0"/>
    <x v="0"/>
    <m/>
    <n v="1000"/>
    <n v="0"/>
    <n v="1000"/>
    <s v="Fabrica"/>
    <n v="2E-3"/>
    <n v="1.66E-2"/>
    <n v="0"/>
    <n v="0.03"/>
    <n v="0"/>
    <s v="DISPONIBILE"/>
    <m/>
    <m/>
  </r>
  <r>
    <n v="11"/>
    <n v="2025"/>
    <m/>
    <s v="FA03/2025"/>
    <s v="BIG BAG N°12"/>
    <x v="0"/>
    <x v="0"/>
    <x v="0"/>
    <m/>
    <n v="1000"/>
    <n v="0"/>
    <n v="1000"/>
    <s v="Fabrica"/>
    <n v="2E-3"/>
    <n v="0.02"/>
    <n v="0"/>
    <n v="2.3300000000000001E-2"/>
    <n v="0"/>
    <s v="DISPONIBILE"/>
    <m/>
    <m/>
  </r>
  <r>
    <n v="11"/>
    <n v="2025"/>
    <m/>
    <s v="FA03/2025"/>
    <s v="BIG BAG N°13"/>
    <x v="0"/>
    <x v="0"/>
    <x v="0"/>
    <m/>
    <n v="1000"/>
    <n v="0"/>
    <n v="1000"/>
    <s v="Fabrica"/>
    <n v="6.0000000000000001E-3"/>
    <n v="3.3300000000000003E-2"/>
    <n v="0"/>
    <n v="0.03"/>
    <n v="0"/>
    <s v="DISPONIBILE"/>
    <m/>
    <m/>
  </r>
  <r>
    <n v="17"/>
    <n v="2025"/>
    <m/>
    <s v="FA03/2025"/>
    <s v="BIG BAG N°14"/>
    <x v="0"/>
    <x v="0"/>
    <x v="0"/>
    <m/>
    <n v="1000"/>
    <n v="0"/>
    <n v="1000"/>
    <s v="Fabrica"/>
    <n v="8.0000000000000002E-3"/>
    <n v="4.6600000000000003E-2"/>
    <n v="0"/>
    <n v="0.06"/>
    <n v="0"/>
    <s v="DISPONIBILE"/>
    <m/>
    <m/>
  </r>
  <r>
    <n v="17"/>
    <n v="2025"/>
    <m/>
    <s v="FA03/2025"/>
    <s v="BIG BAG N°15"/>
    <x v="0"/>
    <x v="0"/>
    <x v="0"/>
    <m/>
    <n v="1000"/>
    <n v="0"/>
    <n v="1000"/>
    <s v="Fabrica"/>
    <n v="6.0000000000000001E-3"/>
    <n v="6.6600000000000006E-2"/>
    <n v="0"/>
    <n v="6.6600000000000006E-2"/>
    <n v="0"/>
    <s v="DISPONIBILE"/>
    <m/>
    <m/>
  </r>
  <r>
    <n v="17"/>
    <n v="2025"/>
    <m/>
    <s v="FA04/2025"/>
    <s v="BIG BAG N°17"/>
    <x v="0"/>
    <x v="0"/>
    <x v="0"/>
    <m/>
    <n v="1000"/>
    <n v="0"/>
    <n v="1000"/>
    <s v="Fabrica"/>
    <n v="0.01"/>
    <n v="5.6599999999999998E-2"/>
    <n v="0"/>
    <n v="3.6600000000000001E-2"/>
    <n v="0"/>
    <s v="DISPONIBILE"/>
    <m/>
    <m/>
  </r>
  <r>
    <n v="45"/>
    <n v="2024"/>
    <m/>
    <s v="SO112024"/>
    <s v="BIG BAG N°12"/>
    <x v="0"/>
    <x v="0"/>
    <x v="1"/>
    <m/>
    <n v="1000"/>
    <n v="0"/>
    <n v="1000"/>
    <s v="Fabrica"/>
    <n v="0"/>
    <n v="3.3E-3"/>
    <n v="0"/>
    <n v="0.08"/>
    <n v="0"/>
    <s v="DISPONIBILE"/>
    <m/>
    <m/>
  </r>
  <r>
    <n v="6"/>
    <n v="2025"/>
    <m/>
    <s v="SO022025"/>
    <s v="BIG BAG N°1"/>
    <x v="0"/>
    <x v="0"/>
    <x v="1"/>
    <m/>
    <n v="1000"/>
    <n v="0"/>
    <n v="1000"/>
    <s v="Fabrica"/>
    <n v="1E-3"/>
    <n v="3.3E-3"/>
    <n v="0"/>
    <n v="0.1033"/>
    <n v="0"/>
    <s v="DISPONIBILE"/>
    <m/>
    <m/>
  </r>
  <r>
    <n v="6"/>
    <n v="2025"/>
    <m/>
    <s v="SO022025"/>
    <s v="BIG BAG N°3"/>
    <x v="0"/>
    <x v="0"/>
    <x v="1"/>
    <m/>
    <n v="1000"/>
    <n v="0"/>
    <n v="1000"/>
    <s v="Fabrica"/>
    <n v="1E-3"/>
    <n v="3.3E-3"/>
    <n v="0"/>
    <n v="0.1"/>
    <n v="0"/>
    <s v="DISPONIBILE"/>
    <m/>
    <m/>
  </r>
  <r>
    <n v="11"/>
    <n v="2025"/>
    <m/>
    <s v="SO032025"/>
    <s v="BIG BAG N°6"/>
    <x v="0"/>
    <x v="0"/>
    <x v="1"/>
    <m/>
    <n v="388"/>
    <n v="0"/>
    <n v="388"/>
    <s v="Fabrica"/>
    <n v="1E-3"/>
    <n v="0.02"/>
    <n v="0"/>
    <n v="0.1066"/>
    <n v="0"/>
    <s v="DISPONIBILE"/>
    <m/>
    <m/>
  </r>
  <r>
    <n v="8"/>
    <n v="2025"/>
    <m/>
    <s v="FA01/2025"/>
    <s v="BIG BAG N°37"/>
    <x v="0"/>
    <x v="0"/>
    <x v="1"/>
    <m/>
    <n v="1000"/>
    <n v="0"/>
    <n v="1000"/>
    <s v="Fabrica"/>
    <n v="8.9999999999999993E-3"/>
    <n v="0.05"/>
    <n v="0"/>
    <n v="5.33E-2"/>
    <n v="0"/>
    <s v="DISPONIBILE"/>
    <m/>
    <m/>
  </r>
  <r>
    <n v="17"/>
    <n v="2025"/>
    <m/>
    <s v="FA03/2025"/>
    <s v="BIG BAG N°48"/>
    <x v="0"/>
    <x v="0"/>
    <x v="1"/>
    <m/>
    <n v="1000"/>
    <n v="0"/>
    <n v="1000"/>
    <s v="Fabrica"/>
    <n v="3.0000000000000001E-3"/>
    <n v="4.6600000000000003E-2"/>
    <n v="0"/>
    <n v="4.3299999999999998E-2"/>
    <n v="0"/>
    <s v="DISPONIBILE"/>
    <m/>
    <m/>
  </r>
  <r>
    <n v="17"/>
    <n v="2025"/>
    <m/>
    <s v="FA03/2025"/>
    <s v="BIG BAG N°50"/>
    <x v="0"/>
    <x v="0"/>
    <x v="1"/>
    <m/>
    <n v="1000"/>
    <n v="0"/>
    <n v="1000"/>
    <s v="Fabrica"/>
    <n v="6.0000000000000001E-3"/>
    <n v="7.3300000000000004E-2"/>
    <n v="0"/>
    <n v="0.08"/>
    <n v="0"/>
    <s v="DISPONIBILE"/>
    <m/>
    <m/>
  </r>
  <r>
    <n v="17"/>
    <n v="2025"/>
    <m/>
    <s v="FA04/2025"/>
    <s v="BIG BAG N°51"/>
    <x v="0"/>
    <x v="0"/>
    <x v="1"/>
    <m/>
    <n v="1000"/>
    <n v="0"/>
    <n v="1000"/>
    <s v="Fabrica"/>
    <n v="4.0000000000000001E-3"/>
    <n v="0.05"/>
    <n v="0"/>
    <n v="6.3299999999999995E-2"/>
    <n v="0"/>
    <s v="DISPONIBILE"/>
    <m/>
    <m/>
  </r>
  <r>
    <n v="17"/>
    <n v="2025"/>
    <m/>
    <s v="FA04/2025"/>
    <s v="BIG BAG N°52"/>
    <x v="0"/>
    <x v="0"/>
    <x v="1"/>
    <m/>
    <n v="1000"/>
    <n v="0"/>
    <n v="1000"/>
    <s v="Fabrica"/>
    <n v="5.0000000000000001E-3"/>
    <n v="4.3299999999999998E-2"/>
    <n v="0"/>
    <n v="7.6600000000000001E-2"/>
    <n v="0"/>
    <s v="DISPONIBILE"/>
    <m/>
    <m/>
  </r>
  <r>
    <n v="6"/>
    <n v="2025"/>
    <m/>
    <s v="SO022025"/>
    <s v="BIG BAG N°5"/>
    <x v="0"/>
    <x v="0"/>
    <x v="2"/>
    <m/>
    <n v="1000"/>
    <n v="0"/>
    <n v="1000"/>
    <s v="Fabrica"/>
    <n v="1E-3"/>
    <n v="1.66E-2"/>
    <n v="0"/>
    <n v="0.1366"/>
    <n v="0"/>
    <s v="DISPONIBILE"/>
    <m/>
    <m/>
  </r>
  <r>
    <n v="6"/>
    <n v="2025"/>
    <m/>
    <s v="SO022025"/>
    <s v="BIG BAG N°7"/>
    <x v="0"/>
    <x v="0"/>
    <x v="2"/>
    <m/>
    <n v="1000"/>
    <n v="0"/>
    <n v="1000"/>
    <s v="Fabrica"/>
    <n v="1E-3"/>
    <n v="0.02"/>
    <n v="9.6600000000000005E-2"/>
    <n v="0"/>
    <n v="0"/>
    <s v="DISPONIBILE"/>
    <m/>
    <m/>
  </r>
  <r>
    <n v="6"/>
    <n v="2025"/>
    <m/>
    <s v="SO022025"/>
    <s v="BIG BAG N°9"/>
    <x v="0"/>
    <x v="0"/>
    <x v="2"/>
    <m/>
    <n v="1000"/>
    <n v="0"/>
    <n v="1000"/>
    <s v="Fabrica"/>
    <n v="0"/>
    <n v="6.6E-3"/>
    <n v="0"/>
    <n v="8.3299999999999999E-2"/>
    <n v="0"/>
    <s v="DISPONIBILE"/>
    <m/>
    <m/>
  </r>
  <r>
    <n v="6"/>
    <n v="2025"/>
    <m/>
    <s v="SO022025"/>
    <s v="BIG BAG N°13"/>
    <x v="0"/>
    <x v="0"/>
    <x v="2"/>
    <m/>
    <n v="1000"/>
    <n v="0"/>
    <n v="1000"/>
    <s v="Fabrica"/>
    <n v="1E-3"/>
    <n v="0.02"/>
    <n v="0"/>
    <n v="8.6599999999999996E-2"/>
    <n v="0"/>
    <s v="DISPONIBILE"/>
    <m/>
    <m/>
  </r>
  <r>
    <n v="6"/>
    <n v="2025"/>
    <m/>
    <s v="SO022025"/>
    <s v="BIG BAG N°16"/>
    <x v="0"/>
    <x v="0"/>
    <x v="2"/>
    <m/>
    <n v="1000"/>
    <n v="0"/>
    <n v="1000"/>
    <s v="Fabrica"/>
    <n v="1E-3"/>
    <n v="1.66E-2"/>
    <n v="0"/>
    <n v="8.6599999999999996E-2"/>
    <n v="0"/>
    <s v="DISPONIBILE"/>
    <m/>
    <m/>
  </r>
  <r>
    <n v="6"/>
    <n v="2025"/>
    <m/>
    <s v="SO022025"/>
    <s v="BIG BAG N°20"/>
    <x v="0"/>
    <x v="0"/>
    <x v="2"/>
    <m/>
    <n v="1000"/>
    <n v="0"/>
    <n v="1000"/>
    <s v="Fabrica"/>
    <n v="0"/>
    <n v="6.6E-3"/>
    <n v="0"/>
    <n v="0.08"/>
    <n v="0"/>
    <s v="DISPONIBILE"/>
    <m/>
    <m/>
  </r>
  <r>
    <n v="7"/>
    <n v="2025"/>
    <m/>
    <s v="SO022025"/>
    <s v="sacchi kg 25"/>
    <x v="0"/>
    <x v="0"/>
    <x v="2"/>
    <m/>
    <n v="1000"/>
    <n v="0"/>
    <n v="1000"/>
    <s v="Vignanello"/>
    <n v="0"/>
    <n v="0.02"/>
    <n v="0"/>
    <n v="0.12330000000000001"/>
    <n v="0"/>
    <s v="ASSEGNATO"/>
    <m/>
    <s v="SIKELIA"/>
  </r>
  <r>
    <n v="7"/>
    <n v="2025"/>
    <m/>
    <s v="SO022025"/>
    <s v="sacchi kg 25"/>
    <x v="0"/>
    <x v="0"/>
    <x v="2"/>
    <m/>
    <n v="1000"/>
    <n v="0"/>
    <n v="1000"/>
    <s v="Vignanello"/>
    <n v="0"/>
    <n v="2.3300000000000001E-2"/>
    <n v="0"/>
    <n v="0.11"/>
    <n v="0"/>
    <s v="ASSEGNATO"/>
    <m/>
    <s v="SIKELIA"/>
  </r>
  <r>
    <n v="11"/>
    <n v="2025"/>
    <m/>
    <s v="SO032025"/>
    <s v="BIG BAG N°5"/>
    <x v="0"/>
    <x v="0"/>
    <x v="2"/>
    <m/>
    <n v="680"/>
    <n v="0"/>
    <n v="680"/>
    <s v="Fabrica"/>
    <n v="2E-3"/>
    <n v="2.6599999999999999E-2"/>
    <n v="0"/>
    <n v="0.1133"/>
    <n v="0"/>
    <s v="DISPONIBILE"/>
    <m/>
    <m/>
  </r>
  <r>
    <n v="4"/>
    <n v="2025"/>
    <m/>
    <s v="FA01/2025"/>
    <s v="BIG BAG N°45"/>
    <x v="0"/>
    <x v="0"/>
    <x v="2"/>
    <m/>
    <n v="1000"/>
    <n v="0"/>
    <n v="1000"/>
    <s v="Fabrica"/>
    <n v="3.0000000000000001E-3"/>
    <n v="1.66E-2"/>
    <n v="0"/>
    <n v="0.06"/>
    <n v="0"/>
    <s v="DISPONIBILE"/>
    <m/>
    <m/>
  </r>
  <r>
    <n v="4"/>
    <n v="2025"/>
    <m/>
    <s v="FA01/2025"/>
    <s v="BIG BAG N°49"/>
    <x v="0"/>
    <x v="0"/>
    <x v="2"/>
    <m/>
    <n v="1000"/>
    <n v="0"/>
    <n v="1000"/>
    <s v="Fabrica"/>
    <n v="1E-3"/>
    <n v="1.66E-2"/>
    <n v="0"/>
    <n v="8.3299999999999999E-2"/>
    <n v="0"/>
    <s v="DISPONIBILE"/>
    <m/>
    <m/>
  </r>
  <r>
    <n v="5"/>
    <n v="2025"/>
    <m/>
    <s v="FA02/2025"/>
    <s v="BIG BAG N°53"/>
    <x v="0"/>
    <x v="0"/>
    <x v="2"/>
    <m/>
    <n v="1000"/>
    <n v="0"/>
    <n v="1000"/>
    <s v="Fabrica"/>
    <n v="5.0000000000000001E-3"/>
    <n v="1.3299999999999999E-2"/>
    <n v="0"/>
    <n v="7.0000000000000007E-2"/>
    <n v="0"/>
    <s v="DISPONIBILE"/>
    <m/>
    <m/>
  </r>
  <r>
    <n v="5"/>
    <n v="2025"/>
    <m/>
    <s v="FA02/2025"/>
    <s v="BIG BAG N°54"/>
    <x v="0"/>
    <x v="0"/>
    <x v="2"/>
    <m/>
    <n v="1000"/>
    <n v="0"/>
    <n v="1000"/>
    <s v="Fabrica"/>
    <n v="6.0000000000000001E-3"/>
    <n v="1.3299999999999999E-2"/>
    <n v="0"/>
    <n v="0.08"/>
    <n v="0"/>
    <s v="DISPONIBILE"/>
    <m/>
    <m/>
  </r>
  <r>
    <n v="8"/>
    <n v="2025"/>
    <m/>
    <s v="FA02/2025"/>
    <s v="BIG BAG N°63"/>
    <x v="0"/>
    <x v="0"/>
    <x v="2"/>
    <m/>
    <n v="500"/>
    <n v="0"/>
    <n v="500"/>
    <s v="Fabrica"/>
    <n v="7.0000000000000001E-3"/>
    <n v="0.06"/>
    <n v="0"/>
    <n v="3.6600000000000001E-2"/>
    <n v="0"/>
    <s v="DISPONIBILE"/>
    <m/>
    <m/>
  </r>
  <r>
    <n v="9"/>
    <n v="2025"/>
    <m/>
    <s v="FA02/2025"/>
    <s v="BIG BAG N°67"/>
    <x v="0"/>
    <x v="0"/>
    <x v="2"/>
    <m/>
    <n v="1000"/>
    <n v="0"/>
    <n v="1000"/>
    <s v="Fabrica"/>
    <n v="5.0000000000000001E-3"/>
    <n v="6.6600000000000006E-2"/>
    <n v="0"/>
    <n v="3.6600000000000001E-2"/>
    <n v="0"/>
    <s v="DISPONIBILE"/>
    <m/>
    <m/>
  </r>
  <r>
    <n v="11"/>
    <n v="2025"/>
    <m/>
    <s v="FA03/2025"/>
    <s v="BIG BAG N°75"/>
    <x v="0"/>
    <x v="0"/>
    <x v="2"/>
    <m/>
    <n v="1000"/>
    <n v="0"/>
    <n v="1000"/>
    <s v="Fabrica"/>
    <n v="2E-3"/>
    <n v="1.66E-2"/>
    <n v="0"/>
    <n v="3.6600000000000001E-2"/>
    <n v="0"/>
    <s v="DISPONIBILE"/>
    <m/>
    <m/>
  </r>
  <r>
    <n v="11"/>
    <n v="2025"/>
    <m/>
    <s v="FA03/2025"/>
    <s v="BIG BAG N°76"/>
    <x v="0"/>
    <x v="0"/>
    <x v="2"/>
    <m/>
    <n v="895"/>
    <n v="0"/>
    <n v="895"/>
    <s v="Fabrica"/>
    <n v="0.02"/>
    <n v="1.3299999999999999E-2"/>
    <n v="0"/>
    <n v="5.33E-2"/>
    <n v="0"/>
    <s v="DISPONIBILE"/>
    <m/>
    <m/>
  </r>
  <r>
    <n v="17"/>
    <n v="2025"/>
    <m/>
    <s v="FA03/2025"/>
    <s v="BIG BAG N°77"/>
    <x v="0"/>
    <x v="0"/>
    <x v="2"/>
    <m/>
    <n v="1000"/>
    <n v="0"/>
    <n v="1000"/>
    <s v="Fabrica"/>
    <n v="4.0000000000000001E-3"/>
    <n v="0.08"/>
    <n v="0"/>
    <n v="6.6600000000000006E-2"/>
    <n v="0"/>
    <s v="DISPONIBILE"/>
    <m/>
    <m/>
  </r>
  <r>
    <n v="17"/>
    <n v="2025"/>
    <m/>
    <s v="FA03/2025"/>
    <s v="BIG BAG N°78"/>
    <x v="0"/>
    <x v="0"/>
    <x v="2"/>
    <m/>
    <n v="1000"/>
    <n v="0"/>
    <n v="1000"/>
    <s v="Fabrica"/>
    <n v="3.0000000000000001E-3"/>
    <n v="0.1"/>
    <n v="0"/>
    <n v="5.33E-2"/>
    <n v="0"/>
    <s v="DISPONIBILE"/>
    <m/>
    <m/>
  </r>
  <r>
    <n v="17"/>
    <n v="2025"/>
    <m/>
    <s v="FA04/2025"/>
    <s v="BIG BAG N°80"/>
    <x v="0"/>
    <x v="0"/>
    <x v="2"/>
    <m/>
    <n v="1000"/>
    <n v="0"/>
    <n v="1000"/>
    <s v="Fabrica"/>
    <n v="7.0000000000000001E-3"/>
    <n v="0.06"/>
    <n v="0"/>
    <n v="0.04"/>
    <n v="0"/>
    <s v="DISPONIBILE"/>
    <m/>
    <m/>
  </r>
  <r>
    <n v="17"/>
    <n v="2025"/>
    <m/>
    <s v="FA04/2025"/>
    <s v="BIG BAG N°85"/>
    <x v="0"/>
    <x v="0"/>
    <x v="2"/>
    <m/>
    <n v="1000"/>
    <n v="0"/>
    <n v="1000"/>
    <s v="Fabrica"/>
    <n v="4.0000000000000001E-3"/>
    <n v="0.06"/>
    <n v="0"/>
    <n v="0.08"/>
    <n v="0"/>
    <s v="DISPONIBILE"/>
    <m/>
    <m/>
  </r>
  <r>
    <n v="17"/>
    <n v="2025"/>
    <m/>
    <s v="FA04/2025"/>
    <s v="BIG BAG N°87"/>
    <x v="0"/>
    <x v="0"/>
    <x v="2"/>
    <m/>
    <n v="1000"/>
    <n v="0"/>
    <n v="1000"/>
    <s v="Fabrica"/>
    <n v="8.0000000000000002E-3"/>
    <n v="3.6600000000000001E-2"/>
    <n v="0"/>
    <n v="6.6600000000000006E-2"/>
    <n v="0"/>
    <s v="DISPONIBILE"/>
    <m/>
    <m/>
  </r>
  <r>
    <n v="41"/>
    <n v="2024"/>
    <m/>
    <s v="SO102024"/>
    <s v="BIG BAG N°"/>
    <x v="0"/>
    <x v="1"/>
    <x v="3"/>
    <m/>
    <n v="1067"/>
    <n v="0"/>
    <n v="1067"/>
    <s v="Vignanello"/>
    <n v="6.7000000000000004E-2"/>
    <n v="0"/>
    <n v="0"/>
    <n v="0"/>
    <n v="1.2999999999999999E-2"/>
    <s v="DISPONIBILE"/>
    <m/>
    <m/>
  </r>
  <r>
    <n v="42"/>
    <n v="2024"/>
    <m/>
    <s v="SO102024"/>
    <s v="BIG BAG N°"/>
    <x v="0"/>
    <x v="1"/>
    <x v="3"/>
    <m/>
    <n v="1067"/>
    <n v="0"/>
    <n v="1067"/>
    <s v="Fabrica"/>
    <n v="0.38700000000000001"/>
    <n v="0"/>
    <n v="0"/>
    <n v="0"/>
    <n v="0.159"/>
    <s v="DISPONIBILE"/>
    <m/>
    <m/>
  </r>
  <r>
    <n v="42"/>
    <n v="2024"/>
    <m/>
    <s v="SO102024"/>
    <s v="BIG BAG N°"/>
    <x v="0"/>
    <x v="1"/>
    <x v="3"/>
    <m/>
    <n v="953"/>
    <n v="0"/>
    <n v="953"/>
    <s v="Fabrica"/>
    <n v="0.38700000000000001"/>
    <n v="0"/>
    <n v="0"/>
    <n v="0"/>
    <n v="0.159"/>
    <s v="DISPONIBILE"/>
    <m/>
    <m/>
  </r>
  <r>
    <n v="42"/>
    <n v="2024"/>
    <m/>
    <s v="SO102024"/>
    <s v="BIG BAG N°"/>
    <x v="0"/>
    <x v="1"/>
    <x v="3"/>
    <m/>
    <n v="965"/>
    <n v="0"/>
    <n v="965"/>
    <s v="Fabrica"/>
    <n v="0.35299999999999998"/>
    <n v="0"/>
    <n v="0"/>
    <n v="0"/>
    <n v="0.13900000000000001"/>
    <s v="DISPONIBILE"/>
    <m/>
    <m/>
  </r>
  <r>
    <n v="43"/>
    <n v="2024"/>
    <m/>
    <s v="SO102024"/>
    <s v="BIG BAG N°"/>
    <x v="0"/>
    <x v="1"/>
    <x v="3"/>
    <m/>
    <n v="932"/>
    <n v="0"/>
    <n v="932"/>
    <s v="Fabrica"/>
    <n v="0.312"/>
    <n v="0"/>
    <n v="0"/>
    <n v="0"/>
    <n v="0.115"/>
    <s v="DISPONIBILE"/>
    <m/>
    <m/>
  </r>
  <r>
    <n v="44"/>
    <n v="2024"/>
    <m/>
    <s v="SO102024"/>
    <s v="BIG BAG N°"/>
    <x v="0"/>
    <x v="1"/>
    <x v="3"/>
    <m/>
    <n v="1010"/>
    <n v="0"/>
    <n v="1010"/>
    <s v="Fabrica"/>
    <n v="0.24199999999999999"/>
    <n v="0"/>
    <n v="0"/>
    <n v="0"/>
    <n v="0.13900000000000001"/>
    <s v="DISPONIBILE"/>
    <m/>
    <m/>
  </r>
  <r>
    <n v="45"/>
    <n v="2024"/>
    <m/>
    <s v="SO112024"/>
    <s v="BIG BAG N°"/>
    <x v="0"/>
    <x v="1"/>
    <x v="3"/>
    <m/>
    <n v="1072"/>
    <n v="0"/>
    <n v="1072"/>
    <s v="Fabrica"/>
    <n v="0.13900000000000001"/>
    <n v="0"/>
    <n v="0"/>
    <n v="0"/>
    <n v="5.8999999999999997E-2"/>
    <s v="DISPONIBILE"/>
    <m/>
    <m/>
  </r>
  <r>
    <n v="46"/>
    <n v="2024"/>
    <m/>
    <s v="SO112024"/>
    <s v="BIG BAG N°"/>
    <x v="0"/>
    <x v="1"/>
    <x v="3"/>
    <m/>
    <n v="947"/>
    <n v="0"/>
    <n v="947"/>
    <s v="Fabrica"/>
    <n v="0.14299999999999999"/>
    <n v="0"/>
    <n v="0"/>
    <n v="0"/>
    <n v="0.1"/>
    <s v="DISPONIBILE"/>
    <m/>
    <m/>
  </r>
  <r>
    <n v="46"/>
    <n v="2024"/>
    <m/>
    <s v="SO112024"/>
    <s v="BIG BAG N°"/>
    <x v="0"/>
    <x v="1"/>
    <x v="3"/>
    <m/>
    <n v="1009"/>
    <n v="0"/>
    <n v="1009"/>
    <s v="Fabrica"/>
    <n v="9.9000000000000005E-2"/>
    <n v="0"/>
    <n v="0"/>
    <n v="0"/>
    <n v="0.23899999999999999"/>
    <s v="DISPONIBILE"/>
    <m/>
    <m/>
  </r>
  <r>
    <n v="47"/>
    <n v="2024"/>
    <m/>
    <s v="SO112024"/>
    <s v="BIG BAG N°"/>
    <x v="0"/>
    <x v="1"/>
    <x v="3"/>
    <m/>
    <n v="973"/>
    <n v="0"/>
    <n v="973"/>
    <s v="Fabrica"/>
    <n v="0.19800000000000001"/>
    <n v="0"/>
    <n v="0"/>
    <n v="0"/>
    <n v="0.123"/>
    <s v="DISPONIBILE"/>
    <m/>
    <m/>
  </r>
  <r>
    <n v="47"/>
    <n v="2024"/>
    <m/>
    <s v="SO112024"/>
    <s v="BIG BAG N°"/>
    <x v="0"/>
    <x v="1"/>
    <x v="3"/>
    <m/>
    <n v="800"/>
    <n v="0"/>
    <n v="800"/>
    <s v="Fabrica"/>
    <n v="0.19800000000000001"/>
    <n v="0"/>
    <n v="0"/>
    <n v="0"/>
    <n v="0.123"/>
    <s v="DISPONIBILE"/>
    <m/>
    <m/>
  </r>
  <r>
    <n v="6"/>
    <n v="2025"/>
    <m/>
    <s v="SO022025"/>
    <s v="BIG BAG N°"/>
    <x v="0"/>
    <x v="1"/>
    <x v="3"/>
    <m/>
    <n v="968"/>
    <n v="0"/>
    <n v="968"/>
    <s v="Fabrica"/>
    <n v="0.23599999999999999"/>
    <n v="0"/>
    <n v="0"/>
    <n v="0"/>
    <n v="0.192"/>
    <s v="DISPONIBILE"/>
    <m/>
    <m/>
  </r>
  <r>
    <n v="6"/>
    <n v="2025"/>
    <m/>
    <s v="SO022025"/>
    <s v="BIG BAG N°"/>
    <x v="0"/>
    <x v="1"/>
    <x v="3"/>
    <m/>
    <n v="803"/>
    <n v="0"/>
    <n v="803"/>
    <s v="Fabrica"/>
    <n v="0.316"/>
    <n v="0"/>
    <n v="0"/>
    <n v="0"/>
    <n v="0.11899999999999999"/>
    <s v="DISPONIBILE"/>
    <m/>
    <m/>
  </r>
  <r>
    <n v="6"/>
    <n v="2025"/>
    <m/>
    <s v="SO022025"/>
    <s v="BIG BAG N°"/>
    <x v="0"/>
    <x v="1"/>
    <x v="3"/>
    <m/>
    <n v="1017"/>
    <n v="0"/>
    <n v="1017"/>
    <s v="Fabrica"/>
    <n v="0.29599999999999999"/>
    <n v="0"/>
    <n v="0"/>
    <n v="0"/>
    <n v="0.13800000000000001"/>
    <s v="DISPONIBILE"/>
    <m/>
    <m/>
  </r>
  <r>
    <n v="6"/>
    <n v="2025"/>
    <m/>
    <s v="SO022025"/>
    <s v="BIG BAG N°"/>
    <x v="0"/>
    <x v="1"/>
    <x v="3"/>
    <m/>
    <n v="930"/>
    <n v="0"/>
    <n v="930"/>
    <s v="Fabrica"/>
    <n v="0.218"/>
    <n v="0"/>
    <n v="0"/>
    <n v="0"/>
    <n v="0.159"/>
    <s v="DISPONIBILE"/>
    <m/>
    <m/>
  </r>
  <r>
    <n v="8"/>
    <n v="2025"/>
    <m/>
    <s v="SO022025"/>
    <s v="BIG BAG N°"/>
    <x v="0"/>
    <x v="1"/>
    <x v="3"/>
    <m/>
    <n v="967"/>
    <n v="0"/>
    <n v="967"/>
    <s v="Fabrica"/>
    <n v="0.33600000000000002"/>
    <n v="0"/>
    <n v="0"/>
    <n v="0"/>
    <n v="0.11600000000000001"/>
    <s v="DISPONIBILE"/>
    <m/>
    <m/>
  </r>
  <r>
    <n v="9"/>
    <n v="2025"/>
    <m/>
    <s v="SO022025"/>
    <s v="BIG BAG N°"/>
    <x v="0"/>
    <x v="1"/>
    <x v="3"/>
    <m/>
    <n v="990"/>
    <n v="0"/>
    <n v="990"/>
    <s v="Fabrica"/>
    <n v="0.39200000000000002"/>
    <n v="0"/>
    <n v="0"/>
    <n v="0"/>
    <n v="0.13300000000000001"/>
    <s v="DISPONIBILE"/>
    <m/>
    <m/>
  </r>
  <r>
    <n v="9"/>
    <n v="2025"/>
    <m/>
    <s v="SO022025"/>
    <s v="BIG BAG N°"/>
    <x v="0"/>
    <x v="1"/>
    <x v="3"/>
    <m/>
    <n v="916"/>
    <n v="0"/>
    <n v="916"/>
    <s v="Fabrica"/>
    <n v="0.316"/>
    <n v="0"/>
    <n v="0"/>
    <n v="0"/>
    <n v="0.115"/>
    <s v="DISPONIBILE"/>
    <m/>
    <m/>
  </r>
  <r>
    <n v="11"/>
    <n v="2025"/>
    <m/>
    <s v="SO032025"/>
    <s v="BIG BAG N°"/>
    <x v="0"/>
    <x v="1"/>
    <x v="3"/>
    <m/>
    <n v="913"/>
    <n v="0"/>
    <n v="913"/>
    <s v="Fabrica"/>
    <n v="0.36399999999999999"/>
    <n v="0"/>
    <n v="0"/>
    <n v="0"/>
    <n v="0.39200000000000002"/>
    <s v="DISPONIBILE"/>
    <m/>
    <m/>
  </r>
  <r>
    <n v="11"/>
    <n v="2025"/>
    <m/>
    <s v="SO032025"/>
    <s v="BIG BAG N°"/>
    <x v="0"/>
    <x v="1"/>
    <x v="3"/>
    <m/>
    <n v="639"/>
    <n v="0"/>
    <n v="639"/>
    <s v="Fabrica"/>
    <n v="0.32300000000000001"/>
    <n v="0"/>
    <n v="0"/>
    <n v="0"/>
    <n v="0.40500000000000003"/>
    <s v="DISPONIBILE"/>
    <m/>
    <m/>
  </r>
  <r>
    <n v="11"/>
    <n v="2025"/>
    <m/>
    <s v="SO032025"/>
    <s v="BIG BAG N°"/>
    <x v="0"/>
    <x v="1"/>
    <x v="4"/>
    <m/>
    <n v="910"/>
    <n v="0"/>
    <n v="910"/>
    <s v="Fabrica"/>
    <n v="4.5999999999999999E-2"/>
    <n v="0"/>
    <n v="0"/>
    <n v="0"/>
    <n v="0"/>
    <s v="DISPONIBILE"/>
    <m/>
    <m/>
  </r>
  <r>
    <n v="9"/>
    <n v="2025"/>
    <m/>
    <s v="FA02/2025"/>
    <s v="BIG BAG N°"/>
    <x v="0"/>
    <x v="1"/>
    <x v="5"/>
    <m/>
    <n v="890"/>
    <n v="0"/>
    <n v="890"/>
    <s v="Fabrica"/>
    <m/>
    <m/>
    <n v="7.4999999999999997E-2"/>
    <n v="0.185"/>
    <n v="6.0000000000000001E-3"/>
    <s v="DISPONIBILE"/>
    <m/>
    <m/>
  </r>
  <r>
    <n v="9"/>
    <n v="2025"/>
    <m/>
    <s v="FA02/2025"/>
    <s v="BIG BAG N°"/>
    <x v="0"/>
    <x v="1"/>
    <x v="5"/>
    <m/>
    <n v="1000"/>
    <n v="0"/>
    <n v="1000"/>
    <s v="Fabrica"/>
    <m/>
    <m/>
    <n v="5.2000000000000005E-2"/>
    <n v="0.34600000000000003"/>
    <n v="2E-3"/>
    <s v="DISPONIBILE"/>
    <m/>
    <m/>
  </r>
  <r>
    <n v="9"/>
    <n v="2025"/>
    <m/>
    <s v="FA02/2025"/>
    <s v="BIG BAG N°"/>
    <x v="0"/>
    <x v="1"/>
    <x v="5"/>
    <m/>
    <n v="703"/>
    <n v="0"/>
    <n v="703"/>
    <s v="Fabrica"/>
    <m/>
    <m/>
    <n v="9.8000000000000004E-2"/>
    <n v="0.35799999999999998"/>
    <n v="2E-3"/>
    <s v="DISPONIBILE"/>
    <m/>
    <m/>
  </r>
  <r>
    <n v="9"/>
    <n v="2025"/>
    <m/>
    <s v="FA02/2025"/>
    <s v="BIG BAG N°"/>
    <x v="0"/>
    <x v="1"/>
    <x v="5"/>
    <m/>
    <n v="841"/>
    <n v="0"/>
    <n v="841"/>
    <s v="Fabrica"/>
    <m/>
    <m/>
    <n v="0.11"/>
    <n v="0.20800000000000002"/>
    <n v="0.01"/>
    <s v="DISPONIBILE"/>
    <m/>
    <m/>
  </r>
  <r>
    <n v="9"/>
    <n v="2025"/>
    <m/>
    <s v="FA02/2025"/>
    <s v="BIG BAG N°"/>
    <x v="0"/>
    <x v="1"/>
    <x v="5"/>
    <m/>
    <n v="961"/>
    <n v="0"/>
    <n v="961"/>
    <s v="Fabrica"/>
    <m/>
    <m/>
    <n v="6.4000000000000001E-2"/>
    <n v="0.24"/>
    <n v="2E-3"/>
    <s v="DISPONIBILE"/>
    <m/>
    <m/>
  </r>
  <r>
    <n v="9"/>
    <n v="2025"/>
    <m/>
    <s v="FA02/2025"/>
    <s v="BIG BAG N°"/>
    <x v="0"/>
    <x v="1"/>
    <x v="5"/>
    <m/>
    <n v="974"/>
    <n v="0"/>
    <n v="974"/>
    <s v="Fabrica"/>
    <m/>
    <m/>
    <n v="5.2000000000000005E-2"/>
    <n v="0.17800000000000002"/>
    <n v="0"/>
    <s v="DISPONIBILE"/>
    <m/>
    <m/>
  </r>
  <r>
    <n v="9"/>
    <n v="2025"/>
    <m/>
    <s v="FA02/2025"/>
    <s v="BIG BAG N°"/>
    <x v="0"/>
    <x v="1"/>
    <x v="5"/>
    <m/>
    <n v="920"/>
    <n v="0"/>
    <n v="920"/>
    <s v="Fabrica"/>
    <m/>
    <m/>
    <n v="7.8E-2"/>
    <n v="0.248"/>
    <n v="2E-3"/>
    <s v="DISPONIBILE"/>
    <m/>
    <m/>
  </r>
  <r>
    <n v="14"/>
    <n v="2025"/>
    <m/>
    <s v="FA03/2025"/>
    <s v="BIG BAG N°"/>
    <x v="0"/>
    <x v="1"/>
    <x v="5"/>
    <m/>
    <n v="1083"/>
    <n v="0"/>
    <n v="1083"/>
    <s v="Fabrica"/>
    <m/>
    <m/>
    <n v="8.0000000000000002E-3"/>
    <n v="0.312"/>
    <n v="2E-3"/>
    <s v="DISPONIBILE"/>
    <m/>
    <m/>
  </r>
  <r>
    <n v="9"/>
    <n v="2025"/>
    <m/>
    <s v="FA02/2025"/>
    <s v="BIG BAG N°"/>
    <x v="0"/>
    <x v="1"/>
    <x v="6"/>
    <m/>
    <n v="995"/>
    <n v="0"/>
    <n v="995"/>
    <s v="Fabrica"/>
    <m/>
    <m/>
    <n v="1.8000000000000002E-2"/>
    <n v="0.17399999999999999"/>
    <n v="6.0000000000000001E-3"/>
    <s v="DISPONIBILE"/>
    <m/>
    <m/>
  </r>
  <r>
    <n v="9"/>
    <n v="2025"/>
    <m/>
    <s v="FA02/2025"/>
    <s v="BIG BAG N°"/>
    <x v="0"/>
    <x v="1"/>
    <x v="6"/>
    <m/>
    <n v="895"/>
    <n v="0"/>
    <n v="895"/>
    <s v="Vignanello"/>
    <m/>
    <m/>
    <n v="5.4000000000000006E-2"/>
    <n v="0.20199999999999999"/>
    <n v="8.0000000000000002E-3"/>
    <s v="DISPONIBILE"/>
    <m/>
    <m/>
  </r>
  <r>
    <n v="9"/>
    <n v="2025"/>
    <m/>
    <s v="FA02/2025"/>
    <s v="BIG BAG N°"/>
    <x v="0"/>
    <x v="1"/>
    <x v="6"/>
    <m/>
    <n v="854"/>
    <n v="0"/>
    <n v="854"/>
    <s v="Fabrica"/>
    <m/>
    <m/>
    <n v="0.03"/>
    <n v="0.27"/>
    <n v="2E-3"/>
    <s v="DISPONIBILE"/>
    <m/>
    <m/>
  </r>
  <r>
    <n v="9"/>
    <n v="2025"/>
    <m/>
    <s v="FA02/2025"/>
    <s v="BIG BAG N°"/>
    <x v="0"/>
    <x v="1"/>
    <x v="6"/>
    <m/>
    <n v="965"/>
    <n v="0"/>
    <n v="965"/>
    <s v="Fabrica"/>
    <m/>
    <m/>
    <n v="2.4E-2"/>
    <n v="0.17199999999999999"/>
    <n v="6.9999999999999993E-3"/>
    <s v="DISPONIBILE"/>
    <m/>
    <m/>
  </r>
  <r>
    <n v="9"/>
    <n v="2025"/>
    <m/>
    <s v="FA02/2025"/>
    <s v="BIG BAG N°"/>
    <x v="0"/>
    <x v="1"/>
    <x v="6"/>
    <m/>
    <n v="956"/>
    <n v="0"/>
    <n v="956"/>
    <s v="Fabrica"/>
    <m/>
    <m/>
    <n v="1.6E-2"/>
    <n v="0.36"/>
    <n v="6.0000000000000001E-3"/>
    <s v="DISPONIBILE"/>
    <m/>
    <m/>
  </r>
  <r>
    <n v="9"/>
    <n v="2025"/>
    <m/>
    <s v="FA02/2025"/>
    <s v="BIG BAG N°"/>
    <x v="0"/>
    <x v="1"/>
    <x v="6"/>
    <m/>
    <n v="880"/>
    <n v="0"/>
    <n v="880"/>
    <s v="Fabrica"/>
    <m/>
    <m/>
    <n v="0.32400000000000001"/>
    <n v="0.122"/>
    <n v="1.8000000000000002E-2"/>
    <s v="DISPONIBILE"/>
    <m/>
    <m/>
  </r>
  <r>
    <n v="9"/>
    <n v="2025"/>
    <m/>
    <s v="FA02/2025"/>
    <s v="BIG BAG N°"/>
    <x v="0"/>
    <x v="1"/>
    <x v="6"/>
    <m/>
    <n v="995"/>
    <n v="0"/>
    <n v="995"/>
    <s v="Fabrica"/>
    <m/>
    <m/>
    <n v="1.2E-2"/>
    <n v="0.16800000000000001"/>
    <n v="4.0000000000000001E-3"/>
    <s v="DISPONIBILE"/>
    <m/>
    <m/>
  </r>
  <r>
    <n v="9"/>
    <n v="2025"/>
    <m/>
    <s v="FA02/2025"/>
    <s v="BIG BAG N°"/>
    <x v="0"/>
    <x v="1"/>
    <x v="6"/>
    <m/>
    <n v="745"/>
    <n v="0"/>
    <n v="745"/>
    <s v="Fabrica"/>
    <m/>
    <m/>
    <n v="5.4000000000000006E-2"/>
    <n v="0.19600000000000001"/>
    <n v="4.0000000000000001E-3"/>
    <s v="DISPONIBILE"/>
    <m/>
    <m/>
  </r>
  <r>
    <n v="9"/>
    <n v="2025"/>
    <m/>
    <s v="FA02/2025"/>
    <s v="BIG BAG N°"/>
    <x v="0"/>
    <x v="1"/>
    <x v="6"/>
    <m/>
    <n v="743"/>
    <n v="0"/>
    <n v="743"/>
    <s v="Fabrica"/>
    <m/>
    <m/>
    <n v="1.6E-2"/>
    <n v="0.18"/>
    <n v="0"/>
    <s v="DISPONIBILE"/>
    <m/>
    <m/>
  </r>
  <r>
    <n v="11"/>
    <n v="2025"/>
    <m/>
    <s v="FA03/2025"/>
    <s v="BIG BAG N°"/>
    <x v="0"/>
    <x v="1"/>
    <x v="6"/>
    <m/>
    <n v="1031"/>
    <n v="0"/>
    <n v="1031"/>
    <s v="Fabrica"/>
    <m/>
    <m/>
    <n v="1E-3"/>
    <n v="0.218"/>
    <n v="0"/>
    <s v="DISPONIBILE"/>
    <m/>
    <m/>
  </r>
  <r>
    <n v="14"/>
    <n v="2025"/>
    <m/>
    <s v="FA03/2025"/>
    <s v="BIG BAG N°"/>
    <x v="0"/>
    <x v="1"/>
    <x v="6"/>
    <m/>
    <n v="955"/>
    <n v="0"/>
    <n v="955"/>
    <s v="Fabrica"/>
    <m/>
    <m/>
    <n v="3.7999999999999999E-2"/>
    <n v="0.33600000000000002"/>
    <n v="0"/>
    <s v="DISPONIBILE"/>
    <m/>
    <m/>
  </r>
  <r>
    <n v="17"/>
    <n v="2025"/>
    <m/>
    <s v="FA04/2025"/>
    <s v="BIG BAG N°"/>
    <x v="0"/>
    <x v="1"/>
    <x v="6"/>
    <m/>
    <n v="1015"/>
    <n v="0"/>
    <n v="1015"/>
    <s v="Fabrica"/>
    <m/>
    <m/>
    <n v="4.5999999999999999E-2"/>
    <n v="0.11800000000000001"/>
    <n v="4.0000000000000003E-5"/>
    <s v="DISPONIBILE"/>
    <m/>
    <m/>
  </r>
  <r>
    <n v="17"/>
    <n v="2025"/>
    <m/>
    <s v="FA04/2025"/>
    <s v="BIG BAG N°"/>
    <x v="0"/>
    <x v="1"/>
    <x v="6"/>
    <m/>
    <n v="967"/>
    <n v="0"/>
    <n v="967"/>
    <s v="Fabrica"/>
    <m/>
    <m/>
    <n v="4.5999999999999999E-2"/>
    <n v="0.11800000000000001"/>
    <n v="4.0000000000000003E-5"/>
    <s v="DISPONIBILE"/>
    <m/>
    <m/>
  </r>
  <r>
    <n v="43"/>
    <n v="2024"/>
    <m/>
    <s v="SO102024"/>
    <s v="BIG BAG N°"/>
    <x v="0"/>
    <x v="2"/>
    <x v="2"/>
    <s v="TIPO 2"/>
    <n v="942"/>
    <n v="0"/>
    <n v="942"/>
    <s v="Fabrica"/>
    <n v="0.24299999999999999"/>
    <n v="0.15659999999999999"/>
    <n v="0"/>
    <n v="0.1966"/>
    <n v="6.0000000000000001E-3"/>
    <s v="DISPONIBILE"/>
    <m/>
    <m/>
  </r>
  <r>
    <n v="46"/>
    <n v="2024"/>
    <m/>
    <s v="SO112024"/>
    <s v="BIG BAG N°"/>
    <x v="0"/>
    <x v="2"/>
    <x v="2"/>
    <s v="TIPO 1"/>
    <n v="1054"/>
    <n v="0"/>
    <n v="1054"/>
    <s v="Fabrica"/>
    <n v="0.80100000000000005"/>
    <n v="0.2"/>
    <n v="0"/>
    <n v="0.1"/>
    <n v="4.2000000000000003E-2"/>
    <s v="DISPONIBILE"/>
    <m/>
    <m/>
  </r>
  <r>
    <n v="47"/>
    <n v="2024"/>
    <m/>
    <s v="SO112024"/>
    <s v="BIG BAG N°"/>
    <x v="0"/>
    <x v="2"/>
    <x v="2"/>
    <s v="TIPO 2"/>
    <n v="918"/>
    <n v="0"/>
    <n v="918"/>
    <s v="Fabrica"/>
    <n v="0.318"/>
    <n v="0.17"/>
    <n v="0"/>
    <n v="0.26329999999999998"/>
    <n v="5.2999999999999999E-2"/>
    <s v="DISPONIBILE"/>
    <m/>
    <m/>
  </r>
  <r>
    <n v="7"/>
    <n v="2025"/>
    <m/>
    <s v="SO022025"/>
    <s v="BIG BAG N°"/>
    <x v="0"/>
    <x v="2"/>
    <x v="2"/>
    <s v="TIPO 2"/>
    <n v="1077"/>
    <n v="0"/>
    <n v="1077"/>
    <s v="Fabrica"/>
    <n v="0.19800000000000001"/>
    <n v="0.16"/>
    <n v="0"/>
    <n v="0.28000000000000003"/>
    <n v="1.9E-2"/>
    <s v="DISPONIBILE"/>
    <m/>
    <m/>
  </r>
  <r>
    <n v="9"/>
    <n v="2025"/>
    <m/>
    <s v="SO022025"/>
    <s v="BIG BAG N°"/>
    <x v="0"/>
    <x v="2"/>
    <x v="2"/>
    <s v="TIPO 1"/>
    <n v="927"/>
    <n v="0"/>
    <n v="927"/>
    <s v="Fabrica"/>
    <n v="0.54"/>
    <n v="0.24"/>
    <n v="0"/>
    <n v="0.21"/>
    <n v="1.4E-2"/>
    <s v="DISPONIBILE"/>
    <m/>
    <m/>
  </r>
  <r>
    <n v="11"/>
    <n v="2025"/>
    <m/>
    <s v="SO032025"/>
    <s v="BIG BAG N°"/>
    <x v="0"/>
    <x v="2"/>
    <x v="2"/>
    <s v="TIPO 2"/>
    <n v="977"/>
    <n v="0"/>
    <n v="977"/>
    <s v="Fabrica"/>
    <n v="0.40200000000000002"/>
    <n v="0.22"/>
    <n v="0"/>
    <n v="0.2"/>
    <n v="1.2E-2"/>
    <s v="DISPONIBILE"/>
    <m/>
    <m/>
  </r>
  <r>
    <n v="9"/>
    <n v="2025"/>
    <m/>
    <s v="FA02/2025"/>
    <s v="BIG BAG N°"/>
    <x v="0"/>
    <x v="2"/>
    <x v="2"/>
    <s v="TIPO 2"/>
    <n v="979"/>
    <n v="0"/>
    <n v="979"/>
    <s v="Fabrica"/>
    <n v="0.216"/>
    <n v="6.5000000000000002E-2"/>
    <n v="0"/>
    <n v="0.13"/>
    <n v="4.8000000000000001E-2"/>
    <s v="DISPONIBILE"/>
    <m/>
    <m/>
  </r>
  <r>
    <n v="43"/>
    <n v="2024"/>
    <m/>
    <s v="SO102024"/>
    <s v="BIG BAG N°"/>
    <x v="0"/>
    <x v="2"/>
    <x v="1"/>
    <s v="TIPO 2"/>
    <n v="985"/>
    <n v="0"/>
    <n v="985"/>
    <s v="Fabrica"/>
    <n v="0.32300000000000001"/>
    <n v="0.1333"/>
    <n v="0"/>
    <n v="0.14330000000000001"/>
    <n v="2E-3"/>
    <s v="DISPONIBILE"/>
    <m/>
    <m/>
  </r>
  <r>
    <n v="47"/>
    <n v="2024"/>
    <m/>
    <s v="SO112024"/>
    <s v="BIG BAG N°"/>
    <x v="0"/>
    <x v="2"/>
    <x v="1"/>
    <s v="TIPO 1"/>
    <n v="1053"/>
    <n v="0"/>
    <n v="1053"/>
    <s v="Fabrica"/>
    <n v="0.69299999999999995"/>
    <n v="0.12"/>
    <n v="0"/>
    <n v="0.19"/>
    <n v="2.9000000000000001E-2"/>
    <s v="DISPONIBILE"/>
    <m/>
    <m/>
  </r>
  <r>
    <n v="47"/>
    <n v="2024"/>
    <m/>
    <s v="SO112024"/>
    <s v="BIG BAG N°"/>
    <x v="0"/>
    <x v="2"/>
    <x v="1"/>
    <s v="TIPO 2"/>
    <n v="988"/>
    <n v="0"/>
    <n v="988"/>
    <s v="Fabrica"/>
    <n v="0.33900000000000002"/>
    <n v="0.15"/>
    <n v="0"/>
    <n v="0.18"/>
    <n v="1.7999999999999999E-2"/>
    <s v="DISPONIBILE"/>
    <m/>
    <m/>
  </r>
  <r>
    <n v="8"/>
    <n v="2025"/>
    <m/>
    <s v="SO022025"/>
    <s v="BIG BAG N°"/>
    <x v="0"/>
    <x v="2"/>
    <x v="1"/>
    <s v="TIPO 2"/>
    <n v="833"/>
    <n v="0"/>
    <n v="833"/>
    <s v="Fabrica"/>
    <n v="0.26800000000000002"/>
    <n v="0.12"/>
    <n v="0"/>
    <n v="0.26"/>
    <n v="3.5000000000000003E-2"/>
    <s v="DISPONIBILE"/>
    <m/>
    <m/>
  </r>
  <r>
    <n v="9"/>
    <n v="2025"/>
    <m/>
    <s v="SO022025"/>
    <s v="BIG BAG N°"/>
    <x v="0"/>
    <x v="2"/>
    <x v="1"/>
    <s v="TIPO 1"/>
    <n v="1054"/>
    <n v="0"/>
    <n v="1054"/>
    <s v="Fabrica"/>
    <n v="0.73199999999999998"/>
    <n v="0.15"/>
    <n v="0"/>
    <n v="0.13"/>
    <n v="3.0000000000000001E-3"/>
    <s v="DISPONIBILE"/>
    <m/>
    <m/>
  </r>
  <r>
    <n v="11"/>
    <n v="2025"/>
    <m/>
    <s v="SO032025"/>
    <s v="BIG BAG N°"/>
    <x v="0"/>
    <x v="2"/>
    <x v="1"/>
    <s v="TIPO 2"/>
    <n v="1068"/>
    <n v="0"/>
    <n v="1068"/>
    <s v="Fabrica"/>
    <n v="0.57299999999999995"/>
    <n v="0.06"/>
    <n v="0"/>
    <n v="0.16"/>
    <n v="2E-3"/>
    <s v="DISPONIBILE"/>
    <m/>
    <m/>
  </r>
  <r>
    <n v="9"/>
    <n v="2025"/>
    <m/>
    <s v="FA02/2025"/>
    <s v="BIG BAG N°"/>
    <x v="0"/>
    <x v="2"/>
    <x v="2"/>
    <s v="TIPO 2"/>
    <n v="1025"/>
    <n v="0"/>
    <n v="1025"/>
    <s v="Fabrica"/>
    <n v="0.19900000000000001"/>
    <n v="0.04"/>
    <n v="0"/>
    <n v="8.5000000000000006E-2"/>
    <n v="0"/>
    <s v="DISPONIBILE"/>
    <m/>
    <m/>
  </r>
  <r>
    <n v="9"/>
    <n v="2025"/>
    <m/>
    <s v="FA02/2025"/>
    <s v="BIG BAG N°"/>
    <x v="0"/>
    <x v="2"/>
    <x v="2"/>
    <s v="TIPO 2"/>
    <n v="991"/>
    <n v="0"/>
    <n v="991"/>
    <s v="Fabrica"/>
    <n v="0.24199999999999999"/>
    <n v="5.5E-2"/>
    <n v="0"/>
    <n v="7.0000000000000007E-2"/>
    <n v="2.5000000000000001E-2"/>
    <s v="DISPONIBILE"/>
    <m/>
    <m/>
  </r>
  <r>
    <n v="11"/>
    <n v="2025"/>
    <m/>
    <s v="SO032025"/>
    <s v="BIG BAG N°"/>
    <x v="0"/>
    <x v="2"/>
    <x v="0"/>
    <s v="TIPO 1"/>
    <n v="741"/>
    <n v="0"/>
    <n v="741"/>
    <s v="Fabrica"/>
    <n v="0.79200000000000004"/>
    <n v="0.09"/>
    <n v="0"/>
    <n v="0.18"/>
    <n v="1E-3"/>
    <s v="DISPONIBILE"/>
    <m/>
    <m/>
  </r>
  <r>
    <n v="11"/>
    <n v="2025"/>
    <m/>
    <s v="SO032025"/>
    <s v="BIG BAG N°"/>
    <x v="0"/>
    <x v="2"/>
    <x v="0"/>
    <s v="TIPO 1"/>
    <n v="503"/>
    <n v="0"/>
    <n v="503"/>
    <s v="Fabrica"/>
    <n v="0.79200000000000004"/>
    <n v="0.09"/>
    <n v="0"/>
    <n v="0.18"/>
    <n v="1E-3"/>
    <s v="DISPONIBILE"/>
    <m/>
    <m/>
  </r>
  <r>
    <n v="14"/>
    <n v="2025"/>
    <s v="BIG05/2024"/>
    <s v="S109/2024"/>
    <s v="BIG BAG N°5"/>
    <x v="1"/>
    <x v="0"/>
    <x v="1"/>
    <m/>
    <n v="1000"/>
    <n v="0"/>
    <n v="1000"/>
    <s v="Vignanello"/>
    <n v="1E-3"/>
    <n v="3.3E-3"/>
    <n v="0.15"/>
    <n v="0"/>
    <n v="0"/>
    <s v="ASSEGNATO"/>
    <s v="685-88"/>
    <s v="BIOSIC"/>
  </r>
  <r>
    <n v="14"/>
    <n v="2025"/>
    <s v="BIG05/2024"/>
    <s v="S109/2024"/>
    <s v="BIG BAG N°6"/>
    <x v="1"/>
    <x v="0"/>
    <x v="1"/>
    <m/>
    <n v="1000"/>
    <n v="0"/>
    <n v="1000"/>
    <s v="Vignanello"/>
    <n v="1E-3"/>
    <n v="0.01"/>
    <n v="0.1166"/>
    <n v="0"/>
    <n v="0"/>
    <s v="ASSEGNATO"/>
    <s v="685-88"/>
    <s v="BIOSIC"/>
  </r>
  <r>
    <n v="14"/>
    <n v="2025"/>
    <s v="BIG05/2024"/>
    <s v="S109/2024"/>
    <s v="BIG BAG N°7"/>
    <x v="1"/>
    <x v="0"/>
    <x v="1"/>
    <m/>
    <n v="1000"/>
    <n v="0"/>
    <n v="1000"/>
    <s v="Vignanello"/>
    <n v="0"/>
    <n v="0.01"/>
    <n v="0.13"/>
    <n v="0"/>
    <n v="0"/>
    <s v="ASSEGNATO"/>
    <s v="685-88"/>
    <s v="BIOSIC"/>
  </r>
  <r>
    <n v="14"/>
    <n v="2025"/>
    <s v="BIG05/2024"/>
    <s v="S109/2024"/>
    <s v="BIG BAG N°8"/>
    <x v="1"/>
    <x v="0"/>
    <x v="1"/>
    <m/>
    <n v="1000"/>
    <n v="0"/>
    <n v="1000"/>
    <s v="Vignanello"/>
    <n v="1E-3"/>
    <n v="2.3300000000000001E-2"/>
    <n v="0.09"/>
    <n v="0"/>
    <n v="0"/>
    <s v="ASSEGNATO"/>
    <s v="685-88"/>
    <s v="BIOSIC"/>
  </r>
  <r>
    <n v="15"/>
    <n v="2025"/>
    <s v="BIG05/2024"/>
    <s v="S121R/2024"/>
    <s v="BIG BAG N°4"/>
    <x v="1"/>
    <x v="0"/>
    <x v="1"/>
    <m/>
    <n v="880"/>
    <n v="0"/>
    <n v="880"/>
    <s v="Vignanello"/>
    <n v="0"/>
    <n v="6.6E-3"/>
    <n v="2.3300000000000001E-2"/>
    <n v="0"/>
    <n v="0"/>
    <s v="DISPONIBILE"/>
    <m/>
    <m/>
  </r>
  <r>
    <n v="2"/>
    <n v="2025"/>
    <s v="BIG05/2024"/>
    <s v="S107/2024"/>
    <s v="BIG BAG N°9"/>
    <x v="1"/>
    <x v="0"/>
    <x v="2"/>
    <m/>
    <n v="600"/>
    <n v="0"/>
    <n v="600"/>
    <s v="Vignanello"/>
    <n v="0"/>
    <n v="0"/>
    <n v="0.06"/>
    <n v="0"/>
    <n v="0"/>
    <s v="DISPONIBILE"/>
    <m/>
    <m/>
  </r>
  <r>
    <n v="4"/>
    <n v="2025"/>
    <s v="BIG05/2024"/>
    <s v="S109/2024"/>
    <s v="BIG BAG N°3"/>
    <x v="1"/>
    <x v="0"/>
    <x v="2"/>
    <m/>
    <n v="622"/>
    <n v="0"/>
    <n v="622"/>
    <s v="Vignanello"/>
    <n v="0"/>
    <n v="1.66E-2"/>
    <n v="0.12"/>
    <n v="0"/>
    <n v="0"/>
    <s v="DISPONIBILE"/>
    <m/>
    <m/>
  </r>
  <r>
    <n v="14"/>
    <n v="2025"/>
    <s v="BIG05/2024"/>
    <s v="S122A/2024"/>
    <s v="BIG BAG N°3"/>
    <x v="1"/>
    <x v="0"/>
    <x v="2"/>
    <m/>
    <n v="1000"/>
    <n v="0"/>
    <n v="1000"/>
    <s v="Vignanello"/>
    <n v="1E-3"/>
    <n v="0.02"/>
    <n v="4.3299999999999998E-2"/>
    <n v="0"/>
    <n v="0"/>
    <s v="DISPONIBILE"/>
    <m/>
    <m/>
  </r>
  <r>
    <n v="15"/>
    <n v="2025"/>
    <s v="BIG05/2024"/>
    <s v="S121R/2024"/>
    <s v="BIG BAG N°4"/>
    <x v="1"/>
    <x v="0"/>
    <x v="2"/>
    <m/>
    <n v="925"/>
    <n v="0"/>
    <n v="925"/>
    <s v="Vignanello"/>
    <n v="0"/>
    <n v="0"/>
    <n v="1.66E-2"/>
    <n v="0"/>
    <n v="0"/>
    <s v="DISPONIBILE"/>
    <m/>
    <m/>
  </r>
  <r>
    <n v="15"/>
    <n v="2025"/>
    <s v="BIG02/2025"/>
    <s v="S121R/2024"/>
    <s v="BIG BAG N°"/>
    <x v="1"/>
    <x v="1"/>
    <x v="3"/>
    <m/>
    <n v="1000"/>
    <n v="0"/>
    <n v="1000"/>
    <s v="Vignanello"/>
    <n v="4.5999999999999999E-2"/>
    <n v="0"/>
    <n v="0"/>
    <n v="0"/>
    <n v="0"/>
    <s v="DISPONIBILE"/>
    <m/>
    <m/>
  </r>
  <r>
    <n v="15"/>
    <n v="2025"/>
    <s v="BIG05/2024"/>
    <s v="S101/2024"/>
    <s v="BIG BAG N°1"/>
    <x v="2"/>
    <x v="0"/>
    <x v="0"/>
    <m/>
    <n v="1000"/>
    <n v="0"/>
    <n v="1000"/>
    <s v="Vignanello"/>
    <n v="1E-3"/>
    <n v="0.01"/>
    <n v="4.3299999999999998E-2"/>
    <n v="0"/>
    <n v="0"/>
    <s v="DISPONIBILE"/>
    <m/>
    <m/>
  </r>
  <r>
    <n v="19"/>
    <n v="2025"/>
    <s v="BIG01/2025"/>
    <s v="S102/2024"/>
    <s v="BIG BAG N°1"/>
    <x v="2"/>
    <x v="0"/>
    <x v="0"/>
    <m/>
    <n v="1000"/>
    <n v="0"/>
    <n v="1000"/>
    <s v="Vignanello"/>
    <n v="0"/>
    <n v="6.6E-3"/>
    <n v="0.05"/>
    <n v="0"/>
    <n v="0"/>
    <s v="DISPONIBILE"/>
    <m/>
    <m/>
  </r>
  <r>
    <n v="19"/>
    <n v="2025"/>
    <s v="BIG01/2025"/>
    <s v="S102/2024"/>
    <s v="BIG BAG N°2"/>
    <x v="2"/>
    <x v="0"/>
    <x v="0"/>
    <m/>
    <n v="1000"/>
    <n v="0"/>
    <n v="1000"/>
    <s v="Vignanello"/>
    <n v="1E-3"/>
    <n v="0.03"/>
    <n v="3.6600000000000001E-2"/>
    <n v="0"/>
    <n v="0"/>
    <s v="DISPONIBILE"/>
    <m/>
    <m/>
  </r>
  <r>
    <n v="15"/>
    <n v="2025"/>
    <s v="BIG05/2024"/>
    <s v="S101/2024"/>
    <s v="BIG BAG N°6"/>
    <x v="2"/>
    <x v="0"/>
    <x v="1"/>
    <m/>
    <n v="1000"/>
    <n v="0"/>
    <n v="1000"/>
    <s v="Vignanello"/>
    <n v="0"/>
    <n v="0.01"/>
    <n v="3.6600000000000001E-2"/>
    <n v="0"/>
    <n v="0"/>
    <s v="DISPONIBILE"/>
    <m/>
    <m/>
  </r>
  <r>
    <n v="15"/>
    <n v="2025"/>
    <s v="BIG05/2024"/>
    <s v="S101/2024"/>
    <s v="BIG BAG N°7"/>
    <x v="2"/>
    <x v="0"/>
    <x v="1"/>
    <m/>
    <n v="1000"/>
    <n v="0"/>
    <n v="1000"/>
    <s v="Vignanello"/>
    <n v="0"/>
    <n v="0.01"/>
    <n v="3.3300000000000003E-2"/>
    <n v="0"/>
    <n v="0"/>
    <s v="DISPONIBILE"/>
    <m/>
    <m/>
  </r>
  <r>
    <n v="15"/>
    <n v="2025"/>
    <s v="BIG05/2024"/>
    <s v="S101/2024"/>
    <s v="BIG BAG N°8"/>
    <x v="2"/>
    <x v="0"/>
    <x v="1"/>
    <m/>
    <n v="1000"/>
    <n v="0"/>
    <n v="1000"/>
    <s v="Vignanello"/>
    <n v="0"/>
    <n v="0.02"/>
    <n v="4.3299999999999998E-2"/>
    <n v="0"/>
    <n v="0"/>
    <s v="DISPONIBILE"/>
    <m/>
    <m/>
  </r>
  <r>
    <n v="15"/>
    <n v="2025"/>
    <s v="BIG05/2024"/>
    <s v="S101/2024"/>
    <s v="BIG BAG N°9"/>
    <x v="2"/>
    <x v="0"/>
    <x v="1"/>
    <m/>
    <n v="1000"/>
    <n v="0"/>
    <n v="1000"/>
    <s v="Vignanello"/>
    <n v="2E-3"/>
    <n v="0.03"/>
    <n v="6.6600000000000006E-2"/>
    <n v="0"/>
    <n v="0"/>
    <s v="DISPONIBILE"/>
    <m/>
    <m/>
  </r>
  <r>
    <n v="15"/>
    <n v="2025"/>
    <s v="BIG05/2024"/>
    <s v="S101/2024"/>
    <s v="BIG BAG N°10"/>
    <x v="2"/>
    <x v="0"/>
    <x v="1"/>
    <m/>
    <n v="1000"/>
    <n v="0"/>
    <n v="1000"/>
    <s v="Vignanello"/>
    <n v="2E-3"/>
    <n v="0.01"/>
    <n v="0.05"/>
    <n v="0"/>
    <n v="0"/>
    <s v="DISPONIBILE"/>
    <m/>
    <m/>
  </r>
  <r>
    <n v="15"/>
    <n v="2025"/>
    <s v="BIG05/2024"/>
    <s v="S101/2024"/>
    <s v="BIG BAG N°11"/>
    <x v="2"/>
    <x v="0"/>
    <x v="1"/>
    <m/>
    <n v="1000"/>
    <n v="0"/>
    <n v="1000"/>
    <s v="Vignanello"/>
    <n v="0"/>
    <n v="1.3299999999999999E-2"/>
    <n v="4.3299999999999998E-2"/>
    <n v="0"/>
    <n v="0"/>
    <s v="DISPONIBILE"/>
    <m/>
    <m/>
  </r>
  <r>
    <n v="19"/>
    <n v="2025"/>
    <s v="BIG01/2025"/>
    <s v="S102/2024"/>
    <s v="BIG BAG N°3"/>
    <x v="2"/>
    <x v="0"/>
    <x v="1"/>
    <m/>
    <n v="1000"/>
    <n v="0"/>
    <n v="1000"/>
    <s v="Vignanello"/>
    <n v="1E-3"/>
    <n v="0.02"/>
    <n v="6.3299999999999995E-2"/>
    <n v="0"/>
    <n v="0"/>
    <s v="DISPONIBILE"/>
    <m/>
    <m/>
  </r>
  <r>
    <n v="19"/>
    <n v="2025"/>
    <s v="BIG01/2025"/>
    <s v="S102/2024"/>
    <s v="BIG BAG N°4"/>
    <x v="2"/>
    <x v="0"/>
    <x v="1"/>
    <m/>
    <n v="1000"/>
    <n v="0"/>
    <n v="1000"/>
    <s v="Vignanello"/>
    <n v="2E-3"/>
    <n v="1.66E-2"/>
    <n v="5.33E-2"/>
    <n v="0"/>
    <n v="0"/>
    <s v="DISPONIBILE"/>
    <m/>
    <m/>
  </r>
  <r>
    <n v="19"/>
    <n v="2025"/>
    <s v="BIG01/2025"/>
    <s v="S102/2024"/>
    <s v="BIG BAG N°5"/>
    <x v="2"/>
    <x v="0"/>
    <x v="1"/>
    <m/>
    <n v="1000"/>
    <n v="0"/>
    <n v="1000"/>
    <s v="Vignanello"/>
    <n v="0"/>
    <n v="0.02"/>
    <n v="7.3300000000000004E-2"/>
    <n v="0"/>
    <n v="0"/>
    <s v="DISPONIBILE"/>
    <m/>
    <m/>
  </r>
  <r>
    <n v="19"/>
    <n v="2025"/>
    <s v="BIG01/2025"/>
    <s v="S102/2024"/>
    <s v="BIG BAG N°6"/>
    <x v="2"/>
    <x v="0"/>
    <x v="1"/>
    <m/>
    <n v="1000"/>
    <n v="0"/>
    <n v="1000"/>
    <s v="Vignanello"/>
    <n v="1E-3"/>
    <n v="2.6599999999999999E-2"/>
    <n v="6.3299999999999995E-2"/>
    <n v="0"/>
    <n v="0"/>
    <s v="DISPONIBILE"/>
    <m/>
    <m/>
  </r>
  <r>
    <n v="19"/>
    <n v="2025"/>
    <s v="BIG01/2025"/>
    <s v="S102/2024"/>
    <s v="BIG BAG N°7"/>
    <x v="2"/>
    <x v="0"/>
    <x v="1"/>
    <m/>
    <n v="1000"/>
    <n v="0"/>
    <n v="1000"/>
    <s v="Vignanello"/>
    <n v="2E-3"/>
    <n v="3.6600000000000001E-2"/>
    <n v="5.33E-2"/>
    <n v="0"/>
    <n v="0"/>
    <s v="DISPONIBILE"/>
    <m/>
    <m/>
  </r>
  <r>
    <n v="21"/>
    <n v="2025"/>
    <s v="BIG01/2025"/>
    <s v="S103/2024"/>
    <s v="BIG BAG N°1"/>
    <x v="2"/>
    <x v="0"/>
    <x v="1"/>
    <m/>
    <n v="1000"/>
    <n v="0"/>
    <n v="1000"/>
    <s v="Soriano"/>
    <n v="1E-3"/>
    <n v="1.66E-2"/>
    <n v="5.33E-2"/>
    <n v="0"/>
    <n v="0"/>
    <s v="DISPONIBILE"/>
    <m/>
    <m/>
  </r>
  <r>
    <n v="15"/>
    <n v="2025"/>
    <s v="BIG05/2024"/>
    <s v="S101/2024"/>
    <s v="BIG BAG N°8"/>
    <x v="2"/>
    <x v="0"/>
    <x v="2"/>
    <m/>
    <n v="1000"/>
    <n v="0"/>
    <n v="1000"/>
    <s v="Vignanello"/>
    <n v="0"/>
    <n v="6.6E-3"/>
    <n v="4.3299999999999998E-2"/>
    <n v="0"/>
    <n v="0"/>
    <s v="DISPONIBILE"/>
    <m/>
    <m/>
  </r>
  <r>
    <n v="15"/>
    <n v="2025"/>
    <s v="BIG05/2024"/>
    <s v="S101/2024"/>
    <s v="BIG BAG N°9"/>
    <x v="2"/>
    <x v="0"/>
    <x v="2"/>
    <m/>
    <n v="1000"/>
    <n v="0"/>
    <n v="1000"/>
    <s v="Vignanello"/>
    <n v="2E-3"/>
    <n v="6.3299999999999995E-2"/>
    <n v="0.05"/>
    <n v="0"/>
    <n v="0"/>
    <s v="DISPONIBILE"/>
    <m/>
    <m/>
  </r>
  <r>
    <n v="15"/>
    <n v="2025"/>
    <s v="BIG05/2024"/>
    <s v="S101/2024"/>
    <s v="BIG BAG N°10"/>
    <x v="2"/>
    <x v="0"/>
    <x v="2"/>
    <m/>
    <n v="1000"/>
    <n v="0"/>
    <n v="1000"/>
    <s v="Vignanello"/>
    <n v="2E-3"/>
    <n v="0.05"/>
    <n v="5.33E-2"/>
    <n v="0"/>
    <n v="0"/>
    <s v="DISPONIBILE"/>
    <m/>
    <m/>
  </r>
  <r>
    <n v="15"/>
    <n v="2025"/>
    <s v="BIG05/2024"/>
    <s v="S101/2024"/>
    <s v="BIG BAG N°11"/>
    <x v="2"/>
    <x v="0"/>
    <x v="2"/>
    <m/>
    <n v="1000"/>
    <n v="0"/>
    <n v="1000"/>
    <s v="Vignanello"/>
    <n v="3.0000000000000001E-3"/>
    <n v="0.06"/>
    <n v="4.3299999999999998E-2"/>
    <n v="0"/>
    <n v="0"/>
    <s v="DISPONIBILE"/>
    <m/>
    <m/>
  </r>
  <r>
    <n v="15"/>
    <n v="2025"/>
    <s v="BIG05/2024"/>
    <s v="S101/2024"/>
    <s v="BIG BAG N°12"/>
    <x v="2"/>
    <x v="0"/>
    <x v="2"/>
    <m/>
    <n v="1000"/>
    <n v="0"/>
    <n v="1000"/>
    <s v="Vignanello"/>
    <n v="1E-3"/>
    <n v="4.3299999999999998E-2"/>
    <n v="4.3299999999999998E-2"/>
    <n v="0"/>
    <n v="0"/>
    <s v="DISPONIBILE"/>
    <m/>
    <m/>
  </r>
  <r>
    <n v="15"/>
    <n v="2025"/>
    <s v="BIG05/2024"/>
    <s v="S101/2024"/>
    <s v="BIG BAG N°13"/>
    <x v="2"/>
    <x v="0"/>
    <x v="2"/>
    <m/>
    <n v="1000"/>
    <n v="0"/>
    <n v="1000"/>
    <s v="Vignanello"/>
    <n v="3.0000000000000001E-3"/>
    <n v="3.6600000000000001E-2"/>
    <n v="0.09"/>
    <n v="0"/>
    <n v="0"/>
    <s v="DISPONIBILE"/>
    <m/>
    <m/>
  </r>
  <r>
    <n v="15"/>
    <n v="2025"/>
    <s v="BIG05/2024"/>
    <s v="S101/2024"/>
    <s v="BIG BAG N°14"/>
    <x v="2"/>
    <x v="0"/>
    <x v="2"/>
    <m/>
    <n v="1000"/>
    <n v="0"/>
    <n v="1000"/>
    <s v="Vignanello"/>
    <n v="0"/>
    <n v="2.3300000000000001E-2"/>
    <n v="0.05"/>
    <n v="0"/>
    <n v="0"/>
    <s v="DISPONIBILE"/>
    <m/>
    <m/>
  </r>
  <r>
    <n v="19"/>
    <n v="2025"/>
    <s v="BIG01/2025"/>
    <s v="S102/2024"/>
    <s v="BIG BAG N°3"/>
    <x v="2"/>
    <x v="0"/>
    <x v="2"/>
    <m/>
    <n v="1000"/>
    <n v="0"/>
    <n v="1000"/>
    <s v="Vignanello"/>
    <n v="0"/>
    <n v="1.66E-2"/>
    <n v="4.3299999999999998E-2"/>
    <n v="0"/>
    <n v="0"/>
    <s v="DISPONIBILE"/>
    <m/>
    <m/>
  </r>
  <r>
    <n v="19"/>
    <n v="2025"/>
    <s v="BIG01/2025"/>
    <s v="S102/2024"/>
    <s v="BIG BAG N°4"/>
    <x v="2"/>
    <x v="0"/>
    <x v="2"/>
    <m/>
    <n v="1000"/>
    <n v="0"/>
    <n v="1000"/>
    <s v="Vignanello"/>
    <n v="0"/>
    <n v="1.3299999999999999E-2"/>
    <n v="3.6600000000000001E-2"/>
    <n v="0"/>
    <n v="0"/>
    <s v="DISPONIBILE"/>
    <m/>
    <m/>
  </r>
  <r>
    <n v="19"/>
    <n v="2025"/>
    <s v="BIG01/2025"/>
    <s v="S102/2024"/>
    <s v="BIG BAG N°5"/>
    <x v="2"/>
    <x v="0"/>
    <x v="2"/>
    <m/>
    <n v="1000"/>
    <n v="0"/>
    <n v="1000"/>
    <s v="Vignanello"/>
    <n v="1E-3"/>
    <n v="0.02"/>
    <n v="7.6600000000000001E-2"/>
    <n v="0"/>
    <n v="0"/>
    <s v="DISPONIBILE"/>
    <m/>
    <m/>
  </r>
  <r>
    <n v="19"/>
    <n v="2025"/>
    <s v="BIG01/2025"/>
    <s v="S102/2024"/>
    <s v="BIG BAG N°7"/>
    <x v="2"/>
    <x v="0"/>
    <x v="2"/>
    <m/>
    <n v="1000"/>
    <n v="0"/>
    <n v="1000"/>
    <s v="Vignanello"/>
    <n v="0"/>
    <n v="2.6599999999999999E-2"/>
    <n v="9.3299999999999994E-2"/>
    <n v="0"/>
    <n v="0"/>
    <s v="DISPONIBILE"/>
    <m/>
    <m/>
  </r>
  <r>
    <n v="19"/>
    <n v="2025"/>
    <s v="BIG01/2025"/>
    <s v="S102/2024"/>
    <s v="BIG BAG N°8"/>
    <x v="2"/>
    <x v="0"/>
    <x v="2"/>
    <m/>
    <n v="1000"/>
    <n v="0"/>
    <n v="1000"/>
    <s v="Vignanello"/>
    <n v="0"/>
    <n v="0.02"/>
    <n v="0.06"/>
    <n v="0"/>
    <n v="0"/>
    <s v="DISPONIBILE"/>
    <m/>
    <m/>
  </r>
  <r>
    <n v="19"/>
    <n v="2025"/>
    <s v="BIG01/2025"/>
    <s v="S102/2024"/>
    <s v="BIG BAG N°10"/>
    <x v="2"/>
    <x v="0"/>
    <x v="2"/>
    <m/>
    <n v="1000"/>
    <n v="0"/>
    <n v="1000"/>
    <s v="Vignanello"/>
    <n v="1E-3"/>
    <n v="4.6600000000000003E-2"/>
    <n v="5.6599999999999998E-2"/>
    <n v="0"/>
    <n v="0"/>
    <s v="DISPONIBILE"/>
    <m/>
    <m/>
  </r>
  <r>
    <n v="19"/>
    <n v="2025"/>
    <s v="BIG01/2025"/>
    <s v="S102/2024"/>
    <s v="BIG BAG N°11"/>
    <x v="2"/>
    <x v="0"/>
    <x v="2"/>
    <m/>
    <n v="1000"/>
    <n v="0"/>
    <n v="1000"/>
    <s v="Vignanello"/>
    <n v="1E-3"/>
    <n v="0.04"/>
    <n v="7.3300000000000004E-2"/>
    <n v="0"/>
    <n v="0"/>
    <s v="DISPONIBILE"/>
    <m/>
    <m/>
  </r>
  <r>
    <n v="19"/>
    <n v="2025"/>
    <s v="BIG01/2025"/>
    <s v="S102/2024"/>
    <s v="BIG BAG N°14"/>
    <x v="2"/>
    <x v="0"/>
    <x v="2"/>
    <m/>
    <n v="1000"/>
    <n v="0"/>
    <n v="1000"/>
    <s v="Vignanello"/>
    <n v="0"/>
    <n v="2.6599999999999999E-2"/>
    <n v="7.6600000000000001E-2"/>
    <n v="0"/>
    <n v="0"/>
    <s v="DISPONIBILE"/>
    <m/>
    <m/>
  </r>
  <r>
    <n v="19"/>
    <n v="2025"/>
    <s v="BIG01/2025"/>
    <s v="S102/2024"/>
    <s v="BIG BAG N°15"/>
    <x v="2"/>
    <x v="0"/>
    <x v="2"/>
    <m/>
    <n v="1000"/>
    <n v="0"/>
    <n v="1000"/>
    <s v="Vignanello"/>
    <n v="0"/>
    <n v="1.66E-2"/>
    <n v="7.0000000000000007E-2"/>
    <n v="0"/>
    <n v="0"/>
    <s v="DISPONIBILE"/>
    <m/>
    <m/>
  </r>
  <r>
    <n v="19"/>
    <n v="2025"/>
    <s v="BIG01/2025"/>
    <s v="S102/2024"/>
    <s v="BIG BAG N°16"/>
    <x v="2"/>
    <x v="0"/>
    <x v="2"/>
    <m/>
    <n v="1000"/>
    <n v="0"/>
    <n v="1000"/>
    <s v="Vignanello"/>
    <n v="2E-3"/>
    <n v="2.6599999999999999E-2"/>
    <n v="5.33E-2"/>
    <n v="0"/>
    <n v="0"/>
    <s v="DISPONIBILE"/>
    <m/>
    <m/>
  </r>
  <r>
    <n v="19"/>
    <n v="2025"/>
    <s v="BIG01/2025"/>
    <s v="S102/2024"/>
    <s v="BIG BAG N°17"/>
    <x v="2"/>
    <x v="0"/>
    <x v="2"/>
    <m/>
    <n v="1000"/>
    <n v="0"/>
    <n v="1000"/>
    <s v="Soriano"/>
    <n v="1E-3"/>
    <n v="0.06"/>
    <n v="5.6599999999999998E-2"/>
    <n v="0"/>
    <n v="0"/>
    <s v="DISPONIBILE"/>
    <m/>
    <m/>
  </r>
  <r>
    <n v="21"/>
    <n v="2025"/>
    <s v="BIG01/2025"/>
    <s v="S103/2024"/>
    <s v="BIG BAG N°1"/>
    <x v="2"/>
    <x v="0"/>
    <x v="2"/>
    <m/>
    <n v="1000"/>
    <n v="0"/>
    <n v="1000"/>
    <s v="Soriano"/>
    <n v="1E-3"/>
    <n v="0.02"/>
    <n v="6.3299999999999995E-2"/>
    <n v="0"/>
    <n v="0"/>
    <s v="DISPONIBILE"/>
    <m/>
    <m/>
  </r>
  <r>
    <n v="19"/>
    <n v="2025"/>
    <s v="BIG01/2025"/>
    <s v="S102/2024"/>
    <s v="BIG BAG N°"/>
    <x v="2"/>
    <x v="1"/>
    <x v="7"/>
    <m/>
    <n v="643"/>
    <n v="0"/>
    <n v="643"/>
    <s v="Vignanello"/>
    <n v="1.6E-2"/>
    <n v="0"/>
    <n v="0"/>
    <n v="0"/>
    <n v="0"/>
    <s v="DISPONIBILE"/>
    <m/>
    <m/>
  </r>
  <r>
    <n v="48"/>
    <n v="2024"/>
    <s v="BIG04/2024"/>
    <s v="SBSS123/2024"/>
    <s v="BIG BAG N° 5"/>
    <x v="3"/>
    <x v="0"/>
    <x v="2"/>
    <m/>
    <n v="1000"/>
    <n v="0"/>
    <n v="1000"/>
    <s v="Vignanello"/>
    <n v="0"/>
    <n v="1.66E-2"/>
    <n v="0.17"/>
    <n v="0"/>
    <n v="0"/>
    <s v="DISPONIBILE"/>
    <m/>
    <m/>
  </r>
  <r>
    <n v="48"/>
    <n v="2024"/>
    <s v="BIG04/2024"/>
    <s v="SBSS123/2024"/>
    <s v="BIG BAG N° 7"/>
    <x v="3"/>
    <x v="0"/>
    <x v="2"/>
    <m/>
    <n v="422"/>
    <n v="0"/>
    <n v="422"/>
    <s v="Vignanello"/>
    <n v="0"/>
    <n v="1.3299999999999999E-2"/>
    <n v="0.16"/>
    <n v="0"/>
    <n v="0"/>
    <s v="DISPONIBILE"/>
    <m/>
    <m/>
  </r>
  <r>
    <n v="21"/>
    <n v="2025"/>
    <s v="BIG01/2025"/>
    <s v="S103/2024"/>
    <s v="BIG BAG N°1"/>
    <x v="2"/>
    <x v="0"/>
    <x v="0"/>
    <m/>
    <n v="1000"/>
    <n v="0"/>
    <n v="1000"/>
    <s v="Vignanello"/>
    <n v="1E-3"/>
    <n v="0.02"/>
    <n v="5.33E-2"/>
    <n v="0"/>
    <n v="0"/>
    <s v="DISPONIBILE"/>
    <m/>
    <m/>
  </r>
  <r>
    <n v="21"/>
    <n v="2025"/>
    <s v="BIG01/2025"/>
    <s v="S103/2024"/>
    <s v="BIG BAG N°2"/>
    <x v="2"/>
    <x v="0"/>
    <x v="0"/>
    <m/>
    <n v="1000"/>
    <n v="0"/>
    <n v="1000"/>
    <s v="Vignanello"/>
    <n v="1E-3"/>
    <n v="1.66E-2"/>
    <n v="0.05"/>
    <n v="0"/>
    <n v="0"/>
    <s v="DISPONIBILE"/>
    <m/>
    <m/>
  </r>
  <r>
    <n v="21"/>
    <n v="2025"/>
    <s v="BIG01/2025"/>
    <s v="S103/2024"/>
    <s v="BIG BAG N°2"/>
    <x v="2"/>
    <x v="0"/>
    <x v="1"/>
    <m/>
    <n v="1000"/>
    <n v="0"/>
    <n v="1000"/>
    <s v="Vignanello"/>
    <n v="1E-3"/>
    <n v="0.01"/>
    <n v="7.0000000000000007E-2"/>
    <n v="0"/>
    <n v="0"/>
    <s v="DISPONIBILE"/>
    <m/>
    <m/>
  </r>
  <r>
    <n v="21"/>
    <n v="2025"/>
    <s v="BIG01/2025"/>
    <s v="S103/2024"/>
    <s v="BIG BAG N°3"/>
    <x v="2"/>
    <x v="0"/>
    <x v="1"/>
    <m/>
    <n v="1000"/>
    <n v="0"/>
    <n v="1000"/>
    <s v="Vignanello"/>
    <n v="1E-3"/>
    <n v="0.04"/>
    <n v="7.6600000000000001E-2"/>
    <n v="0"/>
    <n v="0"/>
    <s v="DISPONIBILE"/>
    <m/>
    <m/>
  </r>
  <r>
    <n v="21"/>
    <n v="2025"/>
    <s v="BIG01/2025"/>
    <s v="S103/2024"/>
    <s v="BIG BAG N°4"/>
    <x v="2"/>
    <x v="0"/>
    <x v="1"/>
    <m/>
    <n v="1000"/>
    <n v="0"/>
    <n v="1000"/>
    <s v="Vignanello"/>
    <n v="1E-3"/>
    <n v="0.03"/>
    <n v="7.3300000000000004E-2"/>
    <n v="0"/>
    <n v="0"/>
    <s v="DISPONIBILE"/>
    <m/>
    <m/>
  </r>
  <r>
    <n v="21"/>
    <n v="2025"/>
    <s v="BIG01/2025"/>
    <s v="S103/2024"/>
    <s v="BIG BAG N°5"/>
    <x v="2"/>
    <x v="0"/>
    <x v="1"/>
    <m/>
    <n v="1000"/>
    <n v="0"/>
    <n v="1000"/>
    <s v="Vignanello"/>
    <n v="1E-3"/>
    <n v="3.3300000000000003E-2"/>
    <n v="6.3299999999999995E-2"/>
    <n v="0"/>
    <n v="0"/>
    <s v="DISPONIBILE"/>
    <m/>
    <m/>
  </r>
  <r>
    <n v="21"/>
    <n v="2025"/>
    <s v="BIG01/2025"/>
    <s v="S103/2024"/>
    <s v="BIG BAG N°2"/>
    <x v="2"/>
    <x v="0"/>
    <x v="2"/>
    <m/>
    <n v="1000"/>
    <n v="0"/>
    <n v="1000"/>
    <s v="Vignanello"/>
    <n v="2E-3"/>
    <n v="2.3300000000000001E-2"/>
    <n v="0.06"/>
    <n v="0"/>
    <n v="0"/>
    <s v="DISPONIBILE"/>
    <m/>
    <m/>
  </r>
  <r>
    <n v="21"/>
    <n v="2025"/>
    <s v="BIG01/2025"/>
    <s v="S103/2024"/>
    <s v="BIG BAG N°3"/>
    <x v="2"/>
    <x v="0"/>
    <x v="2"/>
    <m/>
    <n v="1000"/>
    <n v="0"/>
    <n v="1000"/>
    <s v="Vignanello"/>
    <n v="1E-3"/>
    <n v="2.6599999999999999E-2"/>
    <n v="4.6600000000000003E-2"/>
    <n v="0"/>
    <n v="0"/>
    <s v="DISPONIBILE"/>
    <m/>
    <m/>
  </r>
  <r>
    <n v="21"/>
    <n v="2025"/>
    <s v="BIG01/2025"/>
    <s v="S103/2024"/>
    <s v="BIG BAG N°4"/>
    <x v="2"/>
    <x v="0"/>
    <x v="2"/>
    <m/>
    <n v="1000"/>
    <n v="0"/>
    <n v="1000"/>
    <s v="Vignanello"/>
    <n v="1E-3"/>
    <n v="0.04"/>
    <n v="7.3300000000000004E-2"/>
    <n v="0"/>
    <n v="0"/>
    <s v="DISPONIBILE"/>
    <m/>
    <m/>
  </r>
  <r>
    <n v="21"/>
    <n v="2025"/>
    <s v="BIG01/2025"/>
    <s v="S103/2024"/>
    <s v="BIG BAG N°5"/>
    <x v="2"/>
    <x v="0"/>
    <x v="2"/>
    <m/>
    <n v="1000"/>
    <n v="0"/>
    <n v="1000"/>
    <s v="Vignanello"/>
    <n v="1E-3"/>
    <n v="0.04"/>
    <n v="6.6600000000000006E-2"/>
    <n v="0"/>
    <n v="0"/>
    <s v="DISPONIBILE"/>
    <m/>
    <m/>
  </r>
  <r>
    <n v="21"/>
    <n v="2025"/>
    <s v="BIG01/2025"/>
    <s v="S103/2024"/>
    <s v="BIG BAG N°6"/>
    <x v="2"/>
    <x v="0"/>
    <x v="2"/>
    <m/>
    <n v="1000"/>
    <n v="0"/>
    <n v="1000"/>
    <s v="Vignanello"/>
    <n v="1E-3"/>
    <n v="3.3300000000000003E-2"/>
    <n v="0.06"/>
    <n v="0"/>
    <n v="0"/>
    <s v="DISPONIBILE"/>
    <m/>
    <m/>
  </r>
  <r>
    <n v="21"/>
    <n v="2025"/>
    <s v="BIG01/2025"/>
    <s v="S103/2024"/>
    <s v="BIG BAG N°7"/>
    <x v="2"/>
    <x v="0"/>
    <x v="2"/>
    <m/>
    <n v="1000"/>
    <n v="0"/>
    <n v="1000"/>
    <s v="Vignanello"/>
    <n v="1E-3"/>
    <n v="3.3300000000000003E-2"/>
    <n v="7.3300000000000004E-2"/>
    <n v="0"/>
    <n v="0"/>
    <s v="DISPONIBILE"/>
    <m/>
    <m/>
  </r>
  <r>
    <n v="21"/>
    <n v="2025"/>
    <s v="BIG01/2025"/>
    <s v="S103/2024"/>
    <s v="BIG BAG N°8"/>
    <x v="2"/>
    <x v="0"/>
    <x v="2"/>
    <m/>
    <n v="1000"/>
    <n v="0"/>
    <n v="1000"/>
    <s v="Vignanello"/>
    <n v="1E-3"/>
    <n v="3.6600000000000001E-2"/>
    <n v="7.0000000000000007E-2"/>
    <n v="0"/>
    <n v="0"/>
    <s v="DISPONIBILE"/>
    <m/>
    <m/>
  </r>
  <r>
    <n v="21"/>
    <n v="2025"/>
    <s v="BIG01/2025"/>
    <s v="S103/2024"/>
    <s v="BIG BAG N°9"/>
    <x v="2"/>
    <x v="0"/>
    <x v="2"/>
    <m/>
    <n v="1000"/>
    <n v="0"/>
    <n v="1000"/>
    <s v="Vignanello"/>
    <n v="0"/>
    <n v="2.6599999999999999E-2"/>
    <n v="6.6600000000000006E-2"/>
    <n v="0"/>
    <n v="0"/>
    <s v="DISPONIBILE"/>
    <m/>
    <m/>
  </r>
  <r>
    <n v="21"/>
    <n v="2025"/>
    <s v="BIG01/2025"/>
    <s v="S103/2024"/>
    <s v="BIG BAG N°10"/>
    <x v="2"/>
    <x v="0"/>
    <x v="2"/>
    <m/>
    <n v="1000"/>
    <n v="0"/>
    <n v="1000"/>
    <s v="Vignanello"/>
    <n v="1E-3"/>
    <n v="3.6600000000000001E-2"/>
    <n v="7.3300000000000004E-2"/>
    <n v="0"/>
    <n v="0"/>
    <s v="DISPONIBILE"/>
    <m/>
    <m/>
  </r>
  <r>
    <n v="21"/>
    <n v="2025"/>
    <s v="BIG01/2025"/>
    <s v="S103/2024"/>
    <s v="BIG BAG N°6"/>
    <x v="2"/>
    <x v="0"/>
    <x v="1"/>
    <m/>
    <n v="1000"/>
    <n v="0"/>
    <n v="1000"/>
    <s v="Vignanello"/>
    <n v="1E-3"/>
    <n v="0.03"/>
    <n v="5.6599999999999998E-2"/>
    <n v="0"/>
    <n v="0"/>
    <s v="DISPONIBILE"/>
    <m/>
    <m/>
  </r>
  <r>
    <n v="21"/>
    <n v="2025"/>
    <s v="BIG01/2025"/>
    <s v="S103/2024"/>
    <s v="BIG BAG N°7"/>
    <x v="2"/>
    <x v="0"/>
    <x v="1"/>
    <m/>
    <n v="1000"/>
    <n v="0"/>
    <n v="1000"/>
    <s v="Vignanello"/>
    <n v="0"/>
    <n v="2.3300000000000001E-2"/>
    <n v="6.3299999999999995E-2"/>
    <n v="0"/>
    <n v="0"/>
    <s v="DISPONIBILE"/>
    <m/>
    <m/>
  </r>
  <r>
    <n v="21"/>
    <n v="2025"/>
    <s v="BIG01/2025"/>
    <s v="S103/2024"/>
    <s v="BIG BAG N°11"/>
    <x v="2"/>
    <x v="0"/>
    <x v="2"/>
    <m/>
    <n v="1000"/>
    <n v="0"/>
    <n v="1000"/>
    <s v="Vignanello"/>
    <n v="1E-3"/>
    <n v="3.3300000000000003E-2"/>
    <n v="6.3299999999999995E-2"/>
    <n v="0"/>
    <n v="0"/>
    <s v="DISPONIBILE"/>
    <m/>
    <m/>
  </r>
  <r>
    <n v="17"/>
    <n v="2025"/>
    <m/>
    <s v="FA03/2025"/>
    <s v="BIG BAG N°"/>
    <x v="0"/>
    <x v="2"/>
    <x v="3"/>
    <m/>
    <n v="645"/>
    <n v="0"/>
    <n v="645"/>
    <s v="Fabrica"/>
    <n v="0.55400000000000005"/>
    <n v="0"/>
    <n v="0"/>
    <n v="0"/>
    <n v="0"/>
    <s v="DISPONIBILE"/>
    <m/>
    <m/>
  </r>
  <r>
    <n v="17"/>
    <n v="2025"/>
    <m/>
    <s v="FA04/2025"/>
    <s v="BIG BAG N°"/>
    <x v="0"/>
    <x v="2"/>
    <x v="3"/>
    <m/>
    <n v="876"/>
    <n v="0"/>
    <n v="876"/>
    <s v="Fabrica"/>
    <n v="0.59499999999999997"/>
    <n v="0.18"/>
    <n v="0.17"/>
    <n v="0"/>
    <n v="0"/>
    <s v="DISPONIBILE"/>
    <m/>
    <m/>
  </r>
  <r>
    <n v="17"/>
    <n v="2025"/>
    <m/>
    <s v="FA04/2025"/>
    <s v="BIG BAG N°"/>
    <x v="0"/>
    <x v="2"/>
    <x v="3"/>
    <m/>
    <n v="1012"/>
    <n v="0"/>
    <n v="1012"/>
    <s v="Fabrica"/>
    <n v="0.45800000000000002"/>
    <n v="0.2"/>
    <n v="0.185"/>
    <n v="0"/>
    <n v="0"/>
    <s v="DISPONIBILE"/>
    <m/>
    <m/>
  </r>
  <r>
    <n v="21"/>
    <n v="2025"/>
    <m/>
    <s v="FA02/2025"/>
    <s v="BIG BAG N°1"/>
    <x v="0"/>
    <x v="2"/>
    <x v="2"/>
    <s v="TIPO 2"/>
    <n v="789"/>
    <n v="0"/>
    <n v="789"/>
    <s v="Fabrica"/>
    <n v="0.14000000000000001"/>
    <n v="7.4999999999999997E-2"/>
    <n v="0"/>
    <n v="0.11"/>
    <n v="0"/>
    <s v="DISPONIBILE"/>
    <m/>
    <m/>
  </r>
  <r>
    <n v="21"/>
    <n v="2025"/>
    <m/>
    <s v="FA02/2025"/>
    <s v="BIG BAG N°2"/>
    <x v="0"/>
    <x v="2"/>
    <x v="1"/>
    <s v="TIPO 2"/>
    <n v="872"/>
    <n v="0"/>
    <n v="872"/>
    <s v="Fabrica"/>
    <n v="0.158"/>
    <n v="0.06"/>
    <n v="0"/>
    <n v="0.11"/>
    <n v="0"/>
    <s v="DISPONIBILE"/>
    <m/>
    <m/>
  </r>
  <r>
    <n v="21"/>
    <n v="2025"/>
    <m/>
    <s v="FA02/2025"/>
    <s v="BIG BAG N°3"/>
    <x v="0"/>
    <x v="2"/>
    <x v="1"/>
    <s v="TIPO 1"/>
    <n v="540"/>
    <n v="0"/>
    <n v="540"/>
    <s v="Fabrica"/>
    <n v="0.45200000000000001"/>
    <n v="0.115"/>
    <n v="0"/>
    <n v="0.13"/>
    <n v="4.0000000000000001E-3"/>
    <s v="DISPONIBILE"/>
    <m/>
    <m/>
  </r>
  <r>
    <n v="21"/>
    <n v="2025"/>
    <m/>
    <s v="FA02/2025"/>
    <s v="BIG BAG N°4"/>
    <x v="0"/>
    <x v="2"/>
    <x v="8"/>
    <m/>
    <n v="187"/>
    <n v="0"/>
    <n v="187"/>
    <s v="Fabrica"/>
    <n v="1"/>
    <n v="0"/>
    <n v="0"/>
    <n v="0"/>
    <n v="0"/>
    <s v="DISPONIBILE"/>
    <m/>
    <m/>
  </r>
  <r>
    <n v="21"/>
    <n v="2025"/>
    <m/>
    <s v="FA02/2025"/>
    <s v="BIG BAG N°5"/>
    <x v="0"/>
    <x v="2"/>
    <x v="8"/>
    <m/>
    <n v="526"/>
    <n v="0"/>
    <n v="526"/>
    <s v="Fabrica"/>
    <n v="0.90400000000000003"/>
    <n v="0"/>
    <n v="0"/>
    <n v="0"/>
    <n v="0"/>
    <s v="DISPONIBILE"/>
    <m/>
    <m/>
  </r>
  <r>
    <n v="21"/>
    <n v="2025"/>
    <s v="BIG01/2025"/>
    <s v="S103/2024"/>
    <s v="BIG BAG N°8"/>
    <x v="2"/>
    <x v="0"/>
    <x v="1"/>
    <m/>
    <n v="1000"/>
    <n v="0"/>
    <n v="1000"/>
    <s v="Vignanello"/>
    <n v="0"/>
    <n v="0.02"/>
    <n v="7.3300000000000004E-2"/>
    <n v="0"/>
    <n v="0"/>
    <s v="DISPONIBILE"/>
    <m/>
    <m/>
  </r>
  <r>
    <n v="21"/>
    <n v="2025"/>
    <s v="BIG01/2025"/>
    <s v="S103/2024"/>
    <s v="BIG BAG N°9"/>
    <x v="2"/>
    <x v="0"/>
    <x v="1"/>
    <m/>
    <n v="1000"/>
    <n v="0"/>
    <n v="1000"/>
    <s v="Vignanello"/>
    <n v="0"/>
    <n v="2.3300000000000001E-2"/>
    <n v="6.6600000000000006E-2"/>
    <n v="0"/>
    <n v="0"/>
    <s v="DISPONIBILE"/>
    <m/>
    <m/>
  </r>
  <r>
    <n v="21"/>
    <n v="2025"/>
    <s v="BIG01/2025"/>
    <s v="S103/2024"/>
    <s v="BIG BAG N°12"/>
    <x v="2"/>
    <x v="0"/>
    <x v="2"/>
    <m/>
    <n v="1000"/>
    <n v="0"/>
    <n v="1000"/>
    <s v="Vignanello"/>
    <n v="1E-3"/>
    <n v="2.6599999999999999E-2"/>
    <n v="7.3300000000000004E-2"/>
    <n v="0"/>
    <n v="0"/>
    <s v="DISPONIBILE"/>
    <m/>
    <m/>
  </r>
  <r>
    <n v="21"/>
    <n v="2025"/>
    <s v="BIG01/2025"/>
    <s v="S103/2024"/>
    <s v="BIG BAG N°3"/>
    <x v="2"/>
    <x v="0"/>
    <x v="0"/>
    <m/>
    <n v="1000"/>
    <n v="0"/>
    <n v="1000"/>
    <s v="Vignanello"/>
    <n v="2E-3"/>
    <n v="2.3300000000000001E-2"/>
    <n v="6.6600000000000006E-2"/>
    <n v="0"/>
    <n v="0"/>
    <s v="DISPONIBILE"/>
    <m/>
    <m/>
  </r>
  <r>
    <n v="21"/>
    <n v="2025"/>
    <s v="BIG01/2025"/>
    <s v="S103/2024"/>
    <s v="BIG BAG N°10"/>
    <x v="2"/>
    <x v="0"/>
    <x v="1"/>
    <m/>
    <n v="1000"/>
    <n v="0"/>
    <n v="1000"/>
    <s v="Vignanello"/>
    <n v="1E-3"/>
    <n v="1.3299999999999999E-2"/>
    <n v="6.3299999999999995E-2"/>
    <n v="0"/>
    <n v="0"/>
    <s v="DISPONIBILE"/>
    <m/>
    <m/>
  </r>
  <r>
    <n v="21"/>
    <n v="2025"/>
    <s v="BIG01/2025"/>
    <s v="S103/2024"/>
    <s v="BIG BAG N°11"/>
    <x v="2"/>
    <x v="0"/>
    <x v="1"/>
    <m/>
    <n v="1000"/>
    <n v="0"/>
    <n v="1000"/>
    <s v="Vignanello"/>
    <n v="0"/>
    <n v="1.66E-2"/>
    <n v="7.3300000000000004E-2"/>
    <n v="0"/>
    <n v="0"/>
    <s v="DISPONIBILE"/>
    <m/>
    <m/>
  </r>
  <r>
    <n v="21"/>
    <n v="2025"/>
    <s v="BIG01/2025"/>
    <s v="S103/2024"/>
    <s v="BIG BAG N°"/>
    <x v="2"/>
    <x v="1"/>
    <x v="4"/>
    <m/>
    <n v="1106"/>
    <n v="0"/>
    <n v="1106"/>
    <s v="Vignanello"/>
    <n v="4.4999999999999998E-2"/>
    <n v="0"/>
    <n v="0"/>
    <n v="0"/>
    <n v="2E-3"/>
    <s v="DISPONIBILE"/>
    <m/>
    <m/>
  </r>
  <r>
    <n v="21"/>
    <n v="2025"/>
    <s v="BIG01/2025"/>
    <s v="S103/2024"/>
    <s v="BIG BAG N°4"/>
    <x v="2"/>
    <x v="0"/>
    <x v="0"/>
    <m/>
    <n v="1000"/>
    <n v="0"/>
    <n v="1000"/>
    <s v="Vignanello"/>
    <n v="2E-3"/>
    <n v="1.66E-2"/>
    <n v="4.6600000000000003E-2"/>
    <n v="0"/>
    <n v="0"/>
    <s v="DISPONIBILE"/>
    <m/>
    <m/>
  </r>
  <r>
    <n v="21"/>
    <n v="2025"/>
    <s v="BIG01/2025"/>
    <s v="S103/2024"/>
    <s v="BIG BAG N°12"/>
    <x v="2"/>
    <x v="0"/>
    <x v="1"/>
    <m/>
    <n v="1000"/>
    <n v="0"/>
    <n v="1000"/>
    <s v="Vignanello"/>
    <n v="0"/>
    <n v="0.01"/>
    <n v="6.3299999999999995E-2"/>
    <n v="0"/>
    <n v="0"/>
    <s v="DISPONIBILE"/>
    <m/>
    <m/>
  </r>
  <r>
    <n v="21"/>
    <n v="2025"/>
    <s v="BIG01/2025"/>
    <s v="S103/2024"/>
    <s v="BIG BAG N°13"/>
    <x v="2"/>
    <x v="0"/>
    <x v="2"/>
    <m/>
    <n v="1000"/>
    <n v="0"/>
    <n v="1000"/>
    <s v="Vignanello"/>
    <n v="1E-3"/>
    <n v="2.3300000000000001E-2"/>
    <n v="7.0000000000000007E-2"/>
    <n v="0"/>
    <n v="0"/>
    <s v="DISPONIBILE"/>
    <m/>
    <m/>
  </r>
  <r>
    <n v="21"/>
    <n v="2025"/>
    <s v="BIG01/2025"/>
    <s v="S103/2024"/>
    <s v="BIG BAG N°14"/>
    <x v="2"/>
    <x v="0"/>
    <x v="2"/>
    <m/>
    <n v="1000"/>
    <n v="0"/>
    <n v="1000"/>
    <s v="Vignanello"/>
    <n v="1E-3"/>
    <n v="0.02"/>
    <n v="6.6600000000000006E-2"/>
    <n v="0"/>
    <n v="0"/>
    <s v="DISPONIBILE"/>
    <m/>
    <m/>
  </r>
  <r>
    <n v="21"/>
    <n v="2025"/>
    <s v="BIG01/2025"/>
    <s v="S103/2024"/>
    <s v="BIG BAG N°"/>
    <x v="2"/>
    <x v="2"/>
    <x v="2"/>
    <s v="TIPO 2"/>
    <n v="613"/>
    <n v="0"/>
    <n v="613"/>
    <s v="Vignanello"/>
    <n v="0.436"/>
    <n v="0"/>
    <n v="0"/>
    <n v="0"/>
    <n v="0.192"/>
    <s v="DISPONIBILE"/>
    <m/>
    <m/>
  </r>
  <r>
    <n v="21"/>
    <n v="2025"/>
    <s v="BIG01/2025"/>
    <s v="S103/2024"/>
    <s v="BIG BAG N°"/>
    <x v="2"/>
    <x v="2"/>
    <x v="1"/>
    <s v="TIPO 2"/>
    <n v="510"/>
    <n v="0"/>
    <n v="510"/>
    <s v="Vignanello"/>
    <n v="0.52600000000000002"/>
    <n v="0"/>
    <n v="0"/>
    <n v="0"/>
    <n v="0.18"/>
    <s v="DISPONIBILE"/>
    <m/>
    <m/>
  </r>
  <r>
    <n v="21"/>
    <n v="2025"/>
    <s v="BIG01/2025"/>
    <s v="S103/2024"/>
    <s v="BIG BAG N°5"/>
    <x v="2"/>
    <x v="0"/>
    <x v="0"/>
    <m/>
    <n v="1000"/>
    <n v="0"/>
    <n v="1000"/>
    <s v="Vignanello"/>
    <n v="0"/>
    <n v="6.6E-3"/>
    <n v="4.3299999999999998E-2"/>
    <n v="0"/>
    <n v="0"/>
    <s v="DISPONIBILE"/>
    <m/>
    <m/>
  </r>
  <r>
    <n v="21"/>
    <n v="2025"/>
    <s v="BIG01/2025"/>
    <s v="S103/2024"/>
    <s v="BIG BAG N°15"/>
    <x v="2"/>
    <x v="0"/>
    <x v="2"/>
    <m/>
    <n v="1000"/>
    <n v="0"/>
    <n v="1000"/>
    <s v="Vignanello"/>
    <n v="0"/>
    <n v="1.3299999999999999E-2"/>
    <n v="5.6599999999999998E-2"/>
    <n v="0"/>
    <n v="0"/>
    <s v="DISPONIBILE"/>
    <m/>
    <m/>
  </r>
  <r>
    <n v="21"/>
    <n v="2025"/>
    <m/>
    <s v="FA05/2025"/>
    <s v="BIG BAG N°55"/>
    <x v="0"/>
    <x v="0"/>
    <x v="1"/>
    <m/>
    <n v="1000"/>
    <n v="0"/>
    <n v="1000"/>
    <s v="Fabrica"/>
    <n v="8.0000000000000002E-3"/>
    <n v="4.6600000000000003E-2"/>
    <n v="0"/>
    <n v="7.0000000000000007E-2"/>
    <m/>
    <s v="DISPONIBILE"/>
    <m/>
    <m/>
  </r>
  <r>
    <n v="21"/>
    <n v="2025"/>
    <m/>
    <s v="FA05/2025"/>
    <s v="BIG BAG N°56"/>
    <x v="0"/>
    <x v="0"/>
    <x v="1"/>
    <m/>
    <n v="1000"/>
    <n v="0"/>
    <n v="1000"/>
    <s v="Fabrica"/>
    <n v="8.0000000000000002E-3"/>
    <n v="3.6600000000000001E-2"/>
    <n v="0"/>
    <n v="5.33E-2"/>
    <m/>
    <s v="DISPONIBILE"/>
    <m/>
    <m/>
  </r>
  <r>
    <n v="21"/>
    <n v="2025"/>
    <m/>
    <s v="FA05/2025"/>
    <s v="BIG BAG N°57"/>
    <x v="0"/>
    <x v="0"/>
    <x v="1"/>
    <m/>
    <n v="1000"/>
    <n v="0"/>
    <n v="1000"/>
    <s v="Fabrica"/>
    <n v="6.0000000000000001E-3"/>
    <n v="7.3300000000000004E-2"/>
    <n v="0"/>
    <n v="0.17330000000000001"/>
    <m/>
    <s v="DISPONIBILE"/>
    <m/>
    <m/>
  </r>
  <r>
    <n v="21"/>
    <n v="2025"/>
    <m/>
    <s v="FA05/2025"/>
    <s v="BIG BAG N°58"/>
    <x v="0"/>
    <x v="0"/>
    <x v="1"/>
    <m/>
    <n v="1000"/>
    <n v="0"/>
    <n v="1000"/>
    <s v="Fabrica"/>
    <n v="6.0000000000000001E-3"/>
    <n v="5.6599999999999998E-2"/>
    <n v="0"/>
    <n v="0.1066"/>
    <m/>
    <s v="DISPONIBILE"/>
    <m/>
    <m/>
  </r>
  <r>
    <n v="21"/>
    <n v="2025"/>
    <m/>
    <s v="FA05/2025"/>
    <s v="BIG BAG N°59"/>
    <x v="0"/>
    <x v="0"/>
    <x v="1"/>
    <m/>
    <n v="1000"/>
    <n v="0"/>
    <n v="1000"/>
    <s v="Fabrica"/>
    <n v="3.0000000000000001E-3"/>
    <n v="8.3299999999999999E-2"/>
    <n v="0"/>
    <n v="7.3300000000000004E-2"/>
    <m/>
    <s v="DISPONIBILE"/>
    <m/>
    <m/>
  </r>
  <r>
    <n v="21"/>
    <n v="2025"/>
    <s v="BIG01/2025"/>
    <s v="S103/2025"/>
    <s v="BIG BAG N°"/>
    <x v="2"/>
    <x v="1"/>
    <x v="7"/>
    <m/>
    <n v="1000"/>
    <n v="0"/>
    <n v="1000"/>
    <s v="Vignanello"/>
    <n v="4.8000000000000001E-2"/>
    <n v="0"/>
    <n v="0"/>
    <n v="0"/>
    <n v="0"/>
    <s v="DISPONIBILE"/>
    <m/>
    <m/>
  </r>
  <r>
    <n v="21"/>
    <n v="2025"/>
    <m/>
    <s v="FA05/2025"/>
    <s v="BIG BAG N°90"/>
    <x v="0"/>
    <x v="0"/>
    <x v="2"/>
    <m/>
    <n v="1000"/>
    <n v="0"/>
    <n v="1000"/>
    <s v="Fabrica"/>
    <n v="2E-3"/>
    <n v="5.6599999999999998E-2"/>
    <n v="0"/>
    <n v="8.3299999999999999E-2"/>
    <n v="0"/>
    <s v="DISPONIBILE"/>
    <m/>
    <m/>
  </r>
  <r>
    <n v="21"/>
    <n v="2025"/>
    <s v="BIG01/2025"/>
    <s v="S101-S102/2024"/>
    <s v="BIG BAG N°"/>
    <x v="2"/>
    <x v="1"/>
    <x v="7"/>
    <m/>
    <n v="1000"/>
    <n v="0"/>
    <n v="1000"/>
    <s v="Vignanello"/>
    <n v="5.1999999999999998E-2"/>
    <m/>
    <m/>
    <m/>
    <m/>
    <s v="DISPONIBILE"/>
    <m/>
    <m/>
  </r>
  <r>
    <n v="20"/>
    <n v="2025"/>
    <m/>
    <s v="FA05/2025"/>
    <s v="BIG BAG N°"/>
    <x v="0"/>
    <x v="2"/>
    <x v="3"/>
    <m/>
    <n v="930"/>
    <n v="0"/>
    <n v="930"/>
    <s v="Fabrica"/>
    <n v="0.502"/>
    <n v="0.17"/>
    <n v="0.15"/>
    <m/>
    <m/>
    <s v="DISPONIBILE"/>
    <m/>
    <m/>
  </r>
  <r>
    <n v="20"/>
    <n v="2025"/>
    <m/>
    <s v="FA02/2025"/>
    <s v="BIG BAG N°"/>
    <x v="0"/>
    <x v="2"/>
    <x v="3"/>
    <m/>
    <n v="890"/>
    <n v="0"/>
    <n v="890"/>
    <s v="Fabrica"/>
    <m/>
    <m/>
    <m/>
    <m/>
    <m/>
    <s v="DISPONIBILE"/>
    <m/>
    <m/>
  </r>
  <r>
    <n v="20"/>
    <n v="2025"/>
    <m/>
    <s v="FA02/2025"/>
    <s v="BIG BAG N°"/>
    <x v="0"/>
    <x v="2"/>
    <x v="3"/>
    <m/>
    <n v="988"/>
    <n v="0"/>
    <n v="988"/>
    <s v="Fabrica"/>
    <m/>
    <m/>
    <m/>
    <m/>
    <m/>
    <s v="DISPONIBILE"/>
    <m/>
    <m/>
  </r>
  <r>
    <n v="20"/>
    <n v="2025"/>
    <m/>
    <s v="FA02/2025"/>
    <s v="BIG BAG N°"/>
    <x v="0"/>
    <x v="2"/>
    <x v="3"/>
    <m/>
    <n v="1000"/>
    <n v="0"/>
    <n v="1000"/>
    <s v="Fabrica"/>
    <m/>
    <m/>
    <m/>
    <m/>
    <m/>
    <s v="DISPONIBILE"/>
    <m/>
    <m/>
  </r>
  <r>
    <n v="20"/>
    <n v="2025"/>
    <m/>
    <s v="FA03/2025"/>
    <s v="BIG BAG N°"/>
    <x v="0"/>
    <x v="2"/>
    <x v="3"/>
    <m/>
    <n v="997"/>
    <n v="0"/>
    <n v="997"/>
    <s v="Fabrica"/>
    <m/>
    <m/>
    <m/>
    <m/>
    <m/>
    <s v="DISPONIBILE"/>
    <m/>
    <m/>
  </r>
  <r>
    <n v="20"/>
    <n v="2025"/>
    <m/>
    <s v="FA03/2025"/>
    <s v="BIG BAG N°"/>
    <x v="0"/>
    <x v="2"/>
    <x v="3"/>
    <m/>
    <n v="932"/>
    <n v="0"/>
    <n v="932"/>
    <s v="Fabrica"/>
    <m/>
    <m/>
    <m/>
    <m/>
    <m/>
    <s v="DISPONIBILE"/>
    <m/>
    <m/>
  </r>
  <r>
    <n v="20"/>
    <n v="2025"/>
    <m/>
    <s v="FA04/2025"/>
    <s v="BIG BAG N°"/>
    <x v="0"/>
    <x v="2"/>
    <x v="3"/>
    <m/>
    <n v="1020"/>
    <n v="0"/>
    <n v="1020"/>
    <s v="Fabrica"/>
    <m/>
    <m/>
    <m/>
    <m/>
    <m/>
    <s v="DISPONIBILE"/>
    <m/>
    <m/>
  </r>
  <r>
    <n v="20"/>
    <n v="2025"/>
    <m/>
    <s v="FA04/2025"/>
    <s v="BIG BAG N°"/>
    <x v="0"/>
    <x v="2"/>
    <x v="3"/>
    <m/>
    <n v="953"/>
    <n v="0"/>
    <n v="953"/>
    <s v="Fabrica"/>
    <m/>
    <m/>
    <m/>
    <m/>
    <m/>
    <s v="DISPONIBILE"/>
    <m/>
    <m/>
  </r>
  <r>
    <n v="20"/>
    <n v="2025"/>
    <m/>
    <s v="FA05/2025"/>
    <s v="BIG BAG N°"/>
    <x v="0"/>
    <x v="2"/>
    <x v="3"/>
    <m/>
    <n v="950"/>
    <n v="0"/>
    <n v="950"/>
    <s v="Fabrica"/>
    <m/>
    <m/>
    <m/>
    <m/>
    <m/>
    <s v="DISPONIBILE"/>
    <m/>
    <m/>
  </r>
  <r>
    <n v="21"/>
    <n v="2025"/>
    <s v="BIG01/2025"/>
    <s v="S122A/2024"/>
    <s v="BIG BAG N°"/>
    <x v="1"/>
    <x v="1"/>
    <x v="7"/>
    <m/>
    <n v="1000"/>
    <n v="0"/>
    <n v="1000"/>
    <s v="Vignanello"/>
    <n v="3.7999999999999999E-2"/>
    <m/>
    <m/>
    <m/>
    <m/>
    <s v="DISPONIBILE"/>
    <m/>
    <m/>
  </r>
  <r>
    <n v="22"/>
    <n v="2025"/>
    <s v="BIG01/2025"/>
    <s v="S121R/2024"/>
    <s v="BIG BAG N°4"/>
    <x v="1"/>
    <x v="0"/>
    <x v="0"/>
    <m/>
    <n v="1000"/>
    <n v="0"/>
    <n v="1000"/>
    <s v="Vignanello"/>
    <n v="0"/>
    <n v="3.3E-3"/>
    <n v="3.3300000000000003E-2"/>
    <n v="0"/>
    <n v="0"/>
    <s v="DISPONIBILE"/>
    <m/>
    <m/>
  </r>
  <r>
    <n v="22"/>
    <n v="2025"/>
    <s v="BIG01/2025"/>
    <s v="S121R/2024"/>
    <s v="BIG BAG N°5"/>
    <x v="1"/>
    <x v="0"/>
    <x v="0"/>
    <m/>
    <n v="1000"/>
    <n v="0"/>
    <n v="1000"/>
    <s v="Vignanello"/>
    <n v="0"/>
    <n v="0"/>
    <n v="2.6599999999999999E-2"/>
    <n v="0"/>
    <n v="0"/>
    <s v="DISPONIBILE"/>
    <m/>
    <m/>
  </r>
  <r>
    <n v="22"/>
    <n v="2025"/>
    <s v="BIG01/2025"/>
    <s v="S121R/2024"/>
    <s v="BIG BAG N°6"/>
    <x v="1"/>
    <x v="0"/>
    <x v="0"/>
    <m/>
    <n v="246"/>
    <n v="0"/>
    <n v="246"/>
    <s v="Vignanello"/>
    <n v="0"/>
    <n v="0"/>
    <n v="2.6599999999999999E-2"/>
    <n v="0"/>
    <n v="0"/>
    <s v="DISPONIBILE"/>
    <m/>
    <m/>
  </r>
  <r>
    <n v="22"/>
    <n v="2025"/>
    <s v="BIG01/2025"/>
    <s v="S121R/2024"/>
    <s v="BIG BAG N°6"/>
    <x v="1"/>
    <x v="0"/>
    <x v="1"/>
    <m/>
    <n v="366"/>
    <n v="0"/>
    <n v="366"/>
    <s v="Vignanello"/>
    <n v="0"/>
    <n v="3.3E-3"/>
    <n v="3.6600000000000001E-2"/>
    <n v="0"/>
    <n v="0"/>
    <s v="DISPONIBILE"/>
    <m/>
    <m/>
  </r>
  <r>
    <n v="22"/>
    <n v="2025"/>
    <s v="BIG01/2025"/>
    <s v="S121R/2024"/>
    <s v="BIG BAG N°5"/>
    <x v="1"/>
    <x v="0"/>
    <x v="2"/>
    <m/>
    <n v="988"/>
    <n v="0"/>
    <n v="988"/>
    <s v="Vignanello"/>
    <n v="0"/>
    <n v="3.3E-3"/>
    <n v="5.6599999999999998E-2"/>
    <n v="0"/>
    <n v="0"/>
    <s v="DISPONIBILE"/>
    <m/>
    <m/>
  </r>
  <r>
    <n v="21"/>
    <n v="2025"/>
    <s v="BIG01/2025"/>
    <s v="S121R/2024"/>
    <s v="BIG BAG N°"/>
    <x v="1"/>
    <x v="1"/>
    <x v="7"/>
    <m/>
    <n v="1000"/>
    <n v="0"/>
    <n v="1000"/>
    <s v="Vignanello"/>
    <n v="4.5999999999999999E-2"/>
    <n v="0"/>
    <n v="0"/>
    <n v="0"/>
    <n v="0"/>
    <s v="DISPONIBILE"/>
    <m/>
    <m/>
  </r>
  <r>
    <n v="21"/>
    <n v="2025"/>
    <s v="BIG01/2025"/>
    <s v="S109/2024"/>
    <s v="BIG BAG N°"/>
    <x v="1"/>
    <x v="1"/>
    <x v="7"/>
    <m/>
    <n v="380"/>
    <n v="0"/>
    <n v="380"/>
    <s v="Vignanello"/>
    <n v="4.5999999999999999E-2"/>
    <n v="0"/>
    <n v="0"/>
    <n v="0"/>
    <n v="0"/>
    <s v="DISPONIBILE"/>
    <m/>
    <m/>
  </r>
  <r>
    <n v="22"/>
    <n v="2025"/>
    <m/>
    <s v="SG05/2025"/>
    <s v="BIG BAG N°1"/>
    <x v="4"/>
    <x v="0"/>
    <x v="2"/>
    <m/>
    <n v="1000"/>
    <n v="0"/>
    <n v="1000"/>
    <s v="Soriano"/>
    <n v="2E-3"/>
    <n v="3.5000000000000003E-2"/>
    <n v="0"/>
    <n v="1.4999999999999999E-2"/>
    <n v="0"/>
    <s v="DISPONIBILE"/>
    <m/>
    <m/>
  </r>
  <r>
    <n v="22"/>
    <n v="2025"/>
    <m/>
    <s v="SG05/2025"/>
    <s v="BIG BAG N°2"/>
    <x v="4"/>
    <x v="0"/>
    <x v="2"/>
    <m/>
    <n v="1000"/>
    <n v="0"/>
    <n v="1000"/>
    <s v="Soriano"/>
    <n v="2E-3"/>
    <n v="3.5000000000000003E-2"/>
    <n v="0"/>
    <n v="2.5000000000000001E-2"/>
    <n v="0"/>
    <s v="DISPONIBILE"/>
    <m/>
    <m/>
  </r>
  <r>
    <n v="22"/>
    <n v="2025"/>
    <m/>
    <s v="SG05/2025"/>
    <s v="BIG BAG N°4"/>
    <x v="4"/>
    <x v="0"/>
    <x v="2"/>
    <m/>
    <n v="1000"/>
    <n v="0"/>
    <n v="1000"/>
    <s v="Soriano"/>
    <n v="1E-3"/>
    <n v="1.4999999999999999E-2"/>
    <n v="0"/>
    <n v="2.5000000000000001E-2"/>
    <n v="0"/>
    <s v="ASSEGNATO"/>
    <m/>
    <s v="Aruba"/>
  </r>
  <r>
    <n v="22"/>
    <n v="2025"/>
    <m/>
    <s v="SG05/2025"/>
    <s v="BIG BAG N°1"/>
    <x v="4"/>
    <x v="0"/>
    <x v="1"/>
    <m/>
    <n v="1000"/>
    <n v="0"/>
    <n v="1000"/>
    <s v="Soriano"/>
    <n v="1E-3"/>
    <n v="3.5000000000000003E-2"/>
    <n v="0"/>
    <n v="0.03"/>
    <n v="0"/>
    <s v="DISPONIBILE"/>
    <m/>
    <m/>
  </r>
  <r>
    <n v="22"/>
    <n v="2025"/>
    <m/>
    <s v="SG05/2025"/>
    <s v="BIG BAG N°2"/>
    <x v="4"/>
    <x v="0"/>
    <x v="1"/>
    <m/>
    <n v="1000"/>
    <n v="0"/>
    <n v="1000"/>
    <s v="Soriano"/>
    <n v="2E-3"/>
    <n v="0.04"/>
    <n v="0"/>
    <n v="3.5000000000000003E-2"/>
    <n v="0"/>
    <s v="DISPONIBILE"/>
    <m/>
    <m/>
  </r>
  <r>
    <n v="22"/>
    <n v="2025"/>
    <m/>
    <s v="FA05/2025"/>
    <s v="BIG BAG °18"/>
    <x v="0"/>
    <x v="0"/>
    <x v="0"/>
    <m/>
    <n v="1000"/>
    <n v="0"/>
    <n v="1000"/>
    <s v="Fabrica"/>
    <n v="7.0000000000000001E-3"/>
    <n v="2.3300000000000001E-2"/>
    <n v="0"/>
    <n v="5.33E-2"/>
    <n v="0"/>
    <s v="DISPONIBILE"/>
    <m/>
    <m/>
  </r>
  <r>
    <n v="22"/>
    <n v="2025"/>
    <m/>
    <s v="FA05/2025"/>
    <s v="BIG BAG °19"/>
    <x v="0"/>
    <x v="0"/>
    <x v="0"/>
    <m/>
    <n v="1000"/>
    <n v="0"/>
    <n v="1000"/>
    <s v="Fabrica"/>
    <n v="6.0000000000000001E-3"/>
    <n v="3.3300000000000003E-2"/>
    <n v="0"/>
    <n v="5.33E-2"/>
    <n v="0"/>
    <s v="DISPONIBILE"/>
    <m/>
    <m/>
  </r>
  <r>
    <n v="19"/>
    <n v="2025"/>
    <s v="BIG05/2024"/>
    <s v="S121R/2024"/>
    <s v="BIG BAG N°1"/>
    <x v="1"/>
    <x v="0"/>
    <x v="1"/>
    <m/>
    <n v="1000"/>
    <n v="0"/>
    <n v="1000"/>
    <s v="Vignanello"/>
    <n v="1E-3"/>
    <n v="0.02"/>
    <n v="2.6599999999999999E-2"/>
    <n v="0"/>
    <n v="0"/>
    <s v="DISPONIBILE"/>
    <m/>
    <m/>
  </r>
  <r>
    <n v="19"/>
    <n v="2025"/>
    <s v="BIG05/2024"/>
    <s v="S121R/2024"/>
    <s v="BIG BAG N°2"/>
    <x v="1"/>
    <x v="0"/>
    <x v="1"/>
    <m/>
    <n v="1000"/>
    <n v="0"/>
    <n v="1000"/>
    <s v="Vignanello"/>
    <n v="0"/>
    <n v="1.3299999999999999E-2"/>
    <n v="0.02"/>
    <n v="0"/>
    <n v="0"/>
    <s v="DISPONIBILE"/>
    <m/>
    <m/>
  </r>
  <r>
    <n v="19"/>
    <n v="2025"/>
    <s v="BIG05/2024"/>
    <s v="S121R/2024"/>
    <s v="BIG BAG N°3"/>
    <x v="1"/>
    <x v="0"/>
    <x v="1"/>
    <m/>
    <n v="1000"/>
    <n v="0"/>
    <n v="1000"/>
    <s v="Vignanello"/>
    <n v="0"/>
    <n v="3.0000000000000001E-3"/>
    <n v="1.3299999999999999E-2"/>
    <n v="0"/>
    <n v="0"/>
    <s v="DISPONIBILE"/>
    <m/>
    <m/>
  </r>
  <r>
    <n v="19"/>
    <n v="2025"/>
    <s v="BIG05/2024"/>
    <s v="S121R/2024"/>
    <s v="BIG BAG N°1"/>
    <x v="1"/>
    <x v="0"/>
    <x v="2"/>
    <m/>
    <n v="1000"/>
    <n v="0"/>
    <n v="1000"/>
    <s v="Vignanello"/>
    <n v="1E-3"/>
    <n v="2.3300000000000001E-2"/>
    <n v="0.12330000000000001"/>
    <n v="0"/>
    <n v="0"/>
    <s v="DISPONIBILE"/>
    <m/>
    <m/>
  </r>
  <r>
    <n v="19"/>
    <n v="2025"/>
    <s v="BIG05/2024"/>
    <s v="S121R/2024"/>
    <s v="BIG BAG N°2"/>
    <x v="1"/>
    <x v="0"/>
    <x v="2"/>
    <m/>
    <n v="1000"/>
    <n v="0"/>
    <n v="1000"/>
    <s v="Vignanello"/>
    <n v="1E-3"/>
    <n v="0.02"/>
    <n v="0.05"/>
    <n v="0"/>
    <n v="0"/>
    <s v="DISPONIBILE"/>
    <m/>
    <m/>
  </r>
  <r>
    <n v="19"/>
    <n v="2025"/>
    <s v="BIG05/2024"/>
    <s v="S121R/2024"/>
    <s v="BIG BAG N°3"/>
    <x v="1"/>
    <x v="0"/>
    <x v="2"/>
    <m/>
    <n v="1000"/>
    <n v="0"/>
    <n v="1000"/>
    <s v="Vignanello"/>
    <n v="0"/>
    <n v="0"/>
    <n v="2.6599999999999999E-2"/>
    <n v="0"/>
    <n v="0"/>
    <s v="DISPONIBILE"/>
    <m/>
    <m/>
  </r>
  <r>
    <n v="19"/>
    <n v="2025"/>
    <s v="BIG05/2024"/>
    <s v="S122A/2024"/>
    <s v="BIG BAG N°1"/>
    <x v="1"/>
    <x v="0"/>
    <x v="1"/>
    <m/>
    <n v="1000"/>
    <n v="0"/>
    <n v="1000"/>
    <s v="Vignanello"/>
    <n v="4.0000000000000001E-3"/>
    <n v="1.66E-2"/>
    <n v="5.6599999999999998E-2"/>
    <n v="0"/>
    <n v="0"/>
    <s v="DISPONIBILE"/>
    <m/>
    <m/>
  </r>
  <r>
    <n v="19"/>
    <n v="2025"/>
    <s v="BIG05/2024"/>
    <s v="S122A/2024"/>
    <s v="BIG BAG N°2"/>
    <x v="1"/>
    <x v="0"/>
    <x v="1"/>
    <m/>
    <n v="1000"/>
    <n v="0"/>
    <n v="1000"/>
    <s v="Vignanello"/>
    <n v="0"/>
    <n v="6.6E-3"/>
    <n v="0.06"/>
    <n v="0"/>
    <n v="0"/>
    <s v="DISPONIBILE"/>
    <m/>
    <m/>
  </r>
  <r>
    <n v="19"/>
    <n v="2025"/>
    <m/>
    <s v="SG05/2025"/>
    <s v="BIG BAG °3"/>
    <x v="4"/>
    <x v="0"/>
    <x v="1"/>
    <m/>
    <n v="1000"/>
    <n v="0"/>
    <n v="1000"/>
    <s v="Soriano"/>
    <n v="2E-3"/>
    <n v="0.04"/>
    <n v="0.03"/>
    <n v="0"/>
    <n v="0"/>
    <s v="DISPONIBILE"/>
    <m/>
    <m/>
  </r>
  <r>
    <n v="19"/>
    <n v="2025"/>
    <m/>
    <s v="SG05/2025"/>
    <s v="BIG BAN °5"/>
    <x v="4"/>
    <x v="0"/>
    <x v="2"/>
    <m/>
    <n v="1000"/>
    <n v="0"/>
    <n v="1000"/>
    <s v="Soriano"/>
    <n v="2E-3"/>
    <n v="2.5000000000000001E-2"/>
    <n v="0.04"/>
    <n v="0"/>
    <n v="0"/>
    <s v="DISPONIBILE"/>
    <m/>
    <m/>
  </r>
  <r>
    <n v="19"/>
    <n v="2025"/>
    <m/>
    <s v="SG05/2025"/>
    <s v="BIG BAG °4"/>
    <x v="4"/>
    <x v="0"/>
    <x v="1"/>
    <m/>
    <n v="1000"/>
    <n v="0"/>
    <n v="1000"/>
    <s v="Soriano"/>
    <n v="3.0000000000000001E-3"/>
    <n v="0.04"/>
    <n v="4.7E-2"/>
    <n v="0"/>
    <n v="0"/>
    <s v="DISPONIBILE"/>
    <m/>
    <m/>
  </r>
  <r>
    <n v="19"/>
    <n v="2025"/>
    <m/>
    <s v="SG05/2025"/>
    <s v="BIG BAG °6"/>
    <x v="4"/>
    <x v="0"/>
    <x v="2"/>
    <m/>
    <n v="1000"/>
    <n v="0"/>
    <n v="1000"/>
    <s v="Soriano"/>
    <n v="3.0000000000000001E-3"/>
    <n v="0.03"/>
    <n v="4.4999999999999998E-2"/>
    <n v="0"/>
    <n v="0"/>
    <s v="DISPONIBILE"/>
    <m/>
    <m/>
  </r>
  <r>
    <n v="19"/>
    <n v="2025"/>
    <m/>
    <s v="SG05/2025"/>
    <s v="BIG BAG °5"/>
    <x v="4"/>
    <x v="0"/>
    <x v="1"/>
    <m/>
    <n v="1000"/>
    <n v="0"/>
    <n v="1000"/>
    <s v="Soriano"/>
    <n v="3.0000000000000001E-3"/>
    <n v="0.05"/>
    <n v="0.04"/>
    <n v="0"/>
    <n v="0"/>
    <s v="DISPONIBILE"/>
    <m/>
    <m/>
  </r>
  <r>
    <n v="20"/>
    <n v="2025"/>
    <m/>
    <s v="SG05/2025"/>
    <s v="BIG BAG °6"/>
    <x v="4"/>
    <x v="0"/>
    <x v="1"/>
    <m/>
    <n v="1000"/>
    <n v="0"/>
    <n v="1000"/>
    <s v="Soriano"/>
    <n v="1E-3"/>
    <n v="1.4999999999999999E-2"/>
    <n v="4.4999999999999998E-2"/>
    <n v="0"/>
    <n v="0"/>
    <s v="DISPONIBILE"/>
    <m/>
    <m/>
  </r>
  <r>
    <n v="20"/>
    <n v="2025"/>
    <m/>
    <s v="SG05/2025"/>
    <s v="BIG BAG N°7"/>
    <x v="4"/>
    <x v="0"/>
    <x v="2"/>
    <m/>
    <n v="1000"/>
    <n v="0"/>
    <n v="1000"/>
    <s v="Soriano"/>
    <n v="1E-3"/>
    <n v="2.5000000000000001E-2"/>
    <n v="5.5E-2"/>
    <n v="0"/>
    <n v="0"/>
    <s v="DISPONIBILE"/>
    <m/>
    <m/>
  </r>
  <r>
    <n v="20"/>
    <n v="2025"/>
    <m/>
    <s v="SG05/2025"/>
    <s v="BIG BAG N°7"/>
    <x v="4"/>
    <x v="0"/>
    <x v="1"/>
    <m/>
    <n v="1000"/>
    <n v="0"/>
    <n v="1000"/>
    <s v="Soriano"/>
    <n v="3.0000000000000001E-3"/>
    <n v="0.04"/>
    <n v="4.4999999999999998E-2"/>
    <n v="0"/>
    <n v="0"/>
    <s v="DISPONIBILE"/>
    <m/>
    <m/>
  </r>
  <r>
    <n v="20"/>
    <n v="2025"/>
    <m/>
    <s v="SG05/2025"/>
    <s v="BIG BAG N°8"/>
    <x v="4"/>
    <x v="0"/>
    <x v="2"/>
    <m/>
    <n v="1000"/>
    <n v="0"/>
    <n v="1000"/>
    <s v="Soriano"/>
    <n v="4.0000000000000001E-3"/>
    <n v="3.5000000000000003E-2"/>
    <n v="0.05"/>
    <n v="0"/>
    <n v="0"/>
    <s v="DISPONIBILE"/>
    <m/>
    <m/>
  </r>
  <r>
    <n v="20"/>
    <n v="2025"/>
    <m/>
    <s v="SG05/2025"/>
    <s v="BIG BAG N°9"/>
    <x v="4"/>
    <x v="0"/>
    <x v="2"/>
    <m/>
    <n v="1000"/>
    <n v="0"/>
    <n v="1000"/>
    <s v="Soriano"/>
    <n v="2E-3"/>
    <n v="0.02"/>
    <n v="4.4999999999999998E-2"/>
    <n v="0"/>
    <n v="0"/>
    <s v="DISPONIBILE"/>
    <m/>
    <m/>
  </r>
  <r>
    <n v="20"/>
    <n v="2025"/>
    <m/>
    <s v="SG05/2025"/>
    <s v="BIG BAG N°1"/>
    <x v="4"/>
    <x v="0"/>
    <x v="0"/>
    <m/>
    <n v="1000"/>
    <n v="0"/>
    <n v="1000"/>
    <s v="Soriano"/>
    <n v="1E-3"/>
    <n v="0.03"/>
    <n v="0.03"/>
    <n v="0"/>
    <n v="0"/>
    <s v="DISPONIBILE"/>
    <m/>
    <m/>
  </r>
  <r>
    <n v="20"/>
    <n v="2025"/>
    <m/>
    <s v="SG05/2025"/>
    <s v="BIG BAG N°8"/>
    <x v="4"/>
    <x v="0"/>
    <x v="1"/>
    <m/>
    <n v="1000"/>
    <n v="0"/>
    <n v="1000"/>
    <s v="Soriano"/>
    <n v="2E-3"/>
    <n v="3.5000000000000003E-2"/>
    <n v="0.04"/>
    <n v="0"/>
    <n v="0"/>
    <s v="DISPONIBILE"/>
    <m/>
    <m/>
  </r>
  <r>
    <n v="20"/>
    <n v="2025"/>
    <m/>
    <s v="SG05/2025"/>
    <s v="BIG BAG N°10"/>
    <x v="4"/>
    <x v="0"/>
    <x v="2"/>
    <m/>
    <n v="1000"/>
    <n v="0"/>
    <n v="1000"/>
    <s v="Soriano"/>
    <n v="4.0000000000000001E-3"/>
    <n v="3.5000000000000003E-2"/>
    <n v="0.03"/>
    <n v="0"/>
    <n v="0"/>
    <s v="DISPONIBILE"/>
    <m/>
    <m/>
  </r>
  <r>
    <n v="20"/>
    <n v="2025"/>
    <m/>
    <s v="SG05/2025"/>
    <s v="BIG BAG N°11"/>
    <x v="4"/>
    <x v="0"/>
    <x v="2"/>
    <m/>
    <n v="1000"/>
    <n v="0"/>
    <n v="1000"/>
    <s v="Soriano"/>
    <n v="4.0000000000000001E-3"/>
    <n v="2.5000000000000001E-2"/>
    <n v="4.4999999999999998E-2"/>
    <n v="0"/>
    <n v="0"/>
    <s v="DISPONIBILE"/>
    <m/>
    <m/>
  </r>
  <r>
    <n v="20"/>
    <n v="2025"/>
    <m/>
    <s v="SG05/2025"/>
    <s v="BIG BAG N°9"/>
    <x v="4"/>
    <x v="0"/>
    <x v="1"/>
    <m/>
    <n v="1000"/>
    <n v="0"/>
    <n v="1000"/>
    <s v="Soriano"/>
    <n v="3.0000000000000001E-3"/>
    <n v="0.06"/>
    <n v="0.04"/>
    <n v="0"/>
    <n v="0"/>
    <s v="DISPONIBILE"/>
    <m/>
    <m/>
  </r>
  <r>
    <n v="20"/>
    <n v="2025"/>
    <m/>
    <s v="SG05/2025"/>
    <s v="BIG BAG N°12"/>
    <x v="4"/>
    <x v="0"/>
    <x v="2"/>
    <m/>
    <n v="1000"/>
    <n v="0"/>
    <n v="1000"/>
    <s v="Soriano"/>
    <n v="3.0000000000000001E-3"/>
    <n v="7.0000000000000007E-2"/>
    <n v="0.1"/>
    <n v="0"/>
    <n v="0"/>
    <s v="DISPONIBILE"/>
    <m/>
    <m/>
  </r>
  <r>
    <n v="20"/>
    <n v="2025"/>
    <m/>
    <s v="SG05/2025"/>
    <s v="BIG BAG N°13"/>
    <x v="4"/>
    <x v="0"/>
    <x v="2"/>
    <m/>
    <n v="1000"/>
    <n v="0"/>
    <n v="1000"/>
    <s v="Soriano"/>
    <n v="4.0000000000000001E-3"/>
    <n v="0.05"/>
    <n v="7.4999999999999997E-2"/>
    <n v="0"/>
    <n v="0"/>
    <s v="DISPONIBILE"/>
    <m/>
    <m/>
  </r>
  <r>
    <n v="20"/>
    <n v="2025"/>
    <m/>
    <s v="SG05/2025"/>
    <s v="BIG BAG N°10"/>
    <x v="4"/>
    <x v="0"/>
    <x v="1"/>
    <m/>
    <n v="1000"/>
    <n v="0"/>
    <n v="1000"/>
    <s v="Soriano"/>
    <n v="4.0000000000000001E-3"/>
    <n v="0.05"/>
    <n v="0.05"/>
    <n v="0"/>
    <n v="0"/>
    <s v="DISPONIBILE"/>
    <m/>
    <m/>
  </r>
  <r>
    <n v="20"/>
    <n v="2025"/>
    <m/>
    <s v="SG05/2025"/>
    <s v="BIG BAG B°1"/>
    <x v="4"/>
    <x v="1"/>
    <x v="3"/>
    <m/>
    <n v="970"/>
    <n v="0"/>
    <n v="970"/>
    <s v="Soriano"/>
    <m/>
    <m/>
    <m/>
    <m/>
    <m/>
    <s v="DISPONIBILE"/>
    <m/>
    <m/>
  </r>
  <r>
    <n v="20"/>
    <n v="2025"/>
    <m/>
    <s v="SG05/2025"/>
    <s v="BIG BAG B°1"/>
    <x v="4"/>
    <x v="2"/>
    <x v="2"/>
    <s v="TIPO 1"/>
    <n v="896"/>
    <n v="0"/>
    <n v="896"/>
    <s v="Soriano"/>
    <m/>
    <m/>
    <m/>
    <m/>
    <m/>
    <s v="DISPONIBILE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n v="1"/>
    <x v="0"/>
    <x v="0"/>
    <x v="0"/>
    <s v="ITALNUX"/>
    <d v="2025-05-01T00:00:00"/>
    <n v="2.5000000000000001E-2"/>
    <n v="0.1"/>
    <n v="24000"/>
    <n v="0"/>
    <n v="24000"/>
    <x v="0"/>
  </r>
  <r>
    <n v="2"/>
    <x v="0"/>
    <x v="0"/>
    <x v="1"/>
    <s v="SANTANIELLO"/>
    <d v="2025-10-01T00:00:00"/>
    <n v="0.03"/>
    <n v="0.12"/>
    <n v="24000"/>
    <n v="24000"/>
    <n v="0"/>
    <x v="1"/>
  </r>
  <r>
    <n v="3"/>
    <x v="0"/>
    <x v="0"/>
    <x v="1"/>
    <s v="SANTANIELLO"/>
    <d v="2025-04-01T00:00:00"/>
    <n v="0.03"/>
    <n v="0.12"/>
    <n v="24000"/>
    <n v="24000"/>
    <n v="0"/>
    <x v="1"/>
  </r>
  <r>
    <n v="4"/>
    <x v="0"/>
    <x v="0"/>
    <x v="1"/>
    <s v="SANTANIELLO"/>
    <d v="2025-12-01T00:00:00"/>
    <n v="0.03"/>
    <n v="0.12"/>
    <n v="24000"/>
    <n v="24000"/>
    <n v="0"/>
    <x v="1"/>
  </r>
  <r>
    <s v="685-91"/>
    <x v="0"/>
    <x v="0"/>
    <x v="1"/>
    <s v="BIOSIC"/>
    <d v="2025-11-01T00:00:00"/>
    <m/>
    <m/>
    <n v="33000"/>
    <n v="3000"/>
    <n v="30000"/>
    <x v="0"/>
  </r>
  <r>
    <n v="5"/>
    <x v="0"/>
    <x v="0"/>
    <x v="1"/>
    <s v="SANTANIELLO"/>
    <d v="2025-03-01T00:00:00"/>
    <n v="0.02"/>
    <n v="0.08"/>
    <n v="18000"/>
    <n v="18000"/>
    <n v="0"/>
    <x v="1"/>
  </r>
  <r>
    <n v="6"/>
    <x v="0"/>
    <x v="0"/>
    <x v="2"/>
    <s v="SANTANIELLO"/>
    <d v="2025-10-01T00:00:00"/>
    <n v="0.02"/>
    <n v="0.08"/>
    <n v="24000"/>
    <n v="24000"/>
    <n v="0"/>
    <x v="1"/>
  </r>
  <r>
    <n v="7"/>
    <x v="0"/>
    <x v="0"/>
    <x v="2"/>
    <s v="SANTANIELLO"/>
    <d v="2025-10-01T00:00:00"/>
    <n v="0.03"/>
    <n v="0.12"/>
    <n v="24000"/>
    <n v="24000"/>
    <n v="0"/>
    <x v="1"/>
  </r>
  <r>
    <n v="8"/>
    <x v="0"/>
    <x v="0"/>
    <x v="2"/>
    <s v="SANTANIELLO"/>
    <d v="2025-04-01T00:00:00"/>
    <n v="0.03"/>
    <n v="0.12"/>
    <n v="24000"/>
    <n v="24000"/>
    <n v="0"/>
    <x v="1"/>
  </r>
  <r>
    <n v="9"/>
    <x v="0"/>
    <x v="0"/>
    <x v="2"/>
    <s v="SANTANIELLO"/>
    <d v="2025-05-01T00:00:00"/>
    <n v="0.03"/>
    <n v="0.1"/>
    <n v="24000"/>
    <n v="24000"/>
    <n v="0"/>
    <x v="1"/>
  </r>
  <r>
    <n v="10"/>
    <x v="0"/>
    <x v="0"/>
    <x v="2"/>
    <s v="SANTANIELLO"/>
    <d v="2025-03-01T00:00:00"/>
    <n v="0.02"/>
    <n v="0.08"/>
    <n v="6000"/>
    <n v="6000"/>
    <n v="0"/>
    <x v="1"/>
  </r>
  <r>
    <s v="685-90"/>
    <x v="0"/>
    <x v="1"/>
    <x v="3"/>
    <s v="BIOSIC"/>
    <d v="2025-11-01T00:00:00"/>
    <m/>
    <m/>
    <n v="20000"/>
    <n v="1101"/>
    <n v="18899"/>
    <x v="0"/>
  </r>
  <r>
    <s v="685-80BIS"/>
    <x v="1"/>
    <x v="0"/>
    <x v="1"/>
    <s v="BIOSIC"/>
    <d v="2025-11-01T00:00:00"/>
    <m/>
    <m/>
    <n v="18000"/>
    <n v="16800"/>
    <n v="1200"/>
    <x v="0"/>
  </r>
  <r>
    <s v="685-88"/>
    <x v="1"/>
    <x v="0"/>
    <x v="1"/>
    <s v="BIOSIC"/>
    <d v="2025-11-01T00:00:00"/>
    <m/>
    <m/>
    <n v="22500"/>
    <n v="13000"/>
    <n v="9500"/>
    <x v="0"/>
  </r>
  <r>
    <n v="250013"/>
    <x v="1"/>
    <x v="0"/>
    <x v="1"/>
    <s v="CAPRINO"/>
    <s v="-"/>
    <m/>
    <m/>
    <n v="10000"/>
    <n v="10000"/>
    <n v="0"/>
    <x v="1"/>
  </r>
  <r>
    <s v="685-80BIS"/>
    <x v="1"/>
    <x v="0"/>
    <x v="2"/>
    <s v="BIOSIC"/>
    <d v="2025-11-01T00:00:00"/>
    <m/>
    <m/>
    <n v="42000"/>
    <n v="40000"/>
    <n v="2000"/>
    <x v="0"/>
  </r>
  <r>
    <s v="685-88"/>
    <x v="1"/>
    <x v="0"/>
    <x v="2"/>
    <s v="BIOSIC"/>
    <d v="2025-11-01T00:00:00"/>
    <m/>
    <m/>
    <n v="22500"/>
    <n v="4000"/>
    <n v="18500"/>
    <x v="0"/>
  </r>
  <r>
    <n v="250013"/>
    <x v="1"/>
    <x v="0"/>
    <x v="2"/>
    <s v="CAPRINO"/>
    <s v="-"/>
    <m/>
    <m/>
    <n v="10000"/>
    <n v="10000"/>
    <n v="0"/>
    <x v="1"/>
  </r>
  <r>
    <s v="685-94"/>
    <x v="1"/>
    <x v="2"/>
    <x v="4"/>
    <s v="BIOSIC"/>
    <d v="2025-11-01T00:00:00"/>
    <m/>
    <m/>
    <n v="2000"/>
    <n v="1750"/>
    <n v="250"/>
    <x v="0"/>
  </r>
  <r>
    <s v="685-93"/>
    <x v="1"/>
    <x v="2"/>
    <x v="5"/>
    <s v="BIOSIC"/>
    <d v="2025-11-01T00:00:00"/>
    <m/>
    <m/>
    <n v="2600"/>
    <n v="750"/>
    <n v="1850"/>
    <x v="0"/>
  </r>
  <r>
    <s v="685-92"/>
    <x v="1"/>
    <x v="1"/>
    <x v="3"/>
    <s v="BIOSIC"/>
    <d v="2025-11-01T00:00:00"/>
    <m/>
    <m/>
    <n v="30000"/>
    <n v="9700"/>
    <n v="20300"/>
    <x v="0"/>
  </r>
  <r>
    <s v="685-80"/>
    <x v="2"/>
    <x v="0"/>
    <x v="1"/>
    <s v="BIOSIC"/>
    <d v="2025-11-01T00:00:00"/>
    <m/>
    <m/>
    <n v="40000"/>
    <n v="17000"/>
    <n v="23000"/>
    <x v="0"/>
  </r>
  <r>
    <s v="685-80"/>
    <x v="2"/>
    <x v="0"/>
    <x v="2"/>
    <s v="BIOSIC"/>
    <d v="2025-11-01T00:00:00"/>
    <m/>
    <m/>
    <n v="40000"/>
    <n v="21000"/>
    <n v="19000"/>
    <x v="0"/>
  </r>
  <r>
    <s v="685-96"/>
    <x v="1"/>
    <x v="1"/>
    <x v="4"/>
    <s v="BIOSIC"/>
    <d v="2025-12-01T00:00:00"/>
    <m/>
    <m/>
    <n v="3500"/>
    <n v="1625"/>
    <n v="1875"/>
    <x v="0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77">
  <r>
    <n v="45"/>
    <n v="2024"/>
    <m/>
    <s v="SO112024"/>
    <s v="BIG BAG N°3"/>
    <x v="0"/>
    <x v="0"/>
    <x v="0"/>
    <m/>
    <n v="1000"/>
    <n v="0"/>
    <n v="1000"/>
    <x v="0"/>
    <n v="3.0000000000000001E-3"/>
    <n v="1.3299999999999999E-2"/>
    <n v="0"/>
    <n v="3.3300000000000003E-2"/>
    <n v="0"/>
    <x v="0"/>
    <m/>
    <m/>
    <n v="1.3866666666666667"/>
    <x v="0"/>
  </r>
  <r>
    <n v="45"/>
    <n v="2024"/>
    <m/>
    <s v="SO112024"/>
    <s v="BIG BAG N°4"/>
    <x v="0"/>
    <x v="0"/>
    <x v="0"/>
    <m/>
    <n v="1000"/>
    <n v="0"/>
    <n v="1000"/>
    <x v="0"/>
    <n v="1E-3"/>
    <n v="6.6E-3"/>
    <n v="0"/>
    <n v="7.0000000000000007E-2"/>
    <n v="0"/>
    <x v="0"/>
    <m/>
    <m/>
    <n v="1.7413333333333336"/>
    <x v="0"/>
  </r>
  <r>
    <n v="45"/>
    <n v="2024"/>
    <m/>
    <s v="SO112024"/>
    <s v="BIG BAG N°5"/>
    <x v="0"/>
    <x v="0"/>
    <x v="0"/>
    <m/>
    <n v="1000"/>
    <n v="0"/>
    <n v="1000"/>
    <x v="0"/>
    <n v="2E-3"/>
    <n v="0.01"/>
    <n v="0"/>
    <n v="5.6599999999999998E-2"/>
    <n v="0"/>
    <x v="0"/>
    <m/>
    <m/>
    <n v="1.6653333333333333"/>
    <x v="0"/>
  </r>
  <r>
    <n v="46"/>
    <n v="2024"/>
    <m/>
    <s v="SO112024"/>
    <s v="BIG BAG N°7"/>
    <x v="0"/>
    <x v="0"/>
    <x v="0"/>
    <m/>
    <n v="1000"/>
    <n v="0"/>
    <n v="1000"/>
    <x v="0"/>
    <n v="2E-3"/>
    <n v="0.03"/>
    <n v="0"/>
    <n v="5.6599999999999998E-2"/>
    <n v="0"/>
    <x v="0"/>
    <m/>
    <m/>
    <n v="2.5986666666666669"/>
    <x v="1"/>
  </r>
  <r>
    <n v="46"/>
    <n v="2024"/>
    <m/>
    <s v="SO112024"/>
    <s v="BIG BAG N°10"/>
    <x v="0"/>
    <x v="0"/>
    <x v="0"/>
    <m/>
    <n v="1000"/>
    <n v="0"/>
    <n v="1000"/>
    <x v="0"/>
    <n v="2E-3"/>
    <n v="1.66E-2"/>
    <n v="0"/>
    <n v="0.08"/>
    <n v="0"/>
    <x v="0"/>
    <m/>
    <m/>
    <n v="2.4413333333333331"/>
    <x v="0"/>
  </r>
  <r>
    <n v="6"/>
    <n v="2025"/>
    <m/>
    <s v="SO022025"/>
    <s v="BIG BAG N°1"/>
    <x v="0"/>
    <x v="0"/>
    <x v="0"/>
    <m/>
    <n v="1000"/>
    <n v="0"/>
    <n v="1000"/>
    <x v="0"/>
    <n v="0"/>
    <n v="0.01"/>
    <n v="0"/>
    <n v="6.3299999999999995E-2"/>
    <n v="0"/>
    <x v="0"/>
    <m/>
    <m/>
    <n v="1.7326666666666666"/>
    <x v="0"/>
  </r>
  <r>
    <n v="6"/>
    <n v="2025"/>
    <m/>
    <s v="SO022025"/>
    <s v="BIG BAG N°2"/>
    <x v="0"/>
    <x v="0"/>
    <x v="0"/>
    <m/>
    <n v="1000"/>
    <n v="0"/>
    <n v="1000"/>
    <x v="0"/>
    <n v="1E-3"/>
    <n v="6.6E-3"/>
    <n v="0"/>
    <n v="5.6599999999999998E-2"/>
    <n v="0"/>
    <x v="0"/>
    <m/>
    <m/>
    <n v="1.4733333333333334"/>
    <x v="0"/>
  </r>
  <r>
    <n v="9"/>
    <n v="2025"/>
    <m/>
    <s v="SO022025"/>
    <s v="BIG BAG N°7"/>
    <x v="0"/>
    <x v="0"/>
    <x v="0"/>
    <m/>
    <n v="1000"/>
    <n v="0"/>
    <n v="1000"/>
    <x v="0"/>
    <n v="5.0000000000000001E-3"/>
    <n v="3.6600000000000001E-2"/>
    <n v="0"/>
    <n v="4.6600000000000003E-2"/>
    <n v="0"/>
    <x v="0"/>
    <m/>
    <m/>
    <n v="2.8066666666666666"/>
    <x v="1"/>
  </r>
  <r>
    <n v="47"/>
    <n v="2024"/>
    <m/>
    <s v="FA11/2024"/>
    <s v="BIG BAG N°1"/>
    <x v="0"/>
    <x v="0"/>
    <x v="0"/>
    <m/>
    <n v="1000"/>
    <n v="0"/>
    <n v="1000"/>
    <x v="0"/>
    <n v="1.6E-2"/>
    <n v="2.6599999999999999E-2"/>
    <n v="0"/>
    <n v="4.3299999999999998E-2"/>
    <n v="0"/>
    <x v="0"/>
    <m/>
    <m/>
    <n v="2.6406666666666667"/>
    <x v="1"/>
  </r>
  <r>
    <n v="48"/>
    <n v="2024"/>
    <m/>
    <s v="FA11/2024"/>
    <s v="BIG BAG N°2"/>
    <x v="0"/>
    <x v="0"/>
    <x v="0"/>
    <m/>
    <n v="1000"/>
    <n v="0"/>
    <n v="1000"/>
    <x v="0"/>
    <n v="5.0000000000000001E-3"/>
    <n v="3.6600000000000001E-2"/>
    <n v="0"/>
    <n v="2.3300000000000001E-2"/>
    <n v="0"/>
    <x v="0"/>
    <m/>
    <m/>
    <n v="2.3406666666666665"/>
    <x v="0"/>
  </r>
  <r>
    <n v="50"/>
    <n v="2024"/>
    <m/>
    <s v="FA12/2024"/>
    <s v="BIG BAG N°3"/>
    <x v="0"/>
    <x v="0"/>
    <x v="0"/>
    <m/>
    <n v="1000"/>
    <n v="0"/>
    <n v="1000"/>
    <x v="0"/>
    <n v="8.9999999999999993E-3"/>
    <n v="3.6600000000000001E-2"/>
    <n v="0"/>
    <n v="2.6599999999999999E-2"/>
    <n v="0"/>
    <x v="0"/>
    <m/>
    <m/>
    <n v="2.54"/>
    <x v="1"/>
  </r>
  <r>
    <n v="51"/>
    <n v="2024"/>
    <m/>
    <s v="FA12/2024"/>
    <s v="BIG BAG N°4"/>
    <x v="0"/>
    <x v="0"/>
    <x v="0"/>
    <m/>
    <n v="1000"/>
    <n v="0"/>
    <n v="1000"/>
    <x v="0"/>
    <n v="7.0000000000000001E-3"/>
    <n v="0.02"/>
    <n v="0"/>
    <n v="0.04"/>
    <n v="0"/>
    <x v="0"/>
    <m/>
    <m/>
    <n v="1.9666666666666666"/>
    <x v="0"/>
  </r>
  <r>
    <n v="3"/>
    <n v="2025"/>
    <m/>
    <s v="FA01/2025"/>
    <s v="BIG BAG N°5"/>
    <x v="0"/>
    <x v="0"/>
    <x v="0"/>
    <m/>
    <n v="1000"/>
    <n v="0"/>
    <n v="1000"/>
    <x v="0"/>
    <n v="6.0000000000000001E-3"/>
    <n v="3.3300000000000003E-2"/>
    <n v="0"/>
    <n v="7.0000000000000007E-2"/>
    <n v="0"/>
    <x v="0"/>
    <m/>
    <m/>
    <n v="3.1540000000000004"/>
    <x v="2"/>
  </r>
  <r>
    <n v="4"/>
    <n v="2025"/>
    <m/>
    <s v="FA01/2025"/>
    <s v="BIG BAG N°6"/>
    <x v="0"/>
    <x v="0"/>
    <x v="0"/>
    <m/>
    <n v="1000"/>
    <n v="0"/>
    <n v="1000"/>
    <x v="0"/>
    <n v="5.0000000000000001E-3"/>
    <n v="0.02"/>
    <n v="0"/>
    <n v="2.6599999999999999E-2"/>
    <n v="0"/>
    <x v="0"/>
    <m/>
    <m/>
    <n v="1.6319999999999999"/>
    <x v="0"/>
  </r>
  <r>
    <n v="4"/>
    <n v="2025"/>
    <m/>
    <s v="FA01/2025"/>
    <s v="BIG BAG N°7"/>
    <x v="0"/>
    <x v="0"/>
    <x v="0"/>
    <m/>
    <n v="1000"/>
    <n v="0"/>
    <n v="1000"/>
    <x v="0"/>
    <n v="8.9999999999999993E-3"/>
    <n v="2.3300000000000001E-2"/>
    <n v="0"/>
    <n v="3.3300000000000003E-2"/>
    <n v="0"/>
    <x v="0"/>
    <m/>
    <m/>
    <n v="2.0533333333333337"/>
    <x v="0"/>
  </r>
  <r>
    <n v="4"/>
    <n v="2025"/>
    <m/>
    <s v="FA02/2025"/>
    <s v="BIG BAG N°8"/>
    <x v="0"/>
    <x v="0"/>
    <x v="0"/>
    <m/>
    <n v="1000"/>
    <n v="0"/>
    <n v="1000"/>
    <x v="0"/>
    <n v="6.0000000000000001E-3"/>
    <n v="1.66E-2"/>
    <n v="0"/>
    <n v="0.03"/>
    <n v="0"/>
    <x v="0"/>
    <m/>
    <m/>
    <n v="1.5746666666666664"/>
    <x v="0"/>
  </r>
  <r>
    <n v="4"/>
    <n v="2025"/>
    <m/>
    <s v="FA02/2025"/>
    <s v="BIG BAG N°9"/>
    <x v="0"/>
    <x v="0"/>
    <x v="0"/>
    <m/>
    <n v="1000"/>
    <n v="0"/>
    <n v="1000"/>
    <x v="0"/>
    <n v="6.0000000000000001E-3"/>
    <n v="0.01"/>
    <n v="0"/>
    <n v="1.66E-2"/>
    <n v="0"/>
    <x v="0"/>
    <m/>
    <m/>
    <n v="0.9986666666666667"/>
    <x v="0"/>
  </r>
  <r>
    <n v="8"/>
    <n v="2025"/>
    <m/>
    <s v="FA02/2025"/>
    <s v="BIG BAG N°10"/>
    <x v="0"/>
    <x v="0"/>
    <x v="0"/>
    <m/>
    <n v="1000"/>
    <n v="0"/>
    <n v="1000"/>
    <x v="0"/>
    <n v="7.0000000000000001E-3"/>
    <n v="3.3300000000000003E-2"/>
    <n v="0"/>
    <n v="2.6599999999999999E-2"/>
    <n v="0"/>
    <x v="0"/>
    <m/>
    <m/>
    <n v="2.3193333333333332"/>
    <x v="0"/>
  </r>
  <r>
    <n v="11"/>
    <n v="2025"/>
    <m/>
    <s v="FA03/2025"/>
    <s v="BIG BAG N°11"/>
    <x v="0"/>
    <x v="0"/>
    <x v="0"/>
    <m/>
    <n v="1000"/>
    <n v="0"/>
    <n v="1000"/>
    <x v="0"/>
    <n v="2E-3"/>
    <n v="1.66E-2"/>
    <n v="0"/>
    <n v="0.03"/>
    <n v="0"/>
    <x v="0"/>
    <m/>
    <m/>
    <n v="1.4413333333333331"/>
    <x v="0"/>
  </r>
  <r>
    <n v="11"/>
    <n v="2025"/>
    <m/>
    <s v="FA03/2025"/>
    <s v="BIG BAG N°12"/>
    <x v="0"/>
    <x v="0"/>
    <x v="0"/>
    <m/>
    <n v="1000"/>
    <n v="0"/>
    <n v="1000"/>
    <x v="0"/>
    <n v="2E-3"/>
    <n v="0.02"/>
    <n v="0"/>
    <n v="2.3300000000000001E-2"/>
    <n v="0"/>
    <x v="0"/>
    <m/>
    <m/>
    <n v="1.4660000000000002"/>
    <x v="0"/>
  </r>
  <r>
    <n v="11"/>
    <n v="2025"/>
    <m/>
    <s v="FA03/2025"/>
    <s v="BIG BAG N°13"/>
    <x v="0"/>
    <x v="0"/>
    <x v="0"/>
    <m/>
    <n v="1000"/>
    <n v="0"/>
    <n v="1000"/>
    <x v="0"/>
    <n v="6.0000000000000001E-3"/>
    <n v="3.3300000000000003E-2"/>
    <n v="0"/>
    <n v="0.03"/>
    <n v="0"/>
    <x v="0"/>
    <m/>
    <m/>
    <n v="2.3540000000000001"/>
    <x v="0"/>
  </r>
  <r>
    <n v="17"/>
    <n v="2025"/>
    <m/>
    <s v="FA03/2025"/>
    <s v="BIG BAG N°14"/>
    <x v="0"/>
    <x v="0"/>
    <x v="0"/>
    <m/>
    <n v="1000"/>
    <n v="0"/>
    <n v="1000"/>
    <x v="0"/>
    <n v="8.0000000000000002E-3"/>
    <n v="4.6600000000000003E-2"/>
    <n v="0"/>
    <n v="0.06"/>
    <n v="0"/>
    <x v="0"/>
    <m/>
    <m/>
    <n v="3.6413333333333338"/>
    <x v="2"/>
  </r>
  <r>
    <n v="17"/>
    <n v="2025"/>
    <m/>
    <s v="FA03/2025"/>
    <s v="BIG BAG N°15"/>
    <x v="0"/>
    <x v="0"/>
    <x v="0"/>
    <m/>
    <n v="1000"/>
    <n v="0"/>
    <n v="1000"/>
    <x v="0"/>
    <n v="6.0000000000000001E-3"/>
    <n v="6.6600000000000006E-2"/>
    <n v="0"/>
    <n v="6.6600000000000006E-2"/>
    <n v="0"/>
    <x v="0"/>
    <m/>
    <m/>
    <n v="4.6400000000000006"/>
    <x v="3"/>
  </r>
  <r>
    <n v="17"/>
    <n v="2025"/>
    <m/>
    <s v="FA04/2025"/>
    <s v="BIG BAG N°17"/>
    <x v="0"/>
    <x v="0"/>
    <x v="0"/>
    <m/>
    <n v="1000"/>
    <n v="0"/>
    <n v="1000"/>
    <x v="0"/>
    <n v="0.01"/>
    <n v="5.6599999999999998E-2"/>
    <n v="0"/>
    <n v="3.6600000000000001E-2"/>
    <n v="0"/>
    <x v="0"/>
    <m/>
    <m/>
    <n v="3.7066666666666674"/>
    <x v="2"/>
  </r>
  <r>
    <n v="45"/>
    <n v="2024"/>
    <m/>
    <s v="SO112024"/>
    <s v="BIG BAG N°12"/>
    <x v="0"/>
    <x v="0"/>
    <x v="1"/>
    <m/>
    <n v="1000"/>
    <n v="0"/>
    <n v="1000"/>
    <x v="0"/>
    <n v="0"/>
    <n v="3.3E-3"/>
    <n v="0"/>
    <n v="0.08"/>
    <n v="0"/>
    <x v="0"/>
    <m/>
    <m/>
    <n v="1.754"/>
    <x v="0"/>
  </r>
  <r>
    <n v="6"/>
    <n v="2025"/>
    <m/>
    <s v="SO022025"/>
    <s v="BIG BAG N°1"/>
    <x v="0"/>
    <x v="0"/>
    <x v="1"/>
    <m/>
    <n v="1000"/>
    <n v="0"/>
    <n v="1000"/>
    <x v="0"/>
    <n v="1E-3"/>
    <n v="3.3E-3"/>
    <n v="0"/>
    <n v="0.1033"/>
    <n v="0"/>
    <x v="0"/>
    <m/>
    <m/>
    <n v="2.2533333333333334"/>
    <x v="0"/>
  </r>
  <r>
    <n v="6"/>
    <n v="2025"/>
    <m/>
    <s v="SO022025"/>
    <s v="BIG BAG N°3"/>
    <x v="0"/>
    <x v="0"/>
    <x v="1"/>
    <m/>
    <n v="1000"/>
    <n v="0"/>
    <n v="1000"/>
    <x v="0"/>
    <n v="1E-3"/>
    <n v="3.3E-3"/>
    <n v="0"/>
    <n v="0.1"/>
    <n v="0"/>
    <x v="0"/>
    <m/>
    <m/>
    <n v="2.1873333333333336"/>
    <x v="0"/>
  </r>
  <r>
    <n v="11"/>
    <n v="2025"/>
    <m/>
    <s v="SO032025"/>
    <s v="BIG BAG N°6"/>
    <x v="0"/>
    <x v="0"/>
    <x v="1"/>
    <m/>
    <n v="388"/>
    <n v="0"/>
    <n v="388"/>
    <x v="0"/>
    <n v="1E-3"/>
    <n v="0.02"/>
    <n v="0"/>
    <n v="0.1066"/>
    <n v="0"/>
    <x v="0"/>
    <m/>
    <m/>
    <n v="3.0986666666666669"/>
    <x v="2"/>
  </r>
  <r>
    <n v="8"/>
    <n v="2025"/>
    <m/>
    <s v="FA01/2025"/>
    <s v="BIG BAG N°37"/>
    <x v="0"/>
    <x v="0"/>
    <x v="1"/>
    <m/>
    <n v="1000"/>
    <n v="0"/>
    <n v="1000"/>
    <x v="0"/>
    <n v="8.9999999999999993E-3"/>
    <n v="0.05"/>
    <n v="0"/>
    <n v="5.33E-2"/>
    <n v="0"/>
    <x v="0"/>
    <m/>
    <m/>
    <n v="3.6993333333333336"/>
    <x v="2"/>
  </r>
  <r>
    <n v="17"/>
    <n v="2025"/>
    <m/>
    <s v="FA03/2025"/>
    <s v="BIG BAG N°48"/>
    <x v="0"/>
    <x v="0"/>
    <x v="1"/>
    <m/>
    <n v="1000"/>
    <n v="0"/>
    <n v="1000"/>
    <x v="0"/>
    <n v="3.0000000000000001E-3"/>
    <n v="4.6600000000000003E-2"/>
    <n v="0"/>
    <n v="4.3299999999999998E-2"/>
    <n v="0"/>
    <x v="0"/>
    <m/>
    <m/>
    <n v="3.1406666666666672"/>
    <x v="2"/>
  </r>
  <r>
    <n v="17"/>
    <n v="2025"/>
    <m/>
    <s v="FA03/2025"/>
    <s v="BIG BAG N°50"/>
    <x v="0"/>
    <x v="0"/>
    <x v="1"/>
    <m/>
    <n v="1000"/>
    <n v="0"/>
    <n v="1000"/>
    <x v="0"/>
    <n v="6.0000000000000001E-3"/>
    <n v="7.3300000000000004E-2"/>
    <n v="0"/>
    <n v="0.08"/>
    <n v="0"/>
    <x v="0"/>
    <m/>
    <m/>
    <n v="5.2206666666666672"/>
    <x v="3"/>
  </r>
  <r>
    <n v="17"/>
    <n v="2025"/>
    <m/>
    <s v="FA04/2025"/>
    <s v="BIG BAG N°51"/>
    <x v="0"/>
    <x v="0"/>
    <x v="1"/>
    <m/>
    <n v="1000"/>
    <n v="0"/>
    <n v="1000"/>
    <x v="0"/>
    <n v="4.0000000000000001E-3"/>
    <n v="0.05"/>
    <n v="0"/>
    <n v="6.3299999999999995E-2"/>
    <n v="0"/>
    <x v="0"/>
    <m/>
    <m/>
    <n v="3.7326666666666664"/>
    <x v="2"/>
  </r>
  <r>
    <n v="17"/>
    <n v="2025"/>
    <m/>
    <s v="FA04/2025"/>
    <s v="BIG BAG N°52"/>
    <x v="0"/>
    <x v="0"/>
    <x v="1"/>
    <m/>
    <n v="1000"/>
    <n v="0"/>
    <n v="1000"/>
    <x v="0"/>
    <n v="5.0000000000000001E-3"/>
    <n v="4.3299999999999998E-2"/>
    <n v="0"/>
    <n v="7.6600000000000001E-2"/>
    <n v="0"/>
    <x v="0"/>
    <m/>
    <m/>
    <n v="3.7193333333333336"/>
    <x v="2"/>
  </r>
  <r>
    <n v="6"/>
    <n v="2025"/>
    <m/>
    <s v="SO022025"/>
    <s v="BIG BAG N°5"/>
    <x v="0"/>
    <x v="0"/>
    <x v="2"/>
    <m/>
    <n v="1000"/>
    <n v="0"/>
    <n v="1000"/>
    <x v="0"/>
    <n v="1E-3"/>
    <n v="1.66E-2"/>
    <n v="0"/>
    <n v="0.1366"/>
    <n v="0"/>
    <x v="0"/>
    <m/>
    <m/>
    <n v="3.54"/>
    <x v="2"/>
  </r>
  <r>
    <n v="6"/>
    <n v="2025"/>
    <m/>
    <s v="SO022025"/>
    <s v="BIG BAG N°7"/>
    <x v="0"/>
    <x v="0"/>
    <x v="2"/>
    <m/>
    <n v="1000"/>
    <n v="0"/>
    <n v="1000"/>
    <x v="0"/>
    <n v="1E-3"/>
    <n v="0.02"/>
    <n v="9.6600000000000005E-2"/>
    <n v="0"/>
    <n v="0"/>
    <x v="0"/>
    <m/>
    <m/>
    <n v="0.96666666666666667"/>
    <x v="0"/>
  </r>
  <r>
    <n v="6"/>
    <n v="2025"/>
    <m/>
    <s v="SO022025"/>
    <s v="BIG BAG N°9"/>
    <x v="0"/>
    <x v="0"/>
    <x v="2"/>
    <m/>
    <n v="1000"/>
    <n v="0"/>
    <n v="1000"/>
    <x v="0"/>
    <n v="0"/>
    <n v="6.6E-3"/>
    <n v="0"/>
    <n v="8.3299999999999999E-2"/>
    <n v="0"/>
    <x v="0"/>
    <m/>
    <m/>
    <n v="1.9740000000000002"/>
    <x v="0"/>
  </r>
  <r>
    <n v="6"/>
    <n v="2025"/>
    <m/>
    <s v="SO022025"/>
    <s v="BIG BAG N°13"/>
    <x v="0"/>
    <x v="0"/>
    <x v="2"/>
    <m/>
    <n v="1000"/>
    <n v="0"/>
    <n v="1000"/>
    <x v="0"/>
    <n v="1E-3"/>
    <n v="0.02"/>
    <n v="0"/>
    <n v="8.6599999999999996E-2"/>
    <n v="0"/>
    <x v="0"/>
    <m/>
    <m/>
    <n v="2.698666666666667"/>
    <x v="1"/>
  </r>
  <r>
    <n v="6"/>
    <n v="2025"/>
    <m/>
    <s v="SO022025"/>
    <s v="BIG BAG N°16"/>
    <x v="0"/>
    <x v="0"/>
    <x v="2"/>
    <m/>
    <n v="1000"/>
    <n v="0"/>
    <n v="1000"/>
    <x v="0"/>
    <n v="1E-3"/>
    <n v="1.66E-2"/>
    <n v="0"/>
    <n v="8.6599999999999996E-2"/>
    <n v="0"/>
    <x v="0"/>
    <m/>
    <m/>
    <n v="2.54"/>
    <x v="1"/>
  </r>
  <r>
    <n v="6"/>
    <n v="2025"/>
    <m/>
    <s v="SO022025"/>
    <s v="BIG BAG N°20"/>
    <x v="0"/>
    <x v="0"/>
    <x v="2"/>
    <m/>
    <n v="1000"/>
    <n v="0"/>
    <n v="1000"/>
    <x v="0"/>
    <n v="0"/>
    <n v="6.6E-3"/>
    <n v="0"/>
    <n v="0.08"/>
    <n v="0"/>
    <x v="0"/>
    <m/>
    <m/>
    <n v="1.9080000000000001"/>
    <x v="0"/>
  </r>
  <r>
    <n v="7"/>
    <n v="2025"/>
    <m/>
    <s v="SO022025"/>
    <s v="sacchi kg 25"/>
    <x v="0"/>
    <x v="0"/>
    <x v="2"/>
    <m/>
    <n v="1000"/>
    <n v="0"/>
    <n v="1000"/>
    <x v="1"/>
    <n v="0"/>
    <n v="0.02"/>
    <n v="0"/>
    <n v="0.12330000000000001"/>
    <n v="0"/>
    <x v="1"/>
    <m/>
    <s v="SIKELIA"/>
    <n v="3.3993333333333333"/>
    <x v="2"/>
  </r>
  <r>
    <n v="7"/>
    <n v="2025"/>
    <m/>
    <s v="SO022025"/>
    <s v="sacchi kg 25"/>
    <x v="0"/>
    <x v="0"/>
    <x v="2"/>
    <m/>
    <n v="1000"/>
    <n v="0"/>
    <n v="1000"/>
    <x v="1"/>
    <n v="0"/>
    <n v="2.3300000000000001E-2"/>
    <n v="0"/>
    <n v="0.11"/>
    <n v="0"/>
    <x v="1"/>
    <m/>
    <s v="SIKELIA"/>
    <n v="3.2873333333333337"/>
    <x v="2"/>
  </r>
  <r>
    <n v="11"/>
    <n v="2025"/>
    <m/>
    <s v="SO032025"/>
    <s v="BIG BAG N°5"/>
    <x v="0"/>
    <x v="0"/>
    <x v="2"/>
    <m/>
    <n v="680"/>
    <n v="0"/>
    <n v="680"/>
    <x v="0"/>
    <n v="2E-3"/>
    <n v="2.6599999999999999E-2"/>
    <n v="0"/>
    <n v="0.1133"/>
    <n v="0"/>
    <x v="0"/>
    <m/>
    <m/>
    <n v="3.5739999999999998"/>
    <x v="2"/>
  </r>
  <r>
    <n v="4"/>
    <n v="2025"/>
    <m/>
    <s v="FA01/2025"/>
    <s v="BIG BAG N°45"/>
    <x v="0"/>
    <x v="0"/>
    <x v="2"/>
    <m/>
    <n v="1000"/>
    <n v="0"/>
    <n v="1000"/>
    <x v="0"/>
    <n v="3.0000000000000001E-3"/>
    <n v="1.66E-2"/>
    <n v="0"/>
    <n v="0.06"/>
    <n v="0"/>
    <x v="0"/>
    <m/>
    <m/>
    <n v="2.0746666666666664"/>
    <x v="0"/>
  </r>
  <r>
    <n v="4"/>
    <n v="2025"/>
    <m/>
    <s v="FA01/2025"/>
    <s v="BIG BAG N°49"/>
    <x v="0"/>
    <x v="0"/>
    <x v="2"/>
    <m/>
    <n v="1000"/>
    <n v="0"/>
    <n v="1000"/>
    <x v="0"/>
    <n v="1E-3"/>
    <n v="1.66E-2"/>
    <n v="0"/>
    <n v="8.3299999999999999E-2"/>
    <n v="0"/>
    <x v="0"/>
    <m/>
    <m/>
    <n v="2.4739999999999998"/>
    <x v="0"/>
  </r>
  <r>
    <n v="5"/>
    <n v="2025"/>
    <m/>
    <s v="FA02/2025"/>
    <s v="BIG BAG N°53"/>
    <x v="0"/>
    <x v="0"/>
    <x v="2"/>
    <m/>
    <n v="1000"/>
    <n v="0"/>
    <n v="1000"/>
    <x v="0"/>
    <n v="5.0000000000000001E-3"/>
    <n v="1.3299999999999999E-2"/>
    <n v="0"/>
    <n v="7.0000000000000007E-2"/>
    <n v="0"/>
    <x v="0"/>
    <m/>
    <m/>
    <n v="2.1873333333333336"/>
    <x v="0"/>
  </r>
  <r>
    <n v="5"/>
    <n v="2025"/>
    <m/>
    <s v="FA02/2025"/>
    <s v="BIG BAG N°54"/>
    <x v="0"/>
    <x v="0"/>
    <x v="2"/>
    <m/>
    <n v="1000"/>
    <n v="0"/>
    <n v="1000"/>
    <x v="0"/>
    <n v="6.0000000000000001E-3"/>
    <n v="1.3299999999999999E-2"/>
    <n v="0"/>
    <n v="0.08"/>
    <n v="0"/>
    <x v="0"/>
    <m/>
    <m/>
    <n v="2.420666666666667"/>
    <x v="0"/>
  </r>
  <r>
    <n v="8"/>
    <n v="2025"/>
    <m/>
    <s v="FA02/2025"/>
    <s v="BIG BAG N°63"/>
    <x v="0"/>
    <x v="0"/>
    <x v="2"/>
    <m/>
    <n v="500"/>
    <n v="0"/>
    <n v="500"/>
    <x v="0"/>
    <n v="7.0000000000000001E-3"/>
    <n v="0.06"/>
    <n v="0"/>
    <n v="3.6600000000000001E-2"/>
    <n v="0"/>
    <x v="0"/>
    <m/>
    <m/>
    <n v="3.7653333333333334"/>
    <x v="2"/>
  </r>
  <r>
    <n v="9"/>
    <n v="2025"/>
    <m/>
    <s v="FA02/2025"/>
    <s v="BIG BAG N°67"/>
    <x v="0"/>
    <x v="0"/>
    <x v="2"/>
    <m/>
    <n v="1000"/>
    <n v="0"/>
    <n v="1000"/>
    <x v="0"/>
    <n v="5.0000000000000001E-3"/>
    <n v="6.6600000000000006E-2"/>
    <n v="0"/>
    <n v="3.6600000000000001E-2"/>
    <n v="0"/>
    <x v="0"/>
    <m/>
    <m/>
    <n v="4.0066666666666668"/>
    <x v="2"/>
  </r>
  <r>
    <n v="11"/>
    <n v="2025"/>
    <m/>
    <s v="FA03/2025"/>
    <s v="BIG BAG N°75"/>
    <x v="0"/>
    <x v="0"/>
    <x v="2"/>
    <m/>
    <n v="1000"/>
    <n v="0"/>
    <n v="1000"/>
    <x v="0"/>
    <n v="2E-3"/>
    <n v="1.66E-2"/>
    <n v="0"/>
    <n v="3.6600000000000001E-2"/>
    <n v="0"/>
    <x v="0"/>
    <m/>
    <m/>
    <n v="1.5733333333333335"/>
    <x v="0"/>
  </r>
  <r>
    <n v="11"/>
    <n v="2025"/>
    <m/>
    <s v="FA03/2025"/>
    <s v="BIG BAG N°76"/>
    <x v="0"/>
    <x v="0"/>
    <x v="2"/>
    <m/>
    <n v="895"/>
    <n v="0"/>
    <n v="895"/>
    <x v="0"/>
    <n v="0.02"/>
    <n v="1.3299999999999999E-2"/>
    <n v="0"/>
    <n v="5.33E-2"/>
    <n v="0"/>
    <x v="0"/>
    <m/>
    <m/>
    <n v="2.3533333333333331"/>
    <x v="0"/>
  </r>
  <r>
    <n v="17"/>
    <n v="2025"/>
    <m/>
    <s v="FA03/2025"/>
    <s v="BIG BAG N°77"/>
    <x v="0"/>
    <x v="0"/>
    <x v="2"/>
    <m/>
    <n v="1000"/>
    <n v="0"/>
    <n v="1000"/>
    <x v="0"/>
    <n v="4.0000000000000001E-3"/>
    <n v="0.08"/>
    <n v="0"/>
    <n v="6.6600000000000006E-2"/>
    <n v="0"/>
    <x v="0"/>
    <m/>
    <m/>
    <n v="5.198666666666667"/>
    <x v="3"/>
  </r>
  <r>
    <n v="17"/>
    <n v="2025"/>
    <m/>
    <s v="FA03/2025"/>
    <s v="BIG BAG N°78"/>
    <x v="0"/>
    <x v="0"/>
    <x v="2"/>
    <m/>
    <n v="1000"/>
    <n v="0"/>
    <n v="1000"/>
    <x v="0"/>
    <n v="3.0000000000000001E-3"/>
    <n v="0.1"/>
    <n v="0"/>
    <n v="5.33E-2"/>
    <n v="0"/>
    <x v="0"/>
    <m/>
    <m/>
    <n v="5.8326666666666664"/>
    <x v="3"/>
  </r>
  <r>
    <n v="17"/>
    <n v="2025"/>
    <m/>
    <s v="FA04/2025"/>
    <s v="BIG BAG N°80"/>
    <x v="0"/>
    <x v="0"/>
    <x v="2"/>
    <m/>
    <n v="1000"/>
    <n v="0"/>
    <n v="1000"/>
    <x v="0"/>
    <n v="7.0000000000000001E-3"/>
    <n v="0.06"/>
    <n v="0"/>
    <n v="0.04"/>
    <n v="0"/>
    <x v="0"/>
    <m/>
    <m/>
    <n v="3.8333333333333335"/>
    <x v="2"/>
  </r>
  <r>
    <n v="17"/>
    <n v="2025"/>
    <m/>
    <s v="FA04/2025"/>
    <s v="BIG BAG N°85"/>
    <x v="0"/>
    <x v="0"/>
    <x v="2"/>
    <m/>
    <n v="1000"/>
    <n v="0"/>
    <n v="1000"/>
    <x v="0"/>
    <n v="4.0000000000000001E-3"/>
    <n v="0.06"/>
    <n v="0"/>
    <n v="0.08"/>
    <n v="0"/>
    <x v="0"/>
    <m/>
    <m/>
    <n v="4.5333333333333332"/>
    <x v="3"/>
  </r>
  <r>
    <n v="17"/>
    <n v="2025"/>
    <m/>
    <s v="FA04/2025"/>
    <s v="BIG BAG N°87"/>
    <x v="0"/>
    <x v="0"/>
    <x v="2"/>
    <m/>
    <n v="1000"/>
    <n v="0"/>
    <n v="1000"/>
    <x v="0"/>
    <n v="8.0000000000000002E-3"/>
    <n v="3.6600000000000001E-2"/>
    <n v="0"/>
    <n v="6.6600000000000006E-2"/>
    <n v="0"/>
    <x v="0"/>
    <m/>
    <m/>
    <n v="3.3066666666666671"/>
    <x v="2"/>
  </r>
  <r>
    <n v="41"/>
    <n v="2024"/>
    <m/>
    <s v="SO102024"/>
    <s v="BIG BAG N°"/>
    <x v="0"/>
    <x v="1"/>
    <x v="3"/>
    <m/>
    <n v="1067"/>
    <n v="0"/>
    <n v="1067"/>
    <x v="1"/>
    <n v="6.7000000000000004E-2"/>
    <n v="0"/>
    <n v="0"/>
    <n v="0"/>
    <n v="1.2999999999999999E-2"/>
    <x v="0"/>
    <m/>
    <m/>
    <n v="2.2333333333333334"/>
    <x v="0"/>
  </r>
  <r>
    <n v="42"/>
    <n v="2024"/>
    <m/>
    <s v="SO102024"/>
    <s v="BIG BAG N°"/>
    <x v="0"/>
    <x v="1"/>
    <x v="3"/>
    <m/>
    <n v="1067"/>
    <n v="0"/>
    <n v="1067"/>
    <x v="0"/>
    <n v="0.38700000000000001"/>
    <n v="0"/>
    <n v="0"/>
    <n v="0"/>
    <n v="0.159"/>
    <x v="0"/>
    <m/>
    <m/>
    <n v="12.9"/>
    <x v="4"/>
  </r>
  <r>
    <n v="42"/>
    <n v="2024"/>
    <m/>
    <s v="SO102024"/>
    <s v="BIG BAG N°"/>
    <x v="0"/>
    <x v="1"/>
    <x v="3"/>
    <m/>
    <n v="953"/>
    <n v="0"/>
    <n v="953"/>
    <x v="0"/>
    <n v="0.38700000000000001"/>
    <n v="0"/>
    <n v="0"/>
    <n v="0"/>
    <n v="0.159"/>
    <x v="0"/>
    <m/>
    <m/>
    <n v="12.9"/>
    <x v="4"/>
  </r>
  <r>
    <n v="42"/>
    <n v="2024"/>
    <m/>
    <s v="SO102024"/>
    <s v="BIG BAG N°"/>
    <x v="0"/>
    <x v="1"/>
    <x v="3"/>
    <m/>
    <n v="965"/>
    <n v="0"/>
    <n v="965"/>
    <x v="0"/>
    <n v="0.35299999999999998"/>
    <n v="0"/>
    <n v="0"/>
    <n v="0"/>
    <n v="0.13900000000000001"/>
    <x v="0"/>
    <m/>
    <m/>
    <n v="11.766666666666667"/>
    <x v="4"/>
  </r>
  <r>
    <n v="43"/>
    <n v="2024"/>
    <m/>
    <s v="SO102024"/>
    <s v="BIG BAG N°"/>
    <x v="0"/>
    <x v="1"/>
    <x v="3"/>
    <m/>
    <n v="932"/>
    <n v="0"/>
    <n v="932"/>
    <x v="0"/>
    <n v="0.312"/>
    <n v="0"/>
    <n v="0"/>
    <n v="0"/>
    <n v="0.115"/>
    <x v="0"/>
    <m/>
    <m/>
    <n v="10.4"/>
    <x v="4"/>
  </r>
  <r>
    <n v="44"/>
    <n v="2024"/>
    <m/>
    <s v="SO102024"/>
    <s v="BIG BAG N°"/>
    <x v="0"/>
    <x v="1"/>
    <x v="3"/>
    <m/>
    <n v="1010"/>
    <n v="0"/>
    <n v="1010"/>
    <x v="0"/>
    <n v="0.24199999999999999"/>
    <n v="0"/>
    <n v="0"/>
    <n v="0"/>
    <n v="0.13900000000000001"/>
    <x v="0"/>
    <m/>
    <m/>
    <n v="8.0666666666666664"/>
    <x v="5"/>
  </r>
  <r>
    <n v="45"/>
    <n v="2024"/>
    <m/>
    <s v="SO112024"/>
    <s v="BIG BAG N°"/>
    <x v="0"/>
    <x v="1"/>
    <x v="3"/>
    <m/>
    <n v="1072"/>
    <n v="0"/>
    <n v="1072"/>
    <x v="0"/>
    <n v="0.13900000000000001"/>
    <n v="0"/>
    <n v="0"/>
    <n v="0"/>
    <n v="5.8999999999999997E-2"/>
    <x v="0"/>
    <m/>
    <m/>
    <n v="4.6333333333333346"/>
    <x v="3"/>
  </r>
  <r>
    <n v="46"/>
    <n v="2024"/>
    <m/>
    <s v="SO112024"/>
    <s v="BIG BAG N°"/>
    <x v="0"/>
    <x v="1"/>
    <x v="3"/>
    <m/>
    <n v="947"/>
    <n v="0"/>
    <n v="947"/>
    <x v="0"/>
    <n v="0.14299999999999999"/>
    <n v="0"/>
    <n v="0"/>
    <n v="0"/>
    <n v="0.1"/>
    <x v="0"/>
    <m/>
    <m/>
    <n v="4.7666666666666666"/>
    <x v="3"/>
  </r>
  <r>
    <n v="46"/>
    <n v="2024"/>
    <m/>
    <s v="SO112024"/>
    <s v="BIG BAG N°"/>
    <x v="0"/>
    <x v="1"/>
    <x v="3"/>
    <m/>
    <n v="1009"/>
    <n v="0"/>
    <n v="1009"/>
    <x v="0"/>
    <n v="9.9000000000000005E-2"/>
    <n v="0"/>
    <n v="0"/>
    <n v="0"/>
    <n v="0.23899999999999999"/>
    <x v="0"/>
    <m/>
    <m/>
    <n v="3.3"/>
    <x v="2"/>
  </r>
  <r>
    <n v="47"/>
    <n v="2024"/>
    <m/>
    <s v="SO112024"/>
    <s v="BIG BAG N°"/>
    <x v="0"/>
    <x v="1"/>
    <x v="3"/>
    <m/>
    <n v="973"/>
    <n v="0"/>
    <n v="973"/>
    <x v="0"/>
    <n v="0.19800000000000001"/>
    <n v="0"/>
    <n v="0"/>
    <n v="0"/>
    <n v="0.123"/>
    <x v="0"/>
    <m/>
    <m/>
    <n v="6.6"/>
    <x v="6"/>
  </r>
  <r>
    <n v="47"/>
    <n v="2024"/>
    <m/>
    <s v="SO112024"/>
    <s v="BIG BAG N°"/>
    <x v="0"/>
    <x v="1"/>
    <x v="3"/>
    <m/>
    <n v="800"/>
    <n v="0"/>
    <n v="800"/>
    <x v="0"/>
    <n v="0.19800000000000001"/>
    <n v="0"/>
    <n v="0"/>
    <n v="0"/>
    <n v="0.123"/>
    <x v="0"/>
    <m/>
    <m/>
    <n v="6.6"/>
    <x v="6"/>
  </r>
  <r>
    <n v="6"/>
    <n v="2025"/>
    <m/>
    <s v="SO022025"/>
    <s v="BIG BAG N°"/>
    <x v="0"/>
    <x v="1"/>
    <x v="3"/>
    <m/>
    <n v="968"/>
    <n v="0"/>
    <n v="968"/>
    <x v="0"/>
    <n v="0.23599999999999999"/>
    <n v="0"/>
    <n v="0"/>
    <n v="0"/>
    <n v="0.192"/>
    <x v="0"/>
    <m/>
    <m/>
    <n v="7.8666666666666654"/>
    <x v="5"/>
  </r>
  <r>
    <n v="6"/>
    <n v="2025"/>
    <m/>
    <s v="SO022025"/>
    <s v="BIG BAG N°"/>
    <x v="0"/>
    <x v="1"/>
    <x v="3"/>
    <m/>
    <n v="803"/>
    <n v="0"/>
    <n v="803"/>
    <x v="0"/>
    <n v="0.316"/>
    <n v="0"/>
    <n v="0"/>
    <n v="0"/>
    <n v="0.11899999999999999"/>
    <x v="0"/>
    <m/>
    <m/>
    <n v="10.533333333333333"/>
    <x v="4"/>
  </r>
  <r>
    <n v="6"/>
    <n v="2025"/>
    <m/>
    <s v="SO022025"/>
    <s v="BIG BAG N°"/>
    <x v="0"/>
    <x v="1"/>
    <x v="3"/>
    <m/>
    <n v="1017"/>
    <n v="0"/>
    <n v="1017"/>
    <x v="0"/>
    <n v="0.29599999999999999"/>
    <n v="0"/>
    <n v="0"/>
    <n v="0"/>
    <n v="0.13800000000000001"/>
    <x v="0"/>
    <m/>
    <m/>
    <n v="9.8666666666666671"/>
    <x v="5"/>
  </r>
  <r>
    <n v="6"/>
    <n v="2025"/>
    <m/>
    <s v="SO022025"/>
    <s v="BIG BAG N°"/>
    <x v="0"/>
    <x v="1"/>
    <x v="3"/>
    <m/>
    <n v="930"/>
    <n v="0"/>
    <n v="930"/>
    <x v="0"/>
    <n v="0.218"/>
    <n v="0"/>
    <n v="0"/>
    <n v="0"/>
    <n v="0.159"/>
    <x v="0"/>
    <m/>
    <m/>
    <n v="7.2666666666666666"/>
    <x v="5"/>
  </r>
  <r>
    <n v="8"/>
    <n v="2025"/>
    <m/>
    <s v="SO022025"/>
    <s v="BIG BAG N°"/>
    <x v="0"/>
    <x v="1"/>
    <x v="3"/>
    <m/>
    <n v="967"/>
    <n v="0"/>
    <n v="967"/>
    <x v="0"/>
    <n v="0.33600000000000002"/>
    <n v="0"/>
    <n v="0"/>
    <n v="0"/>
    <n v="0.11600000000000001"/>
    <x v="0"/>
    <m/>
    <m/>
    <n v="11.2"/>
    <x v="4"/>
  </r>
  <r>
    <n v="9"/>
    <n v="2025"/>
    <m/>
    <s v="SO022025"/>
    <s v="BIG BAG N°"/>
    <x v="0"/>
    <x v="1"/>
    <x v="3"/>
    <m/>
    <n v="990"/>
    <n v="0"/>
    <n v="990"/>
    <x v="0"/>
    <n v="0.39200000000000002"/>
    <n v="0"/>
    <n v="0"/>
    <n v="0"/>
    <n v="0.13300000000000001"/>
    <x v="0"/>
    <m/>
    <m/>
    <n v="13.066666666666666"/>
    <x v="4"/>
  </r>
  <r>
    <n v="9"/>
    <n v="2025"/>
    <m/>
    <s v="SO022025"/>
    <s v="BIG BAG N°"/>
    <x v="0"/>
    <x v="1"/>
    <x v="3"/>
    <m/>
    <n v="916"/>
    <n v="0"/>
    <n v="916"/>
    <x v="0"/>
    <n v="0.316"/>
    <n v="0"/>
    <n v="0"/>
    <n v="0"/>
    <n v="0.115"/>
    <x v="0"/>
    <m/>
    <m/>
    <n v="10.533333333333333"/>
    <x v="4"/>
  </r>
  <r>
    <n v="11"/>
    <n v="2025"/>
    <m/>
    <s v="SO032025"/>
    <s v="BIG BAG N°"/>
    <x v="0"/>
    <x v="1"/>
    <x v="3"/>
    <m/>
    <n v="913"/>
    <n v="0"/>
    <n v="913"/>
    <x v="0"/>
    <n v="0.36399999999999999"/>
    <n v="0"/>
    <n v="0"/>
    <n v="0"/>
    <n v="0.39200000000000002"/>
    <x v="0"/>
    <m/>
    <m/>
    <n v="12.133333333333333"/>
    <x v="4"/>
  </r>
  <r>
    <n v="11"/>
    <n v="2025"/>
    <m/>
    <s v="SO032025"/>
    <s v="BIG BAG N°"/>
    <x v="0"/>
    <x v="1"/>
    <x v="3"/>
    <m/>
    <n v="639"/>
    <n v="0"/>
    <n v="639"/>
    <x v="0"/>
    <n v="0.32300000000000001"/>
    <n v="0"/>
    <n v="0"/>
    <n v="0"/>
    <n v="0.40500000000000003"/>
    <x v="0"/>
    <m/>
    <m/>
    <n v="10.766666666666669"/>
    <x v="4"/>
  </r>
  <r>
    <n v="11"/>
    <n v="2025"/>
    <m/>
    <s v="SO032025"/>
    <s v="BIG BAG N°"/>
    <x v="0"/>
    <x v="1"/>
    <x v="4"/>
    <m/>
    <n v="910"/>
    <n v="0"/>
    <n v="910"/>
    <x v="0"/>
    <n v="4.5999999999999999E-2"/>
    <n v="0"/>
    <n v="0"/>
    <n v="0"/>
    <n v="0"/>
    <x v="0"/>
    <m/>
    <m/>
    <n v="1.5333333333333334"/>
    <x v="0"/>
  </r>
  <r>
    <n v="9"/>
    <n v="2025"/>
    <m/>
    <s v="FA02/2025"/>
    <s v="BIG BAG N°"/>
    <x v="0"/>
    <x v="1"/>
    <x v="5"/>
    <m/>
    <n v="890"/>
    <n v="0"/>
    <n v="890"/>
    <x v="0"/>
    <m/>
    <m/>
    <n v="7.4999999999999997E-2"/>
    <n v="0.185"/>
    <n v="6.0000000000000001E-3"/>
    <x v="0"/>
    <m/>
    <m/>
    <n v="3.7"/>
    <x v="2"/>
  </r>
  <r>
    <n v="9"/>
    <n v="2025"/>
    <m/>
    <s v="FA02/2025"/>
    <s v="BIG BAG N°"/>
    <x v="0"/>
    <x v="1"/>
    <x v="5"/>
    <m/>
    <n v="1000"/>
    <n v="0"/>
    <n v="1000"/>
    <x v="0"/>
    <m/>
    <m/>
    <n v="5.2000000000000005E-2"/>
    <n v="0.34600000000000003"/>
    <n v="2E-3"/>
    <x v="0"/>
    <m/>
    <m/>
    <n v="6.9200000000000008"/>
    <x v="6"/>
  </r>
  <r>
    <n v="9"/>
    <n v="2025"/>
    <m/>
    <s v="FA02/2025"/>
    <s v="BIG BAG N°"/>
    <x v="0"/>
    <x v="1"/>
    <x v="5"/>
    <m/>
    <n v="703"/>
    <n v="0"/>
    <n v="703"/>
    <x v="0"/>
    <m/>
    <m/>
    <n v="9.8000000000000004E-2"/>
    <n v="0.35799999999999998"/>
    <n v="2E-3"/>
    <x v="0"/>
    <m/>
    <m/>
    <n v="7.1599999999999993"/>
    <x v="5"/>
  </r>
  <r>
    <n v="9"/>
    <n v="2025"/>
    <m/>
    <s v="FA02/2025"/>
    <s v="BIG BAG N°"/>
    <x v="0"/>
    <x v="1"/>
    <x v="5"/>
    <m/>
    <n v="841"/>
    <n v="0"/>
    <n v="841"/>
    <x v="0"/>
    <m/>
    <m/>
    <n v="0.11"/>
    <n v="0.20800000000000002"/>
    <n v="0.01"/>
    <x v="0"/>
    <m/>
    <m/>
    <n v="4.16"/>
    <x v="2"/>
  </r>
  <r>
    <n v="9"/>
    <n v="2025"/>
    <m/>
    <s v="FA02/2025"/>
    <s v="BIG BAG N°"/>
    <x v="0"/>
    <x v="1"/>
    <x v="5"/>
    <m/>
    <n v="961"/>
    <n v="0"/>
    <n v="961"/>
    <x v="0"/>
    <m/>
    <m/>
    <n v="6.4000000000000001E-2"/>
    <n v="0.24"/>
    <n v="2E-3"/>
    <x v="0"/>
    <m/>
    <m/>
    <n v="4.8"/>
    <x v="3"/>
  </r>
  <r>
    <n v="9"/>
    <n v="2025"/>
    <m/>
    <s v="FA02/2025"/>
    <s v="BIG BAG N°"/>
    <x v="0"/>
    <x v="1"/>
    <x v="5"/>
    <m/>
    <n v="974"/>
    <n v="0"/>
    <n v="974"/>
    <x v="0"/>
    <m/>
    <m/>
    <n v="5.2000000000000005E-2"/>
    <n v="0.17800000000000002"/>
    <n v="0"/>
    <x v="0"/>
    <m/>
    <m/>
    <n v="3.5600000000000005"/>
    <x v="2"/>
  </r>
  <r>
    <n v="9"/>
    <n v="2025"/>
    <m/>
    <s v="FA02/2025"/>
    <s v="BIG BAG N°"/>
    <x v="0"/>
    <x v="1"/>
    <x v="5"/>
    <m/>
    <n v="920"/>
    <n v="0"/>
    <n v="920"/>
    <x v="0"/>
    <m/>
    <m/>
    <n v="7.8E-2"/>
    <n v="0.248"/>
    <n v="2E-3"/>
    <x v="0"/>
    <m/>
    <m/>
    <n v="4.96"/>
    <x v="3"/>
  </r>
  <r>
    <n v="14"/>
    <n v="2025"/>
    <m/>
    <s v="FA03/2025"/>
    <s v="BIG BAG N°"/>
    <x v="0"/>
    <x v="1"/>
    <x v="5"/>
    <m/>
    <n v="1083"/>
    <n v="0"/>
    <n v="1083"/>
    <x v="0"/>
    <m/>
    <m/>
    <n v="8.0000000000000002E-3"/>
    <n v="0.312"/>
    <n v="2E-3"/>
    <x v="0"/>
    <m/>
    <m/>
    <n v="6.2399999999999993"/>
    <x v="6"/>
  </r>
  <r>
    <n v="9"/>
    <n v="2025"/>
    <m/>
    <s v="FA02/2025"/>
    <s v="BIG BAG N°"/>
    <x v="0"/>
    <x v="1"/>
    <x v="6"/>
    <m/>
    <n v="995"/>
    <n v="0"/>
    <n v="995"/>
    <x v="0"/>
    <m/>
    <m/>
    <n v="1.8000000000000002E-2"/>
    <n v="0.17399999999999999"/>
    <n v="6.0000000000000001E-3"/>
    <x v="0"/>
    <m/>
    <m/>
    <n v="3.4799999999999995"/>
    <x v="2"/>
  </r>
  <r>
    <n v="9"/>
    <n v="2025"/>
    <m/>
    <s v="FA02/2025"/>
    <s v="BIG BAG N°"/>
    <x v="0"/>
    <x v="1"/>
    <x v="6"/>
    <m/>
    <n v="895"/>
    <n v="0"/>
    <n v="895"/>
    <x v="1"/>
    <m/>
    <m/>
    <n v="5.4000000000000006E-2"/>
    <n v="0.20199999999999999"/>
    <n v="8.0000000000000002E-3"/>
    <x v="0"/>
    <m/>
    <m/>
    <n v="4.04"/>
    <x v="2"/>
  </r>
  <r>
    <n v="9"/>
    <n v="2025"/>
    <m/>
    <s v="FA02/2025"/>
    <s v="BIG BAG N°"/>
    <x v="0"/>
    <x v="1"/>
    <x v="6"/>
    <m/>
    <n v="854"/>
    <n v="0"/>
    <n v="854"/>
    <x v="0"/>
    <m/>
    <m/>
    <n v="0.03"/>
    <n v="0.27"/>
    <n v="2E-3"/>
    <x v="0"/>
    <m/>
    <m/>
    <n v="5.4"/>
    <x v="3"/>
  </r>
  <r>
    <n v="9"/>
    <n v="2025"/>
    <m/>
    <s v="FA02/2025"/>
    <s v="BIG BAG N°"/>
    <x v="0"/>
    <x v="1"/>
    <x v="6"/>
    <m/>
    <n v="965"/>
    <n v="0"/>
    <n v="965"/>
    <x v="0"/>
    <m/>
    <m/>
    <n v="2.4E-2"/>
    <n v="0.17199999999999999"/>
    <n v="6.9999999999999993E-3"/>
    <x v="0"/>
    <m/>
    <m/>
    <n v="3.4399999999999995"/>
    <x v="2"/>
  </r>
  <r>
    <n v="9"/>
    <n v="2025"/>
    <m/>
    <s v="FA02/2025"/>
    <s v="BIG BAG N°"/>
    <x v="0"/>
    <x v="1"/>
    <x v="6"/>
    <m/>
    <n v="956"/>
    <n v="0"/>
    <n v="956"/>
    <x v="0"/>
    <m/>
    <m/>
    <n v="1.6E-2"/>
    <n v="0.36"/>
    <n v="6.0000000000000001E-3"/>
    <x v="0"/>
    <m/>
    <m/>
    <n v="7.2"/>
    <x v="5"/>
  </r>
  <r>
    <n v="9"/>
    <n v="2025"/>
    <m/>
    <s v="FA02/2025"/>
    <s v="BIG BAG N°"/>
    <x v="0"/>
    <x v="1"/>
    <x v="6"/>
    <m/>
    <n v="880"/>
    <n v="0"/>
    <n v="880"/>
    <x v="0"/>
    <m/>
    <m/>
    <n v="0.32400000000000001"/>
    <n v="0.122"/>
    <n v="1.8000000000000002E-2"/>
    <x v="0"/>
    <m/>
    <m/>
    <n v="2.4399999999999995"/>
    <x v="0"/>
  </r>
  <r>
    <n v="9"/>
    <n v="2025"/>
    <m/>
    <s v="FA02/2025"/>
    <s v="BIG BAG N°"/>
    <x v="0"/>
    <x v="1"/>
    <x v="6"/>
    <m/>
    <n v="995"/>
    <n v="0"/>
    <n v="995"/>
    <x v="0"/>
    <m/>
    <m/>
    <n v="1.2E-2"/>
    <n v="0.16800000000000001"/>
    <n v="4.0000000000000001E-3"/>
    <x v="0"/>
    <m/>
    <m/>
    <n v="3.3600000000000003"/>
    <x v="2"/>
  </r>
  <r>
    <n v="9"/>
    <n v="2025"/>
    <m/>
    <s v="FA02/2025"/>
    <s v="BIG BAG N°"/>
    <x v="0"/>
    <x v="1"/>
    <x v="6"/>
    <m/>
    <n v="745"/>
    <n v="0"/>
    <n v="745"/>
    <x v="0"/>
    <m/>
    <m/>
    <n v="5.4000000000000006E-2"/>
    <n v="0.19600000000000001"/>
    <n v="4.0000000000000001E-3"/>
    <x v="0"/>
    <m/>
    <m/>
    <n v="3.9200000000000004"/>
    <x v="2"/>
  </r>
  <r>
    <n v="9"/>
    <n v="2025"/>
    <m/>
    <s v="FA02/2025"/>
    <s v="BIG BAG N°"/>
    <x v="0"/>
    <x v="1"/>
    <x v="6"/>
    <m/>
    <n v="743"/>
    <n v="0"/>
    <n v="743"/>
    <x v="0"/>
    <m/>
    <m/>
    <n v="1.6E-2"/>
    <n v="0.18"/>
    <n v="0"/>
    <x v="0"/>
    <m/>
    <m/>
    <n v="3.6"/>
    <x v="2"/>
  </r>
  <r>
    <n v="11"/>
    <n v="2025"/>
    <m/>
    <s v="FA03/2025"/>
    <s v="BIG BAG N°"/>
    <x v="0"/>
    <x v="1"/>
    <x v="6"/>
    <m/>
    <n v="1031"/>
    <n v="0"/>
    <n v="1031"/>
    <x v="0"/>
    <m/>
    <m/>
    <n v="1E-3"/>
    <n v="0.218"/>
    <n v="0"/>
    <x v="0"/>
    <m/>
    <m/>
    <n v="4.3600000000000003"/>
    <x v="2"/>
  </r>
  <r>
    <n v="14"/>
    <n v="2025"/>
    <m/>
    <s v="FA03/2025"/>
    <s v="BIG BAG N°"/>
    <x v="0"/>
    <x v="1"/>
    <x v="6"/>
    <m/>
    <n v="955"/>
    <n v="0"/>
    <n v="955"/>
    <x v="0"/>
    <m/>
    <m/>
    <n v="3.7999999999999999E-2"/>
    <n v="0.33600000000000002"/>
    <n v="0"/>
    <x v="0"/>
    <m/>
    <m/>
    <n v="6.7200000000000006"/>
    <x v="6"/>
  </r>
  <r>
    <n v="17"/>
    <n v="2025"/>
    <m/>
    <s v="FA04/2025"/>
    <s v="BIG BAG N°"/>
    <x v="0"/>
    <x v="1"/>
    <x v="6"/>
    <m/>
    <n v="1015"/>
    <n v="0"/>
    <n v="1015"/>
    <x v="0"/>
    <m/>
    <m/>
    <n v="4.5999999999999999E-2"/>
    <n v="0.11800000000000001"/>
    <n v="4.0000000000000003E-5"/>
    <x v="0"/>
    <m/>
    <m/>
    <n v="2.3600000000000003"/>
    <x v="0"/>
  </r>
  <r>
    <n v="17"/>
    <n v="2025"/>
    <m/>
    <s v="FA04/2025"/>
    <s v="BIG BAG N°"/>
    <x v="0"/>
    <x v="1"/>
    <x v="6"/>
    <m/>
    <n v="967"/>
    <n v="0"/>
    <n v="967"/>
    <x v="0"/>
    <m/>
    <m/>
    <n v="4.5999999999999999E-2"/>
    <n v="0.11800000000000001"/>
    <n v="4.0000000000000003E-5"/>
    <x v="0"/>
    <m/>
    <m/>
    <n v="2.3600000000000003"/>
    <x v="0"/>
  </r>
  <r>
    <n v="43"/>
    <n v="2024"/>
    <m/>
    <s v="SO102024"/>
    <s v="BIG BAG N°"/>
    <x v="0"/>
    <x v="2"/>
    <x v="2"/>
    <s v="TIPO 2"/>
    <n v="942"/>
    <n v="0"/>
    <n v="942"/>
    <x v="0"/>
    <n v="0.24299999999999999"/>
    <n v="0.15659999999999999"/>
    <n v="0"/>
    <n v="0.1966"/>
    <n v="6.0000000000000001E-3"/>
    <x v="0"/>
    <m/>
    <m/>
    <n v="19.34"/>
    <x v="4"/>
  </r>
  <r>
    <n v="46"/>
    <n v="2024"/>
    <m/>
    <s v="SO112024"/>
    <s v="BIG BAG N°"/>
    <x v="0"/>
    <x v="2"/>
    <x v="2"/>
    <s v="TIPO 1"/>
    <n v="1054"/>
    <n v="0"/>
    <n v="1054"/>
    <x v="0"/>
    <n v="0.80100000000000005"/>
    <n v="0.2"/>
    <n v="0"/>
    <n v="0.1"/>
    <n v="4.2000000000000003E-2"/>
    <x v="0"/>
    <m/>
    <m/>
    <n v="38.033333333333331"/>
    <x v="4"/>
  </r>
  <r>
    <n v="47"/>
    <n v="2024"/>
    <m/>
    <s v="SO112024"/>
    <s v="BIG BAG N°"/>
    <x v="0"/>
    <x v="2"/>
    <x v="2"/>
    <s v="TIPO 2"/>
    <n v="918"/>
    <n v="0"/>
    <n v="918"/>
    <x v="0"/>
    <n v="0.318"/>
    <n v="0.17"/>
    <n v="0"/>
    <n v="0.26329999999999998"/>
    <n v="5.2999999999999999E-2"/>
    <x v="0"/>
    <m/>
    <m/>
    <n v="23.799333333333333"/>
    <x v="4"/>
  </r>
  <r>
    <n v="7"/>
    <n v="2025"/>
    <m/>
    <s v="SO022025"/>
    <s v="BIG BAG N°"/>
    <x v="0"/>
    <x v="2"/>
    <x v="2"/>
    <s v="TIPO 2"/>
    <n v="1077"/>
    <n v="0"/>
    <n v="1077"/>
    <x v="0"/>
    <n v="0.19800000000000001"/>
    <n v="0.16"/>
    <n v="0"/>
    <n v="0.28000000000000003"/>
    <n v="1.9E-2"/>
    <x v="0"/>
    <m/>
    <m/>
    <n v="19.666666666666668"/>
    <x v="4"/>
  </r>
  <r>
    <n v="9"/>
    <n v="2025"/>
    <m/>
    <s v="SO022025"/>
    <s v="BIG BAG N°"/>
    <x v="0"/>
    <x v="2"/>
    <x v="2"/>
    <s v="TIPO 1"/>
    <n v="927"/>
    <n v="0"/>
    <n v="927"/>
    <x v="0"/>
    <n v="0.54"/>
    <n v="0.24"/>
    <n v="0"/>
    <n v="0.21"/>
    <n v="1.4E-2"/>
    <x v="0"/>
    <m/>
    <m/>
    <n v="33.4"/>
    <x v="4"/>
  </r>
  <r>
    <n v="11"/>
    <n v="2025"/>
    <m/>
    <s v="SO032025"/>
    <s v="BIG BAG N°"/>
    <x v="0"/>
    <x v="2"/>
    <x v="2"/>
    <s v="TIPO 2"/>
    <n v="977"/>
    <n v="0"/>
    <n v="977"/>
    <x v="0"/>
    <n v="0.40200000000000002"/>
    <n v="0.22"/>
    <n v="0"/>
    <n v="0.2"/>
    <n v="1.2E-2"/>
    <x v="0"/>
    <m/>
    <m/>
    <n v="27.666666666666668"/>
    <x v="4"/>
  </r>
  <r>
    <n v="9"/>
    <n v="2025"/>
    <m/>
    <s v="FA02/2025"/>
    <s v="BIG BAG N°"/>
    <x v="0"/>
    <x v="2"/>
    <x v="2"/>
    <s v="TIPO 2"/>
    <n v="979"/>
    <n v="0"/>
    <n v="979"/>
    <x v="0"/>
    <n v="0.216"/>
    <n v="6.5000000000000002E-2"/>
    <n v="0"/>
    <n v="0.13"/>
    <n v="4.8000000000000001E-2"/>
    <x v="0"/>
    <m/>
    <m/>
    <n v="12.833333333333334"/>
    <x v="4"/>
  </r>
  <r>
    <n v="43"/>
    <n v="2024"/>
    <m/>
    <s v="SO102024"/>
    <s v="BIG BAG N°"/>
    <x v="0"/>
    <x v="2"/>
    <x v="1"/>
    <s v="TIPO 2"/>
    <n v="985"/>
    <n v="0"/>
    <n v="985"/>
    <x v="0"/>
    <n v="0.32300000000000001"/>
    <n v="0.1333"/>
    <n v="0"/>
    <n v="0.14330000000000001"/>
    <n v="2E-3"/>
    <x v="0"/>
    <m/>
    <m/>
    <n v="19.853333333333339"/>
    <x v="4"/>
  </r>
  <r>
    <n v="47"/>
    <n v="2024"/>
    <m/>
    <s v="SO112024"/>
    <s v="BIG BAG N°"/>
    <x v="0"/>
    <x v="2"/>
    <x v="1"/>
    <s v="TIPO 1"/>
    <n v="1053"/>
    <n v="0"/>
    <n v="1053"/>
    <x v="0"/>
    <n v="0.69299999999999995"/>
    <n v="0.12"/>
    <n v="0"/>
    <n v="0.19"/>
    <n v="2.9000000000000001E-2"/>
    <x v="0"/>
    <m/>
    <m/>
    <n v="32.5"/>
    <x v="4"/>
  </r>
  <r>
    <n v="47"/>
    <n v="2024"/>
    <m/>
    <s v="SO112024"/>
    <s v="BIG BAG N°"/>
    <x v="0"/>
    <x v="2"/>
    <x v="1"/>
    <s v="TIPO 2"/>
    <n v="988"/>
    <n v="0"/>
    <n v="988"/>
    <x v="0"/>
    <n v="0.33900000000000002"/>
    <n v="0.15"/>
    <n v="0"/>
    <n v="0.18"/>
    <n v="1.7999999999999999E-2"/>
    <x v="0"/>
    <m/>
    <m/>
    <n v="21.9"/>
    <x v="4"/>
  </r>
  <r>
    <n v="8"/>
    <n v="2025"/>
    <m/>
    <s v="SO022025"/>
    <s v="BIG BAG N°"/>
    <x v="0"/>
    <x v="2"/>
    <x v="1"/>
    <s v="TIPO 2"/>
    <n v="833"/>
    <n v="0"/>
    <n v="833"/>
    <x v="0"/>
    <n v="0.26800000000000002"/>
    <n v="0.12"/>
    <n v="0"/>
    <n v="0.26"/>
    <n v="3.5000000000000003E-2"/>
    <x v="0"/>
    <m/>
    <m/>
    <n v="19.733333333333334"/>
    <x v="4"/>
  </r>
  <r>
    <n v="9"/>
    <n v="2025"/>
    <m/>
    <s v="SO022025"/>
    <s v="BIG BAG N°"/>
    <x v="0"/>
    <x v="2"/>
    <x v="1"/>
    <s v="TIPO 1"/>
    <n v="1054"/>
    <n v="0"/>
    <n v="1054"/>
    <x v="0"/>
    <n v="0.73199999999999998"/>
    <n v="0.15"/>
    <n v="0"/>
    <n v="0.13"/>
    <n v="3.0000000000000001E-3"/>
    <x v="0"/>
    <m/>
    <m/>
    <n v="34"/>
    <x v="4"/>
  </r>
  <r>
    <n v="11"/>
    <n v="2025"/>
    <m/>
    <s v="SO032025"/>
    <s v="BIG BAG N°"/>
    <x v="0"/>
    <x v="2"/>
    <x v="1"/>
    <s v="TIPO 2"/>
    <n v="1068"/>
    <n v="0"/>
    <n v="1068"/>
    <x v="0"/>
    <n v="0.57299999999999995"/>
    <n v="0.06"/>
    <n v="0"/>
    <n v="0.16"/>
    <n v="2E-3"/>
    <x v="0"/>
    <m/>
    <m/>
    <n v="25.1"/>
    <x v="4"/>
  </r>
  <r>
    <n v="9"/>
    <n v="2025"/>
    <m/>
    <s v="FA02/2025"/>
    <s v="BIG BAG N°"/>
    <x v="0"/>
    <x v="2"/>
    <x v="2"/>
    <s v="TIPO 2"/>
    <n v="1025"/>
    <n v="0"/>
    <n v="1025"/>
    <x v="0"/>
    <n v="0.19900000000000001"/>
    <n v="0.04"/>
    <n v="0"/>
    <n v="8.5000000000000006E-2"/>
    <n v="0"/>
    <x v="0"/>
    <m/>
    <m/>
    <n v="10.199999999999999"/>
    <x v="4"/>
  </r>
  <r>
    <n v="9"/>
    <n v="2025"/>
    <m/>
    <s v="FA02/2025"/>
    <s v="BIG BAG N°"/>
    <x v="0"/>
    <x v="2"/>
    <x v="2"/>
    <s v="TIPO 2"/>
    <n v="991"/>
    <n v="0"/>
    <n v="991"/>
    <x v="0"/>
    <n v="0.24199999999999999"/>
    <n v="5.5E-2"/>
    <n v="0"/>
    <n v="7.0000000000000007E-2"/>
    <n v="2.5000000000000001E-2"/>
    <x v="0"/>
    <m/>
    <m/>
    <n v="12.033333333333333"/>
    <x v="4"/>
  </r>
  <r>
    <n v="11"/>
    <n v="2025"/>
    <m/>
    <s v="SO032025"/>
    <s v="BIG BAG N°"/>
    <x v="0"/>
    <x v="2"/>
    <x v="0"/>
    <s v="TIPO 1"/>
    <n v="741"/>
    <n v="0"/>
    <n v="741"/>
    <x v="0"/>
    <n v="0.79200000000000004"/>
    <n v="0.09"/>
    <n v="0"/>
    <n v="0.18"/>
    <n v="1E-3"/>
    <x v="0"/>
    <m/>
    <m/>
    <n v="34.200000000000003"/>
    <x v="4"/>
  </r>
  <r>
    <n v="11"/>
    <n v="2025"/>
    <m/>
    <s v="SO032025"/>
    <s v="BIG BAG N°"/>
    <x v="0"/>
    <x v="2"/>
    <x v="0"/>
    <s v="TIPO 1"/>
    <n v="503"/>
    <n v="0"/>
    <n v="503"/>
    <x v="0"/>
    <n v="0.79200000000000004"/>
    <n v="0.09"/>
    <n v="0"/>
    <n v="0.18"/>
    <n v="1E-3"/>
    <x v="0"/>
    <m/>
    <m/>
    <n v="34.200000000000003"/>
    <x v="4"/>
  </r>
  <r>
    <n v="14"/>
    <n v="2025"/>
    <s v="BIG05/2024"/>
    <s v="S109/2024"/>
    <s v="BIG BAG N°5"/>
    <x v="1"/>
    <x v="0"/>
    <x v="1"/>
    <m/>
    <n v="1000"/>
    <n v="0"/>
    <n v="1000"/>
    <x v="1"/>
    <n v="1E-3"/>
    <n v="3.3E-3"/>
    <n v="0.15"/>
    <n v="0"/>
    <n v="0"/>
    <x v="1"/>
    <s v="685-88"/>
    <s v="BIOSIC"/>
    <n v="0.18733333333333332"/>
    <x v="0"/>
  </r>
  <r>
    <n v="14"/>
    <n v="2025"/>
    <s v="BIG05/2024"/>
    <s v="S109/2024"/>
    <s v="BIG BAG N°6"/>
    <x v="1"/>
    <x v="0"/>
    <x v="1"/>
    <m/>
    <n v="1000"/>
    <n v="0"/>
    <n v="1000"/>
    <x v="1"/>
    <n v="1E-3"/>
    <n v="0.01"/>
    <n v="0.1166"/>
    <n v="0"/>
    <n v="0"/>
    <x v="1"/>
    <s v="685-88"/>
    <s v="BIOSIC"/>
    <n v="0.5"/>
    <x v="0"/>
  </r>
  <r>
    <n v="14"/>
    <n v="2025"/>
    <s v="BIG05/2024"/>
    <s v="S109/2024"/>
    <s v="BIG BAG N°7"/>
    <x v="1"/>
    <x v="0"/>
    <x v="1"/>
    <m/>
    <n v="1000"/>
    <n v="0"/>
    <n v="1000"/>
    <x v="1"/>
    <n v="0"/>
    <n v="0.01"/>
    <n v="0.13"/>
    <n v="0"/>
    <n v="0"/>
    <x v="1"/>
    <s v="685-88"/>
    <s v="BIOSIC"/>
    <n v="0.46666666666666667"/>
    <x v="0"/>
  </r>
  <r>
    <n v="14"/>
    <n v="2025"/>
    <s v="BIG05/2024"/>
    <s v="S109/2024"/>
    <s v="BIG BAG N°8"/>
    <x v="1"/>
    <x v="0"/>
    <x v="1"/>
    <m/>
    <n v="1000"/>
    <n v="0"/>
    <n v="1000"/>
    <x v="1"/>
    <n v="1E-3"/>
    <n v="2.3300000000000001E-2"/>
    <n v="0.09"/>
    <n v="0"/>
    <n v="0"/>
    <x v="1"/>
    <s v="685-88"/>
    <s v="BIOSIC"/>
    <n v="1.1206666666666669"/>
    <x v="0"/>
  </r>
  <r>
    <n v="15"/>
    <n v="2025"/>
    <s v="BIG05/2024"/>
    <s v="S121R/2024"/>
    <s v="BIG BAG N°4"/>
    <x v="1"/>
    <x v="0"/>
    <x v="1"/>
    <m/>
    <n v="880"/>
    <n v="0"/>
    <n v="880"/>
    <x v="1"/>
    <n v="0"/>
    <n v="6.6E-3"/>
    <n v="2.3300000000000001E-2"/>
    <n v="0"/>
    <n v="0"/>
    <x v="0"/>
    <m/>
    <m/>
    <n v="0.308"/>
    <x v="0"/>
  </r>
  <r>
    <n v="2"/>
    <n v="2025"/>
    <s v="BIG05/2024"/>
    <s v="S107/2024"/>
    <s v="BIG BAG N°9"/>
    <x v="1"/>
    <x v="0"/>
    <x v="2"/>
    <m/>
    <n v="600"/>
    <n v="0"/>
    <n v="600"/>
    <x v="1"/>
    <n v="0"/>
    <n v="0"/>
    <n v="0.06"/>
    <n v="0"/>
    <n v="0"/>
    <x v="0"/>
    <m/>
    <m/>
    <n v="0"/>
    <x v="0"/>
  </r>
  <r>
    <n v="4"/>
    <n v="2025"/>
    <s v="BIG05/2024"/>
    <s v="S109/2024"/>
    <s v="BIG BAG N°3"/>
    <x v="1"/>
    <x v="0"/>
    <x v="2"/>
    <m/>
    <n v="622"/>
    <n v="0"/>
    <n v="622"/>
    <x v="1"/>
    <n v="0"/>
    <n v="1.66E-2"/>
    <n v="0.12"/>
    <n v="0"/>
    <n v="0"/>
    <x v="0"/>
    <m/>
    <m/>
    <n v="0.77466666666666661"/>
    <x v="0"/>
  </r>
  <r>
    <n v="14"/>
    <n v="2025"/>
    <s v="BIG05/2024"/>
    <s v="S122A/2024"/>
    <s v="BIG BAG N°3"/>
    <x v="1"/>
    <x v="0"/>
    <x v="2"/>
    <m/>
    <n v="1000"/>
    <n v="0"/>
    <n v="1000"/>
    <x v="1"/>
    <n v="1E-3"/>
    <n v="0.02"/>
    <n v="4.3299999999999998E-2"/>
    <n v="0"/>
    <n v="0"/>
    <x v="0"/>
    <m/>
    <m/>
    <n v="0.96666666666666667"/>
    <x v="0"/>
  </r>
  <r>
    <n v="15"/>
    <n v="2025"/>
    <s v="BIG05/2024"/>
    <s v="S121R/2024"/>
    <s v="BIG BAG N°4"/>
    <x v="1"/>
    <x v="0"/>
    <x v="2"/>
    <m/>
    <n v="925"/>
    <n v="0"/>
    <n v="925"/>
    <x v="1"/>
    <n v="0"/>
    <n v="0"/>
    <n v="1.66E-2"/>
    <n v="0"/>
    <n v="0"/>
    <x v="0"/>
    <m/>
    <m/>
    <n v="0"/>
    <x v="0"/>
  </r>
  <r>
    <n v="15"/>
    <n v="2025"/>
    <s v="BIG02/2025"/>
    <s v="S121R/2024"/>
    <s v="BIG BAG N°"/>
    <x v="1"/>
    <x v="1"/>
    <x v="3"/>
    <m/>
    <n v="1000"/>
    <n v="0"/>
    <n v="1000"/>
    <x v="1"/>
    <n v="4.5999999999999999E-2"/>
    <n v="0"/>
    <n v="0"/>
    <n v="0"/>
    <n v="0"/>
    <x v="0"/>
    <m/>
    <m/>
    <n v="1.5333333333333334"/>
    <x v="0"/>
  </r>
  <r>
    <n v="15"/>
    <n v="2025"/>
    <s v="BIG05/2024"/>
    <s v="S101/2024"/>
    <s v="BIG BAG N°1"/>
    <x v="2"/>
    <x v="0"/>
    <x v="0"/>
    <m/>
    <n v="1000"/>
    <n v="0"/>
    <n v="1000"/>
    <x v="1"/>
    <n v="1E-3"/>
    <n v="0.01"/>
    <n v="4.3299999999999998E-2"/>
    <n v="0"/>
    <n v="0"/>
    <x v="0"/>
    <m/>
    <m/>
    <n v="0.5"/>
    <x v="0"/>
  </r>
  <r>
    <n v="19"/>
    <n v="2025"/>
    <s v="BIG01/2025"/>
    <s v="S102/2024"/>
    <s v="BIG BAG N°1"/>
    <x v="2"/>
    <x v="0"/>
    <x v="0"/>
    <m/>
    <n v="1000"/>
    <n v="0"/>
    <n v="1000"/>
    <x v="1"/>
    <n v="0"/>
    <n v="6.6E-3"/>
    <n v="0.05"/>
    <n v="0"/>
    <n v="0"/>
    <x v="0"/>
    <m/>
    <m/>
    <n v="0.308"/>
    <x v="0"/>
  </r>
  <r>
    <n v="19"/>
    <n v="2025"/>
    <s v="BIG01/2025"/>
    <s v="S102/2024"/>
    <s v="BIG BAG N°2"/>
    <x v="2"/>
    <x v="0"/>
    <x v="0"/>
    <m/>
    <n v="1000"/>
    <n v="0"/>
    <n v="1000"/>
    <x v="1"/>
    <n v="1E-3"/>
    <n v="0.03"/>
    <n v="3.6600000000000001E-2"/>
    <n v="0"/>
    <n v="0"/>
    <x v="0"/>
    <m/>
    <m/>
    <n v="1.4333333333333333"/>
    <x v="0"/>
  </r>
  <r>
    <n v="15"/>
    <n v="2025"/>
    <s v="BIG05/2024"/>
    <s v="S101/2024"/>
    <s v="BIG BAG N°6"/>
    <x v="2"/>
    <x v="0"/>
    <x v="1"/>
    <m/>
    <n v="1000"/>
    <n v="0"/>
    <n v="1000"/>
    <x v="1"/>
    <n v="0"/>
    <n v="0.01"/>
    <n v="3.6600000000000001E-2"/>
    <n v="0"/>
    <n v="0"/>
    <x v="0"/>
    <m/>
    <m/>
    <n v="0.46666666666666667"/>
    <x v="0"/>
  </r>
  <r>
    <n v="15"/>
    <n v="2025"/>
    <s v="BIG05/2024"/>
    <s v="S101/2024"/>
    <s v="BIG BAG N°7"/>
    <x v="2"/>
    <x v="0"/>
    <x v="1"/>
    <m/>
    <n v="1000"/>
    <n v="0"/>
    <n v="1000"/>
    <x v="1"/>
    <n v="0"/>
    <n v="0.01"/>
    <n v="3.3300000000000003E-2"/>
    <n v="0"/>
    <n v="0"/>
    <x v="0"/>
    <m/>
    <m/>
    <n v="0.46666666666666667"/>
    <x v="0"/>
  </r>
  <r>
    <n v="15"/>
    <n v="2025"/>
    <s v="BIG05/2024"/>
    <s v="S101/2024"/>
    <s v="BIG BAG N°8"/>
    <x v="2"/>
    <x v="0"/>
    <x v="1"/>
    <m/>
    <n v="1000"/>
    <n v="0"/>
    <n v="1000"/>
    <x v="1"/>
    <n v="0"/>
    <n v="0.02"/>
    <n v="4.3299999999999998E-2"/>
    <n v="0"/>
    <n v="0"/>
    <x v="0"/>
    <m/>
    <m/>
    <n v="0.93333333333333335"/>
    <x v="0"/>
  </r>
  <r>
    <n v="15"/>
    <n v="2025"/>
    <s v="BIG05/2024"/>
    <s v="S101/2024"/>
    <s v="BIG BAG N°9"/>
    <x v="2"/>
    <x v="0"/>
    <x v="1"/>
    <m/>
    <n v="1000"/>
    <n v="0"/>
    <n v="1000"/>
    <x v="1"/>
    <n v="2E-3"/>
    <n v="0.03"/>
    <n v="6.6600000000000006E-2"/>
    <n v="0"/>
    <n v="0"/>
    <x v="0"/>
    <m/>
    <m/>
    <n v="1.4666666666666666"/>
    <x v="0"/>
  </r>
  <r>
    <n v="15"/>
    <n v="2025"/>
    <s v="BIG05/2024"/>
    <s v="S101/2024"/>
    <s v="BIG BAG N°10"/>
    <x v="2"/>
    <x v="0"/>
    <x v="1"/>
    <m/>
    <n v="1000"/>
    <n v="0"/>
    <n v="1000"/>
    <x v="1"/>
    <n v="2E-3"/>
    <n v="0.01"/>
    <n v="0.05"/>
    <n v="0"/>
    <n v="0"/>
    <x v="0"/>
    <m/>
    <m/>
    <n v="0.53333333333333333"/>
    <x v="0"/>
  </r>
  <r>
    <n v="15"/>
    <n v="2025"/>
    <s v="BIG05/2024"/>
    <s v="S101/2024"/>
    <s v="BIG BAG N°11"/>
    <x v="2"/>
    <x v="0"/>
    <x v="1"/>
    <m/>
    <n v="1000"/>
    <n v="0"/>
    <n v="1000"/>
    <x v="1"/>
    <n v="0"/>
    <n v="1.3299999999999999E-2"/>
    <n v="4.3299999999999998E-2"/>
    <n v="0"/>
    <n v="0"/>
    <x v="0"/>
    <m/>
    <m/>
    <n v="0.62066666666666659"/>
    <x v="0"/>
  </r>
  <r>
    <n v="19"/>
    <n v="2025"/>
    <s v="BIG01/2025"/>
    <s v="S102/2024"/>
    <s v="BIG BAG N°3"/>
    <x v="2"/>
    <x v="0"/>
    <x v="1"/>
    <m/>
    <n v="1000"/>
    <n v="0"/>
    <n v="1000"/>
    <x v="1"/>
    <n v="1E-3"/>
    <n v="0.02"/>
    <n v="6.3299999999999995E-2"/>
    <n v="0"/>
    <n v="0"/>
    <x v="0"/>
    <m/>
    <m/>
    <n v="0.96666666666666667"/>
    <x v="0"/>
  </r>
  <r>
    <n v="19"/>
    <n v="2025"/>
    <s v="BIG01/2025"/>
    <s v="S102/2024"/>
    <s v="BIG BAG N°4"/>
    <x v="2"/>
    <x v="0"/>
    <x v="1"/>
    <m/>
    <n v="1000"/>
    <n v="0"/>
    <n v="1000"/>
    <x v="1"/>
    <n v="2E-3"/>
    <n v="1.66E-2"/>
    <n v="5.33E-2"/>
    <n v="0"/>
    <n v="0"/>
    <x v="0"/>
    <m/>
    <m/>
    <n v="0.84133333333333327"/>
    <x v="0"/>
  </r>
  <r>
    <n v="19"/>
    <n v="2025"/>
    <s v="BIG01/2025"/>
    <s v="S102/2024"/>
    <s v="BIG BAG N°5"/>
    <x v="2"/>
    <x v="0"/>
    <x v="1"/>
    <m/>
    <n v="1000"/>
    <n v="0"/>
    <n v="1000"/>
    <x v="1"/>
    <n v="0"/>
    <n v="0.02"/>
    <n v="7.3300000000000004E-2"/>
    <n v="0"/>
    <n v="0"/>
    <x v="0"/>
    <m/>
    <m/>
    <n v="0.93333333333333335"/>
    <x v="0"/>
  </r>
  <r>
    <n v="19"/>
    <n v="2025"/>
    <s v="BIG01/2025"/>
    <s v="S102/2024"/>
    <s v="BIG BAG N°6"/>
    <x v="2"/>
    <x v="0"/>
    <x v="1"/>
    <m/>
    <n v="1000"/>
    <n v="0"/>
    <n v="1000"/>
    <x v="1"/>
    <n v="1E-3"/>
    <n v="2.6599999999999999E-2"/>
    <n v="6.3299999999999995E-2"/>
    <n v="0"/>
    <n v="0"/>
    <x v="0"/>
    <m/>
    <m/>
    <n v="1.2746666666666664"/>
    <x v="0"/>
  </r>
  <r>
    <n v="19"/>
    <n v="2025"/>
    <s v="BIG01/2025"/>
    <s v="S102/2024"/>
    <s v="BIG BAG N°7"/>
    <x v="2"/>
    <x v="0"/>
    <x v="1"/>
    <m/>
    <n v="1000"/>
    <n v="0"/>
    <n v="1000"/>
    <x v="1"/>
    <n v="2E-3"/>
    <n v="3.6600000000000001E-2"/>
    <n v="5.33E-2"/>
    <n v="0"/>
    <n v="0"/>
    <x v="0"/>
    <m/>
    <m/>
    <n v="1.7746666666666668"/>
    <x v="0"/>
  </r>
  <r>
    <n v="21"/>
    <n v="2025"/>
    <s v="BIG01/2025"/>
    <s v="S103/2024"/>
    <s v="BIG BAG N°1"/>
    <x v="2"/>
    <x v="0"/>
    <x v="1"/>
    <m/>
    <n v="1000"/>
    <n v="0"/>
    <n v="1000"/>
    <x v="2"/>
    <n v="1E-3"/>
    <n v="1.66E-2"/>
    <n v="5.33E-2"/>
    <n v="0"/>
    <n v="0"/>
    <x v="0"/>
    <m/>
    <m/>
    <n v="0.80799999999999994"/>
    <x v="0"/>
  </r>
  <r>
    <n v="15"/>
    <n v="2025"/>
    <s v="BIG05/2024"/>
    <s v="S101/2024"/>
    <s v="BIG BAG N°8"/>
    <x v="2"/>
    <x v="0"/>
    <x v="2"/>
    <m/>
    <n v="1000"/>
    <n v="0"/>
    <n v="1000"/>
    <x v="1"/>
    <n v="0"/>
    <n v="6.6E-3"/>
    <n v="4.3299999999999998E-2"/>
    <n v="0"/>
    <n v="0"/>
    <x v="0"/>
    <m/>
    <m/>
    <n v="0.308"/>
    <x v="0"/>
  </r>
  <r>
    <n v="15"/>
    <n v="2025"/>
    <s v="BIG05/2024"/>
    <s v="S101/2024"/>
    <s v="BIG BAG N°9"/>
    <x v="2"/>
    <x v="0"/>
    <x v="2"/>
    <m/>
    <n v="1000"/>
    <n v="0"/>
    <n v="1000"/>
    <x v="1"/>
    <n v="2E-3"/>
    <n v="6.3299999999999995E-2"/>
    <n v="0.05"/>
    <n v="0"/>
    <n v="0"/>
    <x v="0"/>
    <m/>
    <m/>
    <n v="3.0206666666666662"/>
    <x v="2"/>
  </r>
  <r>
    <n v="15"/>
    <n v="2025"/>
    <s v="BIG05/2024"/>
    <s v="S101/2024"/>
    <s v="BIG BAG N°10"/>
    <x v="2"/>
    <x v="0"/>
    <x v="2"/>
    <m/>
    <n v="1000"/>
    <n v="0"/>
    <n v="1000"/>
    <x v="1"/>
    <n v="2E-3"/>
    <n v="0.05"/>
    <n v="5.33E-2"/>
    <n v="0"/>
    <n v="0"/>
    <x v="0"/>
    <m/>
    <m/>
    <n v="2.4"/>
    <x v="0"/>
  </r>
  <r>
    <n v="15"/>
    <n v="2025"/>
    <s v="BIG05/2024"/>
    <s v="S101/2024"/>
    <s v="BIG BAG N°11"/>
    <x v="2"/>
    <x v="0"/>
    <x v="2"/>
    <m/>
    <n v="1000"/>
    <n v="0"/>
    <n v="1000"/>
    <x v="1"/>
    <n v="3.0000000000000001E-3"/>
    <n v="0.06"/>
    <n v="4.3299999999999998E-2"/>
    <n v="0"/>
    <n v="0"/>
    <x v="0"/>
    <m/>
    <m/>
    <n v="2.9"/>
    <x v="1"/>
  </r>
  <r>
    <n v="15"/>
    <n v="2025"/>
    <s v="BIG05/2024"/>
    <s v="S101/2024"/>
    <s v="BIG BAG N°12"/>
    <x v="2"/>
    <x v="0"/>
    <x v="2"/>
    <m/>
    <n v="1000"/>
    <n v="0"/>
    <n v="1000"/>
    <x v="1"/>
    <n v="1E-3"/>
    <n v="4.3299999999999998E-2"/>
    <n v="4.3299999999999998E-2"/>
    <n v="0"/>
    <n v="0"/>
    <x v="0"/>
    <m/>
    <m/>
    <n v="2.0540000000000003"/>
    <x v="0"/>
  </r>
  <r>
    <n v="15"/>
    <n v="2025"/>
    <s v="BIG05/2024"/>
    <s v="S101/2024"/>
    <s v="BIG BAG N°13"/>
    <x v="2"/>
    <x v="0"/>
    <x v="2"/>
    <m/>
    <n v="1000"/>
    <n v="0"/>
    <n v="1000"/>
    <x v="1"/>
    <n v="3.0000000000000001E-3"/>
    <n v="3.6600000000000001E-2"/>
    <n v="0.09"/>
    <n v="0"/>
    <n v="0"/>
    <x v="0"/>
    <m/>
    <m/>
    <n v="1.8080000000000001"/>
    <x v="0"/>
  </r>
  <r>
    <n v="15"/>
    <n v="2025"/>
    <s v="BIG05/2024"/>
    <s v="S101/2024"/>
    <s v="BIG BAG N°14"/>
    <x v="2"/>
    <x v="0"/>
    <x v="2"/>
    <m/>
    <n v="1000"/>
    <n v="0"/>
    <n v="1000"/>
    <x v="1"/>
    <n v="0"/>
    <n v="2.3300000000000001E-2"/>
    <n v="0.05"/>
    <n v="0"/>
    <n v="0"/>
    <x v="0"/>
    <m/>
    <m/>
    <n v="1.0873333333333335"/>
    <x v="0"/>
  </r>
  <r>
    <n v="19"/>
    <n v="2025"/>
    <s v="BIG01/2025"/>
    <s v="S102/2024"/>
    <s v="BIG BAG N°3"/>
    <x v="2"/>
    <x v="0"/>
    <x v="2"/>
    <m/>
    <n v="1000"/>
    <n v="0"/>
    <n v="1000"/>
    <x v="1"/>
    <n v="0"/>
    <n v="1.66E-2"/>
    <n v="4.3299999999999998E-2"/>
    <n v="0"/>
    <n v="0"/>
    <x v="0"/>
    <m/>
    <m/>
    <n v="0.77466666666666661"/>
    <x v="0"/>
  </r>
  <r>
    <n v="19"/>
    <n v="2025"/>
    <s v="BIG01/2025"/>
    <s v="S102/2024"/>
    <s v="BIG BAG N°4"/>
    <x v="2"/>
    <x v="0"/>
    <x v="2"/>
    <m/>
    <n v="1000"/>
    <n v="0"/>
    <n v="1000"/>
    <x v="1"/>
    <n v="0"/>
    <n v="1.3299999999999999E-2"/>
    <n v="3.6600000000000001E-2"/>
    <n v="0"/>
    <n v="0"/>
    <x v="0"/>
    <m/>
    <m/>
    <n v="0.62066666666666659"/>
    <x v="0"/>
  </r>
  <r>
    <n v="19"/>
    <n v="2025"/>
    <s v="BIG01/2025"/>
    <s v="S102/2024"/>
    <s v="BIG BAG N°5"/>
    <x v="2"/>
    <x v="0"/>
    <x v="2"/>
    <m/>
    <n v="1000"/>
    <n v="0"/>
    <n v="1000"/>
    <x v="1"/>
    <n v="1E-3"/>
    <n v="0.02"/>
    <n v="7.6600000000000001E-2"/>
    <n v="0"/>
    <n v="0"/>
    <x v="0"/>
    <m/>
    <m/>
    <n v="0.96666666666666667"/>
    <x v="0"/>
  </r>
  <r>
    <n v="19"/>
    <n v="2025"/>
    <s v="BIG01/2025"/>
    <s v="S102/2024"/>
    <s v="BIG BAG N°7"/>
    <x v="2"/>
    <x v="0"/>
    <x v="2"/>
    <m/>
    <n v="1000"/>
    <n v="0"/>
    <n v="1000"/>
    <x v="1"/>
    <n v="0"/>
    <n v="2.6599999999999999E-2"/>
    <n v="9.3299999999999994E-2"/>
    <n v="0"/>
    <n v="0"/>
    <x v="0"/>
    <m/>
    <m/>
    <n v="1.2413333333333332"/>
    <x v="0"/>
  </r>
  <r>
    <n v="19"/>
    <n v="2025"/>
    <s v="BIG01/2025"/>
    <s v="S102/2024"/>
    <s v="BIG BAG N°8"/>
    <x v="2"/>
    <x v="0"/>
    <x v="2"/>
    <m/>
    <n v="1000"/>
    <n v="0"/>
    <n v="1000"/>
    <x v="1"/>
    <n v="0"/>
    <n v="0.02"/>
    <n v="0.06"/>
    <n v="0"/>
    <n v="0"/>
    <x v="0"/>
    <m/>
    <m/>
    <n v="0.93333333333333335"/>
    <x v="0"/>
  </r>
  <r>
    <n v="19"/>
    <n v="2025"/>
    <s v="BIG01/2025"/>
    <s v="S102/2024"/>
    <s v="BIG BAG N°10"/>
    <x v="2"/>
    <x v="0"/>
    <x v="2"/>
    <m/>
    <n v="1000"/>
    <n v="0"/>
    <n v="1000"/>
    <x v="1"/>
    <n v="1E-3"/>
    <n v="4.6600000000000003E-2"/>
    <n v="5.6599999999999998E-2"/>
    <n v="0"/>
    <n v="0"/>
    <x v="0"/>
    <m/>
    <m/>
    <n v="2.2080000000000002"/>
    <x v="0"/>
  </r>
  <r>
    <n v="19"/>
    <n v="2025"/>
    <s v="BIG01/2025"/>
    <s v="S102/2024"/>
    <s v="BIG BAG N°11"/>
    <x v="2"/>
    <x v="0"/>
    <x v="2"/>
    <m/>
    <n v="1000"/>
    <n v="0"/>
    <n v="1000"/>
    <x v="1"/>
    <n v="1E-3"/>
    <n v="0.04"/>
    <n v="7.3300000000000004E-2"/>
    <n v="0"/>
    <n v="0"/>
    <x v="0"/>
    <m/>
    <m/>
    <n v="1.9"/>
    <x v="0"/>
  </r>
  <r>
    <n v="19"/>
    <n v="2025"/>
    <s v="BIG01/2025"/>
    <s v="S102/2024"/>
    <s v="BIG BAG N°14"/>
    <x v="2"/>
    <x v="0"/>
    <x v="2"/>
    <m/>
    <n v="1000"/>
    <n v="0"/>
    <n v="1000"/>
    <x v="1"/>
    <n v="0"/>
    <n v="2.6599999999999999E-2"/>
    <n v="7.6600000000000001E-2"/>
    <n v="0"/>
    <n v="0"/>
    <x v="0"/>
    <m/>
    <m/>
    <n v="1.2413333333333332"/>
    <x v="0"/>
  </r>
  <r>
    <n v="19"/>
    <n v="2025"/>
    <s v="BIG01/2025"/>
    <s v="S102/2024"/>
    <s v="BIG BAG N°15"/>
    <x v="2"/>
    <x v="0"/>
    <x v="2"/>
    <m/>
    <n v="1000"/>
    <n v="0"/>
    <n v="1000"/>
    <x v="1"/>
    <n v="0"/>
    <n v="1.66E-2"/>
    <n v="7.0000000000000007E-2"/>
    <n v="0"/>
    <n v="0"/>
    <x v="0"/>
    <m/>
    <m/>
    <n v="0.77466666666666661"/>
    <x v="0"/>
  </r>
  <r>
    <n v="19"/>
    <n v="2025"/>
    <s v="BIG01/2025"/>
    <s v="S102/2024"/>
    <s v="BIG BAG N°16"/>
    <x v="2"/>
    <x v="0"/>
    <x v="2"/>
    <m/>
    <n v="1000"/>
    <n v="0"/>
    <n v="1000"/>
    <x v="1"/>
    <n v="2E-3"/>
    <n v="2.6599999999999999E-2"/>
    <n v="5.33E-2"/>
    <n v="0"/>
    <n v="0"/>
    <x v="0"/>
    <m/>
    <m/>
    <n v="1.3079999999999998"/>
    <x v="0"/>
  </r>
  <r>
    <n v="19"/>
    <n v="2025"/>
    <s v="BIG01/2025"/>
    <s v="S102/2024"/>
    <s v="BIG BAG N°17"/>
    <x v="2"/>
    <x v="0"/>
    <x v="2"/>
    <m/>
    <n v="1000"/>
    <n v="0"/>
    <n v="1000"/>
    <x v="2"/>
    <n v="1E-3"/>
    <n v="0.06"/>
    <n v="5.6599999999999998E-2"/>
    <n v="0"/>
    <n v="0"/>
    <x v="0"/>
    <m/>
    <m/>
    <n v="2.8333333333333335"/>
    <x v="1"/>
  </r>
  <r>
    <n v="21"/>
    <n v="2025"/>
    <s v="BIG01/2025"/>
    <s v="S103/2024"/>
    <s v="BIG BAG N°1"/>
    <x v="2"/>
    <x v="0"/>
    <x v="2"/>
    <m/>
    <n v="1000"/>
    <n v="0"/>
    <n v="1000"/>
    <x v="2"/>
    <n v="1E-3"/>
    <n v="0.02"/>
    <n v="6.3299999999999995E-2"/>
    <n v="0"/>
    <n v="0"/>
    <x v="0"/>
    <m/>
    <m/>
    <n v="0.96666666666666667"/>
    <x v="0"/>
  </r>
  <r>
    <n v="19"/>
    <n v="2025"/>
    <s v="BIG01/2025"/>
    <s v="S102/2024"/>
    <s v="BIG BAG N°"/>
    <x v="2"/>
    <x v="1"/>
    <x v="7"/>
    <m/>
    <n v="643"/>
    <n v="0"/>
    <n v="643"/>
    <x v="1"/>
    <n v="1.6E-2"/>
    <n v="0"/>
    <n v="0"/>
    <n v="0"/>
    <n v="0"/>
    <x v="0"/>
    <m/>
    <m/>
    <n v="0.53333333333333333"/>
    <x v="0"/>
  </r>
  <r>
    <n v="48"/>
    <n v="2024"/>
    <s v="BIG04/2024"/>
    <s v="SBSS123/2024"/>
    <s v="BIG BAG N° 5"/>
    <x v="3"/>
    <x v="0"/>
    <x v="2"/>
    <m/>
    <n v="1000"/>
    <n v="0"/>
    <n v="1000"/>
    <x v="1"/>
    <n v="0"/>
    <n v="1.66E-2"/>
    <n v="0.17"/>
    <n v="0"/>
    <n v="0"/>
    <x v="0"/>
    <m/>
    <m/>
    <n v="0.77466666666666661"/>
    <x v="0"/>
  </r>
  <r>
    <n v="48"/>
    <n v="2024"/>
    <s v="BIG04/2024"/>
    <s v="SBSS123/2024"/>
    <s v="BIG BAG N° 7"/>
    <x v="3"/>
    <x v="0"/>
    <x v="2"/>
    <m/>
    <n v="422"/>
    <n v="0"/>
    <n v="422"/>
    <x v="1"/>
    <n v="0"/>
    <n v="1.3299999999999999E-2"/>
    <n v="0.16"/>
    <n v="0"/>
    <n v="0"/>
    <x v="0"/>
    <m/>
    <m/>
    <n v="0.62066666666666659"/>
    <x v="0"/>
  </r>
  <r>
    <n v="21"/>
    <n v="2025"/>
    <s v="BIG01/2025"/>
    <s v="S103/2024"/>
    <s v="BIG BAG N°1"/>
    <x v="2"/>
    <x v="0"/>
    <x v="0"/>
    <m/>
    <n v="1000"/>
    <n v="0"/>
    <n v="1000"/>
    <x v="1"/>
    <n v="1E-3"/>
    <n v="0.02"/>
    <n v="5.33E-2"/>
    <n v="0"/>
    <n v="0"/>
    <x v="0"/>
    <m/>
    <m/>
    <n v="0.96666666666666667"/>
    <x v="0"/>
  </r>
  <r>
    <n v="21"/>
    <n v="2025"/>
    <s v="BIG01/2025"/>
    <s v="S103/2024"/>
    <s v="BIG BAG N°2"/>
    <x v="2"/>
    <x v="0"/>
    <x v="0"/>
    <m/>
    <n v="1000"/>
    <n v="0"/>
    <n v="1000"/>
    <x v="1"/>
    <n v="1E-3"/>
    <n v="1.66E-2"/>
    <n v="0.05"/>
    <n v="0"/>
    <n v="0"/>
    <x v="0"/>
    <m/>
    <m/>
    <n v="0.80799999999999994"/>
    <x v="0"/>
  </r>
  <r>
    <n v="21"/>
    <n v="2025"/>
    <s v="BIG01/2025"/>
    <s v="S103/2024"/>
    <s v="BIG BAG N°2"/>
    <x v="2"/>
    <x v="0"/>
    <x v="1"/>
    <m/>
    <n v="1000"/>
    <n v="0"/>
    <n v="1000"/>
    <x v="1"/>
    <n v="1E-3"/>
    <n v="0.01"/>
    <n v="7.0000000000000007E-2"/>
    <n v="0"/>
    <n v="0"/>
    <x v="0"/>
    <m/>
    <m/>
    <n v="0.5"/>
    <x v="0"/>
  </r>
  <r>
    <n v="21"/>
    <n v="2025"/>
    <s v="BIG01/2025"/>
    <s v="S103/2024"/>
    <s v="BIG BAG N°3"/>
    <x v="2"/>
    <x v="0"/>
    <x v="1"/>
    <m/>
    <n v="1000"/>
    <n v="0"/>
    <n v="1000"/>
    <x v="1"/>
    <n v="1E-3"/>
    <n v="0.04"/>
    <n v="7.6600000000000001E-2"/>
    <n v="0"/>
    <n v="0"/>
    <x v="0"/>
    <m/>
    <m/>
    <n v="1.9"/>
    <x v="0"/>
  </r>
  <r>
    <n v="21"/>
    <n v="2025"/>
    <s v="BIG01/2025"/>
    <s v="S103/2024"/>
    <s v="BIG BAG N°4"/>
    <x v="2"/>
    <x v="0"/>
    <x v="1"/>
    <m/>
    <n v="1000"/>
    <n v="0"/>
    <n v="1000"/>
    <x v="1"/>
    <n v="1E-3"/>
    <n v="0.03"/>
    <n v="7.3300000000000004E-2"/>
    <n v="0"/>
    <n v="0"/>
    <x v="0"/>
    <m/>
    <m/>
    <n v="1.4333333333333333"/>
    <x v="0"/>
  </r>
  <r>
    <n v="21"/>
    <n v="2025"/>
    <s v="BIG01/2025"/>
    <s v="S103/2024"/>
    <s v="BIG BAG N°5"/>
    <x v="2"/>
    <x v="0"/>
    <x v="1"/>
    <m/>
    <n v="1000"/>
    <n v="0"/>
    <n v="1000"/>
    <x v="1"/>
    <n v="1E-3"/>
    <n v="3.3300000000000003E-2"/>
    <n v="6.3299999999999995E-2"/>
    <n v="0"/>
    <n v="0"/>
    <x v="0"/>
    <m/>
    <m/>
    <n v="1.5873333333333335"/>
    <x v="0"/>
  </r>
  <r>
    <n v="21"/>
    <n v="2025"/>
    <s v="BIG01/2025"/>
    <s v="S103/2024"/>
    <s v="BIG BAG N°2"/>
    <x v="2"/>
    <x v="0"/>
    <x v="2"/>
    <m/>
    <n v="1000"/>
    <n v="0"/>
    <n v="1000"/>
    <x v="1"/>
    <n v="2E-3"/>
    <n v="2.3300000000000001E-2"/>
    <n v="0.06"/>
    <n v="0"/>
    <n v="0"/>
    <x v="0"/>
    <m/>
    <m/>
    <n v="1.1540000000000001"/>
    <x v="0"/>
  </r>
  <r>
    <n v="21"/>
    <n v="2025"/>
    <s v="BIG01/2025"/>
    <s v="S103/2024"/>
    <s v="BIG BAG N°3"/>
    <x v="2"/>
    <x v="0"/>
    <x v="2"/>
    <m/>
    <n v="1000"/>
    <n v="0"/>
    <n v="1000"/>
    <x v="1"/>
    <n v="1E-3"/>
    <n v="2.6599999999999999E-2"/>
    <n v="4.6600000000000003E-2"/>
    <n v="0"/>
    <n v="0"/>
    <x v="0"/>
    <m/>
    <m/>
    <n v="1.2746666666666664"/>
    <x v="0"/>
  </r>
  <r>
    <n v="21"/>
    <n v="2025"/>
    <s v="BIG01/2025"/>
    <s v="S103/2024"/>
    <s v="BIG BAG N°4"/>
    <x v="2"/>
    <x v="0"/>
    <x v="2"/>
    <m/>
    <n v="1000"/>
    <n v="0"/>
    <n v="1000"/>
    <x v="1"/>
    <n v="1E-3"/>
    <n v="0.04"/>
    <n v="7.3300000000000004E-2"/>
    <n v="0"/>
    <n v="0"/>
    <x v="0"/>
    <m/>
    <m/>
    <n v="1.9"/>
    <x v="0"/>
  </r>
  <r>
    <n v="21"/>
    <n v="2025"/>
    <s v="BIG01/2025"/>
    <s v="S103/2024"/>
    <s v="BIG BAG N°5"/>
    <x v="2"/>
    <x v="0"/>
    <x v="2"/>
    <m/>
    <n v="1000"/>
    <n v="0"/>
    <n v="1000"/>
    <x v="1"/>
    <n v="1E-3"/>
    <n v="0.04"/>
    <n v="6.6600000000000006E-2"/>
    <n v="0"/>
    <n v="0"/>
    <x v="0"/>
    <m/>
    <m/>
    <n v="1.9"/>
    <x v="0"/>
  </r>
  <r>
    <n v="21"/>
    <n v="2025"/>
    <s v="BIG01/2025"/>
    <s v="S103/2024"/>
    <s v="BIG BAG N°6"/>
    <x v="2"/>
    <x v="0"/>
    <x v="2"/>
    <m/>
    <n v="1000"/>
    <n v="0"/>
    <n v="1000"/>
    <x v="1"/>
    <n v="1E-3"/>
    <n v="3.3300000000000003E-2"/>
    <n v="0.06"/>
    <n v="0"/>
    <n v="0"/>
    <x v="0"/>
    <m/>
    <m/>
    <n v="1.5873333333333335"/>
    <x v="0"/>
  </r>
  <r>
    <n v="21"/>
    <n v="2025"/>
    <s v="BIG01/2025"/>
    <s v="S103/2024"/>
    <s v="BIG BAG N°7"/>
    <x v="2"/>
    <x v="0"/>
    <x v="2"/>
    <m/>
    <n v="1000"/>
    <n v="0"/>
    <n v="1000"/>
    <x v="1"/>
    <n v="1E-3"/>
    <n v="3.3300000000000003E-2"/>
    <n v="7.3300000000000004E-2"/>
    <n v="0"/>
    <n v="0"/>
    <x v="0"/>
    <m/>
    <m/>
    <n v="1.5873333333333335"/>
    <x v="0"/>
  </r>
  <r>
    <n v="21"/>
    <n v="2025"/>
    <s v="BIG01/2025"/>
    <s v="S103/2024"/>
    <s v="BIG BAG N°8"/>
    <x v="2"/>
    <x v="0"/>
    <x v="2"/>
    <m/>
    <n v="1000"/>
    <n v="0"/>
    <n v="1000"/>
    <x v="1"/>
    <n v="1E-3"/>
    <n v="3.6600000000000001E-2"/>
    <n v="7.0000000000000007E-2"/>
    <n v="0"/>
    <n v="0"/>
    <x v="0"/>
    <m/>
    <m/>
    <n v="1.7413333333333334"/>
    <x v="0"/>
  </r>
  <r>
    <n v="21"/>
    <n v="2025"/>
    <s v="BIG01/2025"/>
    <s v="S103/2024"/>
    <s v="BIG BAG N°9"/>
    <x v="2"/>
    <x v="0"/>
    <x v="2"/>
    <m/>
    <n v="1000"/>
    <n v="0"/>
    <n v="1000"/>
    <x v="1"/>
    <n v="0"/>
    <n v="2.6599999999999999E-2"/>
    <n v="6.6600000000000006E-2"/>
    <n v="0"/>
    <n v="0"/>
    <x v="0"/>
    <m/>
    <m/>
    <n v="1.2413333333333332"/>
    <x v="0"/>
  </r>
  <r>
    <n v="21"/>
    <n v="2025"/>
    <s v="BIG01/2025"/>
    <s v="S103/2024"/>
    <s v="BIG BAG N°10"/>
    <x v="2"/>
    <x v="0"/>
    <x v="2"/>
    <m/>
    <n v="1000"/>
    <n v="0"/>
    <n v="1000"/>
    <x v="1"/>
    <n v="1E-3"/>
    <n v="3.6600000000000001E-2"/>
    <n v="7.3300000000000004E-2"/>
    <n v="0"/>
    <n v="0"/>
    <x v="0"/>
    <m/>
    <m/>
    <n v="1.7413333333333334"/>
    <x v="0"/>
  </r>
  <r>
    <n v="21"/>
    <n v="2025"/>
    <s v="BIG01/2025"/>
    <s v="S103/2024"/>
    <s v="BIG BAG N°6"/>
    <x v="2"/>
    <x v="0"/>
    <x v="1"/>
    <m/>
    <n v="1000"/>
    <n v="0"/>
    <n v="1000"/>
    <x v="1"/>
    <n v="1E-3"/>
    <n v="0.03"/>
    <n v="5.6599999999999998E-2"/>
    <n v="0"/>
    <n v="0"/>
    <x v="0"/>
    <m/>
    <m/>
    <n v="1.4333333333333333"/>
    <x v="0"/>
  </r>
  <r>
    <n v="21"/>
    <n v="2025"/>
    <s v="BIG01/2025"/>
    <s v="S103/2024"/>
    <s v="BIG BAG N°7"/>
    <x v="2"/>
    <x v="0"/>
    <x v="1"/>
    <m/>
    <n v="1000"/>
    <n v="0"/>
    <n v="1000"/>
    <x v="1"/>
    <n v="0"/>
    <n v="2.3300000000000001E-2"/>
    <n v="6.3299999999999995E-2"/>
    <n v="0"/>
    <n v="0"/>
    <x v="0"/>
    <m/>
    <m/>
    <n v="1.0873333333333335"/>
    <x v="0"/>
  </r>
  <r>
    <n v="21"/>
    <n v="2025"/>
    <s v="BIG01/2025"/>
    <s v="S103/2024"/>
    <s v="BIG BAG N°11"/>
    <x v="2"/>
    <x v="0"/>
    <x v="2"/>
    <m/>
    <n v="1000"/>
    <n v="0"/>
    <n v="1000"/>
    <x v="1"/>
    <n v="1E-3"/>
    <n v="3.3300000000000003E-2"/>
    <n v="6.3299999999999995E-2"/>
    <n v="0"/>
    <n v="0"/>
    <x v="0"/>
    <m/>
    <m/>
    <n v="1.5873333333333335"/>
    <x v="0"/>
  </r>
  <r>
    <n v="17"/>
    <n v="2025"/>
    <m/>
    <s v="FA03/2025"/>
    <s v="BIG BAG N°"/>
    <x v="0"/>
    <x v="2"/>
    <x v="3"/>
    <m/>
    <n v="645"/>
    <n v="0"/>
    <n v="645"/>
    <x v="0"/>
    <n v="0.55400000000000005"/>
    <n v="0"/>
    <n v="0"/>
    <n v="0"/>
    <n v="0"/>
    <x v="0"/>
    <m/>
    <m/>
    <n v="18.466666666666665"/>
    <x v="4"/>
  </r>
  <r>
    <n v="17"/>
    <n v="2025"/>
    <m/>
    <s v="FA04/2025"/>
    <s v="BIG BAG N°"/>
    <x v="0"/>
    <x v="2"/>
    <x v="3"/>
    <m/>
    <n v="876"/>
    <n v="0"/>
    <n v="876"/>
    <x v="0"/>
    <n v="0.59499999999999997"/>
    <n v="0.18"/>
    <n v="0.17"/>
    <n v="0"/>
    <n v="0"/>
    <x v="0"/>
    <m/>
    <m/>
    <n v="28.233333333333334"/>
    <x v="4"/>
  </r>
  <r>
    <n v="17"/>
    <n v="2025"/>
    <m/>
    <s v="FA04/2025"/>
    <s v="BIG BAG N°"/>
    <x v="0"/>
    <x v="2"/>
    <x v="3"/>
    <m/>
    <n v="1012"/>
    <n v="0"/>
    <n v="1012"/>
    <x v="0"/>
    <n v="0.45800000000000002"/>
    <n v="0.2"/>
    <n v="0.185"/>
    <n v="0"/>
    <n v="0"/>
    <x v="0"/>
    <m/>
    <m/>
    <n v="24.6"/>
    <x v="4"/>
  </r>
  <r>
    <n v="21"/>
    <n v="2025"/>
    <m/>
    <s v="FA02/2025"/>
    <s v="BIG BAG N°1"/>
    <x v="0"/>
    <x v="2"/>
    <x v="2"/>
    <s v="TIPO 2"/>
    <n v="789"/>
    <n v="0"/>
    <n v="789"/>
    <x v="0"/>
    <n v="0.14000000000000001"/>
    <n v="7.4999999999999997E-2"/>
    <n v="0"/>
    <n v="0.11"/>
    <n v="0"/>
    <x v="0"/>
    <m/>
    <m/>
    <n v="10.366666666666667"/>
    <x v="4"/>
  </r>
  <r>
    <n v="21"/>
    <n v="2025"/>
    <m/>
    <s v="FA02/2025"/>
    <s v="BIG BAG N°2"/>
    <x v="0"/>
    <x v="2"/>
    <x v="1"/>
    <s v="TIPO 2"/>
    <n v="872"/>
    <n v="0"/>
    <n v="872"/>
    <x v="0"/>
    <n v="0.158"/>
    <n v="0.06"/>
    <n v="0"/>
    <n v="0.11"/>
    <n v="0"/>
    <x v="0"/>
    <m/>
    <m/>
    <n v="10.266666666666667"/>
    <x v="4"/>
  </r>
  <r>
    <n v="21"/>
    <n v="2025"/>
    <m/>
    <s v="FA02/2025"/>
    <s v="BIG BAG N°3"/>
    <x v="0"/>
    <x v="2"/>
    <x v="1"/>
    <s v="TIPO 1"/>
    <n v="540"/>
    <n v="0"/>
    <n v="540"/>
    <x v="0"/>
    <n v="0.45200000000000001"/>
    <n v="0.115"/>
    <n v="0"/>
    <n v="0.13"/>
    <n v="4.0000000000000001E-3"/>
    <x v="0"/>
    <m/>
    <m/>
    <n v="23.033333333333335"/>
    <x v="4"/>
  </r>
  <r>
    <n v="21"/>
    <n v="2025"/>
    <m/>
    <s v="FA02/2025"/>
    <s v="BIG BAG N°4"/>
    <x v="0"/>
    <x v="2"/>
    <x v="8"/>
    <m/>
    <n v="187"/>
    <n v="0"/>
    <n v="187"/>
    <x v="0"/>
    <n v="1"/>
    <n v="0"/>
    <n v="0"/>
    <n v="0"/>
    <n v="0"/>
    <x v="0"/>
    <m/>
    <m/>
    <n v="33.333333333333336"/>
    <x v="4"/>
  </r>
  <r>
    <n v="21"/>
    <n v="2025"/>
    <m/>
    <s v="FA02/2025"/>
    <s v="BIG BAG N°5"/>
    <x v="0"/>
    <x v="2"/>
    <x v="8"/>
    <m/>
    <n v="526"/>
    <n v="0"/>
    <n v="526"/>
    <x v="0"/>
    <n v="0.90400000000000003"/>
    <n v="0"/>
    <n v="0"/>
    <n v="0"/>
    <n v="0"/>
    <x v="0"/>
    <m/>
    <m/>
    <n v="30.133333333333333"/>
    <x v="4"/>
  </r>
  <r>
    <n v="21"/>
    <n v="2025"/>
    <s v="BIG01/2025"/>
    <s v="S103/2024"/>
    <s v="BIG BAG N°8"/>
    <x v="2"/>
    <x v="0"/>
    <x v="1"/>
    <m/>
    <n v="1000"/>
    <n v="0"/>
    <n v="1000"/>
    <x v="1"/>
    <n v="0"/>
    <n v="0.02"/>
    <n v="7.3300000000000004E-2"/>
    <n v="0"/>
    <n v="0"/>
    <x v="0"/>
    <m/>
    <m/>
    <n v="0.93333333333333335"/>
    <x v="0"/>
  </r>
  <r>
    <n v="21"/>
    <n v="2025"/>
    <s v="BIG01/2025"/>
    <s v="S103/2024"/>
    <s v="BIG BAG N°9"/>
    <x v="2"/>
    <x v="0"/>
    <x v="1"/>
    <m/>
    <n v="1000"/>
    <n v="0"/>
    <n v="1000"/>
    <x v="1"/>
    <n v="0"/>
    <n v="2.3300000000000001E-2"/>
    <n v="6.6600000000000006E-2"/>
    <n v="0"/>
    <n v="0"/>
    <x v="0"/>
    <m/>
    <m/>
    <n v="1.0873333333333335"/>
    <x v="0"/>
  </r>
  <r>
    <n v="21"/>
    <n v="2025"/>
    <s v="BIG01/2025"/>
    <s v="S103/2024"/>
    <s v="BIG BAG N°12"/>
    <x v="2"/>
    <x v="0"/>
    <x v="2"/>
    <m/>
    <n v="1000"/>
    <n v="0"/>
    <n v="1000"/>
    <x v="1"/>
    <n v="1E-3"/>
    <n v="2.6599999999999999E-2"/>
    <n v="7.3300000000000004E-2"/>
    <n v="0"/>
    <n v="0"/>
    <x v="0"/>
    <m/>
    <m/>
    <n v="1.2746666666666664"/>
    <x v="0"/>
  </r>
  <r>
    <n v="21"/>
    <n v="2025"/>
    <s v="BIG01/2025"/>
    <s v="S103/2024"/>
    <s v="BIG BAG N°3"/>
    <x v="2"/>
    <x v="0"/>
    <x v="0"/>
    <m/>
    <n v="1000"/>
    <n v="0"/>
    <n v="1000"/>
    <x v="1"/>
    <n v="2E-3"/>
    <n v="2.3300000000000001E-2"/>
    <n v="6.6600000000000006E-2"/>
    <n v="0"/>
    <n v="0"/>
    <x v="0"/>
    <m/>
    <m/>
    <n v="1.1540000000000001"/>
    <x v="0"/>
  </r>
  <r>
    <n v="21"/>
    <n v="2025"/>
    <s v="BIG01/2025"/>
    <s v="S103/2024"/>
    <s v="BIG BAG N°10"/>
    <x v="2"/>
    <x v="0"/>
    <x v="1"/>
    <m/>
    <n v="1000"/>
    <n v="0"/>
    <n v="1000"/>
    <x v="1"/>
    <n v="1E-3"/>
    <n v="1.3299999999999999E-2"/>
    <n v="6.3299999999999995E-2"/>
    <n v="0"/>
    <n v="0"/>
    <x v="0"/>
    <m/>
    <m/>
    <n v="0.65399999999999991"/>
    <x v="0"/>
  </r>
  <r>
    <n v="21"/>
    <n v="2025"/>
    <s v="BIG01/2025"/>
    <s v="S103/2024"/>
    <s v="BIG BAG N°11"/>
    <x v="2"/>
    <x v="0"/>
    <x v="1"/>
    <m/>
    <n v="1000"/>
    <n v="0"/>
    <n v="1000"/>
    <x v="1"/>
    <n v="0"/>
    <n v="1.66E-2"/>
    <n v="7.3300000000000004E-2"/>
    <n v="0"/>
    <n v="0"/>
    <x v="0"/>
    <m/>
    <m/>
    <n v="0.77466666666666661"/>
    <x v="0"/>
  </r>
  <r>
    <n v="21"/>
    <n v="2025"/>
    <s v="BIG01/2025"/>
    <s v="S103/2024"/>
    <s v="BIG BAG N°"/>
    <x v="2"/>
    <x v="1"/>
    <x v="4"/>
    <m/>
    <n v="1106"/>
    <n v="0"/>
    <n v="1106"/>
    <x v="1"/>
    <n v="4.4999999999999998E-2"/>
    <n v="0"/>
    <n v="0"/>
    <n v="0"/>
    <n v="2E-3"/>
    <x v="0"/>
    <m/>
    <m/>
    <n v="1.5"/>
    <x v="0"/>
  </r>
  <r>
    <n v="21"/>
    <n v="2025"/>
    <s v="BIG01/2025"/>
    <s v="S103/2024"/>
    <s v="BIG BAG N°4"/>
    <x v="2"/>
    <x v="0"/>
    <x v="0"/>
    <m/>
    <n v="1000"/>
    <n v="0"/>
    <n v="1000"/>
    <x v="1"/>
    <n v="2E-3"/>
    <n v="1.66E-2"/>
    <n v="4.6600000000000003E-2"/>
    <n v="0"/>
    <n v="0"/>
    <x v="0"/>
    <m/>
    <m/>
    <n v="0.84133333333333327"/>
    <x v="0"/>
  </r>
  <r>
    <n v="21"/>
    <n v="2025"/>
    <s v="BIG01/2025"/>
    <s v="S103/2024"/>
    <s v="BIG BAG N°12"/>
    <x v="2"/>
    <x v="0"/>
    <x v="1"/>
    <m/>
    <n v="1000"/>
    <n v="0"/>
    <n v="1000"/>
    <x v="1"/>
    <n v="0"/>
    <n v="0.01"/>
    <n v="6.3299999999999995E-2"/>
    <n v="0"/>
    <n v="0"/>
    <x v="0"/>
    <m/>
    <m/>
    <n v="0.46666666666666667"/>
    <x v="0"/>
  </r>
  <r>
    <n v="21"/>
    <n v="2025"/>
    <s v="BIG01/2025"/>
    <s v="S103/2024"/>
    <s v="BIG BAG N°13"/>
    <x v="2"/>
    <x v="0"/>
    <x v="2"/>
    <m/>
    <n v="1000"/>
    <n v="0"/>
    <n v="1000"/>
    <x v="1"/>
    <n v="1E-3"/>
    <n v="2.3300000000000001E-2"/>
    <n v="7.0000000000000007E-2"/>
    <n v="0"/>
    <n v="0"/>
    <x v="0"/>
    <m/>
    <m/>
    <n v="1.1206666666666669"/>
    <x v="0"/>
  </r>
  <r>
    <n v="21"/>
    <n v="2025"/>
    <s v="BIG01/2025"/>
    <s v="S103/2024"/>
    <s v="BIG BAG N°14"/>
    <x v="2"/>
    <x v="0"/>
    <x v="2"/>
    <m/>
    <n v="1000"/>
    <n v="0"/>
    <n v="1000"/>
    <x v="1"/>
    <n v="1E-3"/>
    <n v="0.02"/>
    <n v="6.6600000000000006E-2"/>
    <n v="0"/>
    <n v="0"/>
    <x v="0"/>
    <m/>
    <m/>
    <n v="0.96666666666666667"/>
    <x v="0"/>
  </r>
  <r>
    <n v="21"/>
    <n v="2025"/>
    <s v="BIG01/2025"/>
    <s v="S103/2024"/>
    <s v="BIG BAG N°"/>
    <x v="2"/>
    <x v="2"/>
    <x v="2"/>
    <s v="TIPO 2"/>
    <n v="613"/>
    <n v="0"/>
    <n v="613"/>
    <x v="1"/>
    <n v="0.436"/>
    <n v="0"/>
    <n v="0"/>
    <n v="0"/>
    <n v="0.192"/>
    <x v="0"/>
    <m/>
    <m/>
    <n v="14.533333333333333"/>
    <x v="4"/>
  </r>
  <r>
    <n v="21"/>
    <n v="2025"/>
    <s v="BIG01/2025"/>
    <s v="S103/2024"/>
    <s v="BIG BAG N°"/>
    <x v="2"/>
    <x v="2"/>
    <x v="1"/>
    <s v="TIPO 2"/>
    <n v="510"/>
    <n v="0"/>
    <n v="510"/>
    <x v="1"/>
    <n v="0.52600000000000002"/>
    <n v="0"/>
    <n v="0"/>
    <n v="0"/>
    <n v="0.18"/>
    <x v="0"/>
    <m/>
    <m/>
    <n v="17.533333333333335"/>
    <x v="4"/>
  </r>
  <r>
    <n v="21"/>
    <n v="2025"/>
    <s v="BIG01/2025"/>
    <s v="S103/2024"/>
    <s v="BIG BAG N°5"/>
    <x v="2"/>
    <x v="0"/>
    <x v="0"/>
    <m/>
    <n v="1000"/>
    <n v="0"/>
    <n v="1000"/>
    <x v="1"/>
    <n v="0"/>
    <n v="6.6E-3"/>
    <n v="4.3299999999999998E-2"/>
    <n v="0"/>
    <n v="0"/>
    <x v="0"/>
    <m/>
    <m/>
    <n v="0.308"/>
    <x v="0"/>
  </r>
  <r>
    <n v="21"/>
    <n v="2025"/>
    <s v="BIG01/2025"/>
    <s v="S103/2024"/>
    <s v="BIG BAG N°15"/>
    <x v="2"/>
    <x v="0"/>
    <x v="2"/>
    <m/>
    <n v="1000"/>
    <n v="0"/>
    <n v="1000"/>
    <x v="1"/>
    <n v="0"/>
    <n v="1.3299999999999999E-2"/>
    <n v="5.6599999999999998E-2"/>
    <n v="0"/>
    <n v="0"/>
    <x v="0"/>
    <m/>
    <m/>
    <n v="0.62066666666666659"/>
    <x v="0"/>
  </r>
  <r>
    <n v="21"/>
    <n v="2025"/>
    <m/>
    <s v="FA05/2025"/>
    <s v="BIG BAG N°55"/>
    <x v="0"/>
    <x v="0"/>
    <x v="1"/>
    <m/>
    <n v="1000"/>
    <n v="0"/>
    <n v="1000"/>
    <x v="0"/>
    <n v="8.0000000000000002E-3"/>
    <n v="4.6600000000000003E-2"/>
    <n v="0"/>
    <n v="7.0000000000000007E-2"/>
    <m/>
    <x v="0"/>
    <m/>
    <m/>
    <n v="3.8413333333333335"/>
    <x v="2"/>
  </r>
  <r>
    <n v="21"/>
    <n v="2025"/>
    <m/>
    <s v="FA05/2025"/>
    <s v="BIG BAG N°56"/>
    <x v="0"/>
    <x v="0"/>
    <x v="1"/>
    <m/>
    <n v="1000"/>
    <n v="0"/>
    <n v="1000"/>
    <x v="0"/>
    <n v="8.0000000000000002E-3"/>
    <n v="3.6600000000000001E-2"/>
    <n v="0"/>
    <n v="5.33E-2"/>
    <m/>
    <x v="0"/>
    <m/>
    <m/>
    <n v="3.0406666666666666"/>
    <x v="2"/>
  </r>
  <r>
    <n v="21"/>
    <n v="2025"/>
    <m/>
    <s v="FA05/2025"/>
    <s v="BIG BAG N°57"/>
    <x v="0"/>
    <x v="0"/>
    <x v="1"/>
    <m/>
    <n v="1000"/>
    <n v="0"/>
    <n v="1000"/>
    <x v="0"/>
    <n v="6.0000000000000001E-3"/>
    <n v="7.3300000000000004E-2"/>
    <n v="0"/>
    <n v="0.17330000000000001"/>
    <m/>
    <x v="0"/>
    <m/>
    <m/>
    <n v="7.0866666666666678"/>
    <x v="5"/>
  </r>
  <r>
    <n v="21"/>
    <n v="2025"/>
    <m/>
    <s v="FA05/2025"/>
    <s v="BIG BAG N°58"/>
    <x v="0"/>
    <x v="0"/>
    <x v="1"/>
    <m/>
    <n v="1000"/>
    <n v="0"/>
    <n v="1000"/>
    <x v="0"/>
    <n v="6.0000000000000001E-3"/>
    <n v="5.6599999999999998E-2"/>
    <n v="0"/>
    <n v="0.1066"/>
    <m/>
    <x v="0"/>
    <m/>
    <m/>
    <n v="4.9733333333333336"/>
    <x v="3"/>
  </r>
  <r>
    <n v="21"/>
    <n v="2025"/>
    <m/>
    <s v="FA05/2025"/>
    <s v="BIG BAG N°59"/>
    <x v="0"/>
    <x v="0"/>
    <x v="1"/>
    <m/>
    <n v="1000"/>
    <n v="0"/>
    <n v="1000"/>
    <x v="0"/>
    <n v="3.0000000000000001E-3"/>
    <n v="8.3299999999999999E-2"/>
    <n v="0"/>
    <n v="7.3300000000000004E-2"/>
    <m/>
    <x v="0"/>
    <m/>
    <m/>
    <n v="5.453333333333334"/>
    <x v="3"/>
  </r>
  <r>
    <n v="21"/>
    <n v="2025"/>
    <s v="BIG01/2025"/>
    <s v="S103/2025"/>
    <s v="BIG BAG N°"/>
    <x v="2"/>
    <x v="1"/>
    <x v="7"/>
    <m/>
    <n v="1000"/>
    <n v="0"/>
    <n v="1000"/>
    <x v="1"/>
    <n v="4.8000000000000001E-2"/>
    <n v="0"/>
    <n v="0"/>
    <n v="0"/>
    <n v="0"/>
    <x v="0"/>
    <m/>
    <m/>
    <n v="1.6"/>
    <x v="0"/>
  </r>
  <r>
    <n v="21"/>
    <n v="2025"/>
    <m/>
    <s v="FA05/2025"/>
    <s v="BIG BAG N°90"/>
    <x v="0"/>
    <x v="0"/>
    <x v="2"/>
    <m/>
    <n v="1000"/>
    <n v="0"/>
    <n v="1000"/>
    <x v="0"/>
    <n v="2E-3"/>
    <n v="5.6599999999999998E-2"/>
    <n v="0"/>
    <n v="8.3299999999999999E-2"/>
    <n v="0"/>
    <x v="0"/>
    <m/>
    <m/>
    <n v="4.3740000000000006"/>
    <x v="2"/>
  </r>
  <r>
    <n v="21"/>
    <n v="2025"/>
    <s v="BIG01/2025"/>
    <s v="S101-S102/2024"/>
    <s v="BIG BAG N°"/>
    <x v="2"/>
    <x v="1"/>
    <x v="7"/>
    <m/>
    <n v="1000"/>
    <n v="0"/>
    <n v="1000"/>
    <x v="1"/>
    <n v="5.1999999999999998E-2"/>
    <m/>
    <m/>
    <m/>
    <m/>
    <x v="0"/>
    <m/>
    <m/>
    <n v="1.7333333333333334"/>
    <x v="0"/>
  </r>
  <r>
    <n v="20"/>
    <n v="2025"/>
    <m/>
    <s v="FA05/2025"/>
    <s v="BIG BAG N°"/>
    <x v="0"/>
    <x v="2"/>
    <x v="3"/>
    <m/>
    <n v="930"/>
    <n v="0"/>
    <n v="930"/>
    <x v="0"/>
    <n v="0.502"/>
    <n v="0.17"/>
    <n v="0.15"/>
    <m/>
    <m/>
    <x v="0"/>
    <m/>
    <m/>
    <n v="24.666666666666668"/>
    <x v="4"/>
  </r>
  <r>
    <n v="20"/>
    <n v="2025"/>
    <m/>
    <s v="FA02/2025"/>
    <s v="BIG BAG N°"/>
    <x v="0"/>
    <x v="2"/>
    <x v="3"/>
    <m/>
    <n v="890"/>
    <n v="0"/>
    <n v="890"/>
    <x v="0"/>
    <m/>
    <m/>
    <m/>
    <m/>
    <m/>
    <x v="0"/>
    <m/>
    <m/>
    <n v="0"/>
    <x v="0"/>
  </r>
  <r>
    <n v="20"/>
    <n v="2025"/>
    <m/>
    <s v="FA02/2025"/>
    <s v="BIG BAG N°"/>
    <x v="0"/>
    <x v="2"/>
    <x v="3"/>
    <m/>
    <n v="988"/>
    <n v="0"/>
    <n v="988"/>
    <x v="0"/>
    <m/>
    <m/>
    <m/>
    <m/>
    <m/>
    <x v="0"/>
    <m/>
    <m/>
    <n v="0"/>
    <x v="0"/>
  </r>
  <r>
    <n v="20"/>
    <n v="2025"/>
    <m/>
    <s v="FA02/2025"/>
    <s v="BIG BAG N°"/>
    <x v="0"/>
    <x v="2"/>
    <x v="3"/>
    <m/>
    <n v="1000"/>
    <n v="0"/>
    <n v="1000"/>
    <x v="0"/>
    <m/>
    <m/>
    <m/>
    <m/>
    <m/>
    <x v="0"/>
    <m/>
    <m/>
    <n v="0"/>
    <x v="0"/>
  </r>
  <r>
    <n v="20"/>
    <n v="2025"/>
    <m/>
    <s v="FA03/2025"/>
    <s v="BIG BAG N°"/>
    <x v="0"/>
    <x v="2"/>
    <x v="3"/>
    <m/>
    <n v="997"/>
    <n v="0"/>
    <n v="997"/>
    <x v="0"/>
    <m/>
    <m/>
    <m/>
    <m/>
    <m/>
    <x v="0"/>
    <m/>
    <m/>
    <n v="0"/>
    <x v="0"/>
  </r>
  <r>
    <n v="20"/>
    <n v="2025"/>
    <m/>
    <s v="FA03/2025"/>
    <s v="BIG BAG N°"/>
    <x v="0"/>
    <x v="2"/>
    <x v="3"/>
    <m/>
    <n v="932"/>
    <n v="0"/>
    <n v="932"/>
    <x v="0"/>
    <m/>
    <m/>
    <m/>
    <m/>
    <m/>
    <x v="0"/>
    <m/>
    <m/>
    <n v="0"/>
    <x v="0"/>
  </r>
  <r>
    <n v="20"/>
    <n v="2025"/>
    <m/>
    <s v="FA04/2025"/>
    <s v="BIG BAG N°"/>
    <x v="0"/>
    <x v="2"/>
    <x v="3"/>
    <m/>
    <n v="1020"/>
    <n v="0"/>
    <n v="1020"/>
    <x v="0"/>
    <m/>
    <m/>
    <m/>
    <m/>
    <m/>
    <x v="0"/>
    <m/>
    <m/>
    <n v="0"/>
    <x v="0"/>
  </r>
  <r>
    <n v="20"/>
    <n v="2025"/>
    <m/>
    <s v="FA04/2025"/>
    <s v="BIG BAG N°"/>
    <x v="0"/>
    <x v="2"/>
    <x v="3"/>
    <m/>
    <n v="953"/>
    <n v="0"/>
    <n v="953"/>
    <x v="0"/>
    <m/>
    <m/>
    <m/>
    <m/>
    <m/>
    <x v="0"/>
    <m/>
    <m/>
    <n v="0"/>
    <x v="0"/>
  </r>
  <r>
    <n v="20"/>
    <n v="2025"/>
    <m/>
    <s v="FA05/2025"/>
    <s v="BIG BAG N°"/>
    <x v="0"/>
    <x v="2"/>
    <x v="3"/>
    <m/>
    <n v="950"/>
    <n v="0"/>
    <n v="950"/>
    <x v="0"/>
    <m/>
    <m/>
    <m/>
    <m/>
    <m/>
    <x v="0"/>
    <m/>
    <m/>
    <n v="0"/>
    <x v="0"/>
  </r>
  <r>
    <n v="21"/>
    <n v="2025"/>
    <s v="BIG01/2025"/>
    <s v="S122A/2024"/>
    <s v="BIG BAG N°"/>
    <x v="1"/>
    <x v="1"/>
    <x v="7"/>
    <m/>
    <n v="1000"/>
    <n v="0"/>
    <n v="1000"/>
    <x v="1"/>
    <n v="3.7999999999999999E-2"/>
    <m/>
    <m/>
    <m/>
    <m/>
    <x v="0"/>
    <m/>
    <m/>
    <n v="1.2666666666666666"/>
    <x v="0"/>
  </r>
  <r>
    <n v="22"/>
    <n v="2025"/>
    <s v="BIG01/2025"/>
    <s v="S121R/2024"/>
    <s v="BIG BAG N°4"/>
    <x v="1"/>
    <x v="0"/>
    <x v="0"/>
    <m/>
    <n v="1000"/>
    <n v="0"/>
    <n v="1000"/>
    <x v="1"/>
    <n v="0"/>
    <n v="3.3E-3"/>
    <n v="3.3300000000000003E-2"/>
    <n v="0"/>
    <n v="0"/>
    <x v="0"/>
    <m/>
    <m/>
    <n v="0.154"/>
    <x v="0"/>
  </r>
  <r>
    <n v="22"/>
    <n v="2025"/>
    <s v="BIG01/2025"/>
    <s v="S121R/2024"/>
    <s v="BIG BAG N°5"/>
    <x v="1"/>
    <x v="0"/>
    <x v="0"/>
    <m/>
    <n v="1000"/>
    <n v="0"/>
    <n v="1000"/>
    <x v="1"/>
    <n v="0"/>
    <n v="0"/>
    <n v="2.6599999999999999E-2"/>
    <n v="0"/>
    <n v="0"/>
    <x v="0"/>
    <m/>
    <m/>
    <n v="0"/>
    <x v="0"/>
  </r>
  <r>
    <n v="22"/>
    <n v="2025"/>
    <s v="BIG01/2025"/>
    <s v="S121R/2024"/>
    <s v="BIG BAG N°6"/>
    <x v="1"/>
    <x v="0"/>
    <x v="0"/>
    <m/>
    <n v="246"/>
    <n v="0"/>
    <n v="246"/>
    <x v="1"/>
    <n v="0"/>
    <n v="0"/>
    <n v="2.6599999999999999E-2"/>
    <n v="0"/>
    <n v="0"/>
    <x v="0"/>
    <m/>
    <m/>
    <n v="0"/>
    <x v="0"/>
  </r>
  <r>
    <n v="22"/>
    <n v="2025"/>
    <s v="BIG01/2025"/>
    <s v="S121R/2024"/>
    <s v="BIG BAG N°6"/>
    <x v="1"/>
    <x v="0"/>
    <x v="1"/>
    <m/>
    <n v="366"/>
    <n v="0"/>
    <n v="366"/>
    <x v="1"/>
    <n v="0"/>
    <n v="3.3E-3"/>
    <n v="3.6600000000000001E-2"/>
    <n v="0"/>
    <n v="0"/>
    <x v="0"/>
    <m/>
    <m/>
    <n v="0.154"/>
    <x v="0"/>
  </r>
  <r>
    <n v="22"/>
    <n v="2025"/>
    <s v="BIG01/2025"/>
    <s v="S121R/2024"/>
    <s v="BIG BAG N°5"/>
    <x v="1"/>
    <x v="0"/>
    <x v="2"/>
    <m/>
    <n v="988"/>
    <n v="0"/>
    <n v="988"/>
    <x v="1"/>
    <n v="0"/>
    <n v="3.3E-3"/>
    <n v="5.6599999999999998E-2"/>
    <n v="0"/>
    <n v="0"/>
    <x v="0"/>
    <m/>
    <m/>
    <n v="0.154"/>
    <x v="0"/>
  </r>
  <r>
    <n v="21"/>
    <n v="2025"/>
    <s v="BIG01/2025"/>
    <s v="S121R/2024"/>
    <s v="BIG BAG N°"/>
    <x v="1"/>
    <x v="1"/>
    <x v="7"/>
    <m/>
    <n v="1000"/>
    <n v="0"/>
    <n v="1000"/>
    <x v="1"/>
    <n v="4.5999999999999999E-2"/>
    <n v="0"/>
    <n v="0"/>
    <n v="0"/>
    <n v="0"/>
    <x v="0"/>
    <m/>
    <m/>
    <n v="1.5333333333333334"/>
    <x v="0"/>
  </r>
  <r>
    <n v="21"/>
    <n v="2025"/>
    <s v="BIG01/2025"/>
    <s v="S109/2024"/>
    <s v="BIG BAG N°"/>
    <x v="1"/>
    <x v="1"/>
    <x v="7"/>
    <m/>
    <n v="380"/>
    <n v="0"/>
    <n v="380"/>
    <x v="1"/>
    <n v="4.5999999999999999E-2"/>
    <n v="0"/>
    <n v="0"/>
    <n v="0"/>
    <n v="0"/>
    <x v="0"/>
    <m/>
    <m/>
    <n v="1.5333333333333334"/>
    <x v="0"/>
  </r>
  <r>
    <n v="22"/>
    <n v="2025"/>
    <m/>
    <s v="SG05/2025"/>
    <s v="BIG BAG N°1"/>
    <x v="4"/>
    <x v="0"/>
    <x v="2"/>
    <m/>
    <n v="1000"/>
    <n v="0"/>
    <n v="1000"/>
    <x v="2"/>
    <n v="2E-3"/>
    <n v="3.5000000000000003E-2"/>
    <n v="0"/>
    <n v="1.4999999999999999E-2"/>
    <n v="0"/>
    <x v="0"/>
    <m/>
    <m/>
    <n v="2.0000000000000004"/>
    <x v="0"/>
  </r>
  <r>
    <n v="22"/>
    <n v="2025"/>
    <m/>
    <s v="SG05/2025"/>
    <s v="BIG BAG N°2"/>
    <x v="4"/>
    <x v="0"/>
    <x v="2"/>
    <m/>
    <n v="1000"/>
    <n v="0"/>
    <n v="1000"/>
    <x v="2"/>
    <n v="2E-3"/>
    <n v="3.5000000000000003E-2"/>
    <n v="0"/>
    <n v="2.5000000000000001E-2"/>
    <n v="0"/>
    <x v="0"/>
    <m/>
    <m/>
    <n v="2.2000000000000002"/>
    <x v="0"/>
  </r>
  <r>
    <n v="22"/>
    <n v="2025"/>
    <m/>
    <s v="SG05/2025"/>
    <s v="BIG BAG N°4"/>
    <x v="4"/>
    <x v="0"/>
    <x v="2"/>
    <m/>
    <n v="1000"/>
    <n v="0"/>
    <n v="1000"/>
    <x v="2"/>
    <n v="1E-3"/>
    <n v="1.4999999999999999E-2"/>
    <n v="0"/>
    <n v="2.5000000000000001E-2"/>
    <n v="0"/>
    <x v="1"/>
    <m/>
    <s v="Aruba"/>
    <n v="1.2333333333333334"/>
    <x v="0"/>
  </r>
  <r>
    <n v="22"/>
    <n v="2025"/>
    <m/>
    <s v="SG05/2025"/>
    <s v="BIG BAG N°1"/>
    <x v="4"/>
    <x v="0"/>
    <x v="1"/>
    <m/>
    <n v="1000"/>
    <n v="0"/>
    <n v="1000"/>
    <x v="2"/>
    <n v="1E-3"/>
    <n v="3.5000000000000003E-2"/>
    <n v="0"/>
    <n v="0.03"/>
    <n v="0"/>
    <x v="0"/>
    <m/>
    <m/>
    <n v="2.2666666666666666"/>
    <x v="0"/>
  </r>
  <r>
    <n v="22"/>
    <n v="2025"/>
    <m/>
    <s v="SG05/2025"/>
    <s v="BIG BAG N°2"/>
    <x v="4"/>
    <x v="0"/>
    <x v="1"/>
    <m/>
    <n v="1000"/>
    <n v="0"/>
    <n v="1000"/>
    <x v="2"/>
    <n v="2E-3"/>
    <n v="0.04"/>
    <n v="0"/>
    <n v="3.5000000000000003E-2"/>
    <n v="0"/>
    <x v="0"/>
    <m/>
    <m/>
    <n v="2.6333333333333333"/>
    <x v="1"/>
  </r>
  <r>
    <n v="22"/>
    <n v="2025"/>
    <m/>
    <s v="FA05/2025"/>
    <s v="BIG BAG °18"/>
    <x v="0"/>
    <x v="0"/>
    <x v="0"/>
    <m/>
    <n v="1000"/>
    <n v="0"/>
    <n v="1000"/>
    <x v="0"/>
    <n v="7.0000000000000001E-3"/>
    <n v="2.3300000000000001E-2"/>
    <n v="0"/>
    <n v="5.33E-2"/>
    <n v="0"/>
    <x v="0"/>
    <m/>
    <m/>
    <n v="2.3866666666666672"/>
    <x v="0"/>
  </r>
  <r>
    <n v="22"/>
    <n v="2025"/>
    <m/>
    <s v="FA05/2025"/>
    <s v="BIG BAG °19"/>
    <x v="0"/>
    <x v="0"/>
    <x v="0"/>
    <m/>
    <n v="1000"/>
    <n v="0"/>
    <n v="1000"/>
    <x v="0"/>
    <n v="6.0000000000000001E-3"/>
    <n v="3.3300000000000003E-2"/>
    <n v="0"/>
    <n v="5.33E-2"/>
    <n v="0"/>
    <x v="0"/>
    <m/>
    <m/>
    <n v="2.8200000000000003"/>
    <x v="1"/>
  </r>
  <r>
    <n v="19"/>
    <n v="2025"/>
    <s v="BIG05/2024"/>
    <s v="S121R/2024"/>
    <s v="BIG BAG N°1"/>
    <x v="1"/>
    <x v="0"/>
    <x v="1"/>
    <m/>
    <n v="1000"/>
    <n v="0"/>
    <n v="1000"/>
    <x v="1"/>
    <n v="1E-3"/>
    <n v="0.02"/>
    <n v="2.6599999999999999E-2"/>
    <n v="0"/>
    <n v="0"/>
    <x v="0"/>
    <m/>
    <m/>
    <n v="0.96666666666666667"/>
    <x v="0"/>
  </r>
  <r>
    <n v="19"/>
    <n v="2025"/>
    <s v="BIG05/2024"/>
    <s v="S121R/2024"/>
    <s v="BIG BAG N°2"/>
    <x v="1"/>
    <x v="0"/>
    <x v="1"/>
    <m/>
    <n v="1000"/>
    <n v="0"/>
    <n v="1000"/>
    <x v="1"/>
    <n v="0"/>
    <n v="1.3299999999999999E-2"/>
    <n v="0.02"/>
    <n v="0"/>
    <n v="0"/>
    <x v="0"/>
    <m/>
    <m/>
    <n v="0.62066666666666659"/>
    <x v="0"/>
  </r>
  <r>
    <n v="19"/>
    <n v="2025"/>
    <s v="BIG05/2024"/>
    <s v="S121R/2024"/>
    <s v="BIG BAG N°3"/>
    <x v="1"/>
    <x v="0"/>
    <x v="1"/>
    <m/>
    <n v="1000"/>
    <n v="0"/>
    <n v="1000"/>
    <x v="1"/>
    <n v="0"/>
    <n v="3.0000000000000001E-3"/>
    <n v="1.3299999999999999E-2"/>
    <n v="0"/>
    <n v="0"/>
    <x v="0"/>
    <m/>
    <m/>
    <n v="0.14000000000000001"/>
    <x v="0"/>
  </r>
  <r>
    <n v="19"/>
    <n v="2025"/>
    <s v="BIG05/2024"/>
    <s v="S121R/2024"/>
    <s v="BIG BAG N°1"/>
    <x v="1"/>
    <x v="0"/>
    <x v="2"/>
    <m/>
    <n v="1000"/>
    <n v="0"/>
    <n v="1000"/>
    <x v="1"/>
    <n v="1E-3"/>
    <n v="2.3300000000000001E-2"/>
    <n v="0.12330000000000001"/>
    <n v="0"/>
    <n v="0"/>
    <x v="0"/>
    <m/>
    <m/>
    <n v="1.1206666666666669"/>
    <x v="0"/>
  </r>
  <r>
    <n v="19"/>
    <n v="2025"/>
    <s v="BIG05/2024"/>
    <s v="S121R/2024"/>
    <s v="BIG BAG N°2"/>
    <x v="1"/>
    <x v="0"/>
    <x v="2"/>
    <m/>
    <n v="1000"/>
    <n v="0"/>
    <n v="1000"/>
    <x v="1"/>
    <n v="1E-3"/>
    <n v="0.02"/>
    <n v="0.05"/>
    <n v="0"/>
    <n v="0"/>
    <x v="0"/>
    <m/>
    <m/>
    <n v="0.96666666666666667"/>
    <x v="0"/>
  </r>
  <r>
    <n v="19"/>
    <n v="2025"/>
    <s v="BIG05/2024"/>
    <s v="S121R/2024"/>
    <s v="BIG BAG N°3"/>
    <x v="1"/>
    <x v="0"/>
    <x v="2"/>
    <m/>
    <n v="1000"/>
    <n v="0"/>
    <n v="1000"/>
    <x v="1"/>
    <n v="0"/>
    <n v="0"/>
    <n v="2.6599999999999999E-2"/>
    <n v="0"/>
    <n v="0"/>
    <x v="0"/>
    <m/>
    <m/>
    <n v="0"/>
    <x v="0"/>
  </r>
  <r>
    <n v="19"/>
    <n v="2025"/>
    <s v="BIG05/2024"/>
    <s v="S122A/2024"/>
    <s v="BIG BAG N°1"/>
    <x v="1"/>
    <x v="0"/>
    <x v="1"/>
    <m/>
    <n v="1000"/>
    <n v="0"/>
    <n v="1000"/>
    <x v="1"/>
    <n v="4.0000000000000001E-3"/>
    <n v="1.66E-2"/>
    <n v="5.6599999999999998E-2"/>
    <n v="0"/>
    <n v="0"/>
    <x v="0"/>
    <m/>
    <m/>
    <n v="0.90799999999999992"/>
    <x v="0"/>
  </r>
  <r>
    <n v="19"/>
    <n v="2025"/>
    <s v="BIG05/2024"/>
    <s v="S122A/2024"/>
    <s v="BIG BAG N°2"/>
    <x v="1"/>
    <x v="0"/>
    <x v="1"/>
    <m/>
    <n v="1000"/>
    <n v="0"/>
    <n v="1000"/>
    <x v="1"/>
    <n v="0"/>
    <n v="6.6E-3"/>
    <n v="0.06"/>
    <n v="0"/>
    <n v="0"/>
    <x v="0"/>
    <m/>
    <m/>
    <n v="0.308"/>
    <x v="0"/>
  </r>
  <r>
    <n v="19"/>
    <n v="2025"/>
    <m/>
    <s v="SG05/2025"/>
    <s v="BIG BAG °3"/>
    <x v="4"/>
    <x v="0"/>
    <x v="1"/>
    <m/>
    <n v="1000"/>
    <n v="0"/>
    <n v="1000"/>
    <x v="2"/>
    <n v="2E-3"/>
    <n v="0.04"/>
    <n v="0.03"/>
    <n v="0"/>
    <n v="0"/>
    <x v="0"/>
    <m/>
    <m/>
    <n v="1.9333333333333333"/>
    <x v="0"/>
  </r>
  <r>
    <n v="19"/>
    <n v="2025"/>
    <m/>
    <s v="SG05/2025"/>
    <s v="BIG BAN °5"/>
    <x v="4"/>
    <x v="0"/>
    <x v="2"/>
    <m/>
    <n v="1000"/>
    <n v="0"/>
    <n v="1000"/>
    <x v="2"/>
    <n v="2E-3"/>
    <n v="2.5000000000000001E-2"/>
    <n v="0.04"/>
    <n v="0"/>
    <n v="0"/>
    <x v="0"/>
    <m/>
    <m/>
    <n v="1.2333333333333334"/>
    <x v="0"/>
  </r>
  <r>
    <n v="19"/>
    <n v="2025"/>
    <m/>
    <s v="SG05/2025"/>
    <s v="BIG BAG °4"/>
    <x v="4"/>
    <x v="0"/>
    <x v="1"/>
    <m/>
    <n v="1000"/>
    <n v="0"/>
    <n v="1000"/>
    <x v="2"/>
    <n v="3.0000000000000001E-3"/>
    <n v="0.04"/>
    <n v="4.7E-2"/>
    <n v="0"/>
    <n v="0"/>
    <x v="0"/>
    <m/>
    <m/>
    <n v="1.9666666666666666"/>
    <x v="0"/>
  </r>
  <r>
    <n v="19"/>
    <n v="2025"/>
    <m/>
    <s v="SG05/2025"/>
    <s v="BIG BAG °6"/>
    <x v="4"/>
    <x v="0"/>
    <x v="2"/>
    <m/>
    <n v="1000"/>
    <n v="0"/>
    <n v="1000"/>
    <x v="2"/>
    <n v="3.0000000000000001E-3"/>
    <n v="0.03"/>
    <n v="4.4999999999999998E-2"/>
    <n v="0"/>
    <n v="0"/>
    <x v="0"/>
    <m/>
    <m/>
    <n v="1.5"/>
    <x v="0"/>
  </r>
  <r>
    <n v="19"/>
    <n v="2025"/>
    <m/>
    <s v="SG05/2025"/>
    <s v="BIG BAG °5"/>
    <x v="4"/>
    <x v="0"/>
    <x v="1"/>
    <m/>
    <n v="1000"/>
    <n v="0"/>
    <n v="1000"/>
    <x v="2"/>
    <n v="3.0000000000000001E-3"/>
    <n v="0.05"/>
    <n v="0.04"/>
    <n v="0"/>
    <n v="0"/>
    <x v="0"/>
    <m/>
    <m/>
    <n v="2.4333333333333331"/>
    <x v="0"/>
  </r>
  <r>
    <n v="20"/>
    <n v="2025"/>
    <m/>
    <s v="SG05/2025"/>
    <s v="BIG BAG °6"/>
    <x v="4"/>
    <x v="0"/>
    <x v="1"/>
    <m/>
    <n v="1000"/>
    <n v="0"/>
    <n v="1000"/>
    <x v="2"/>
    <n v="1E-3"/>
    <n v="1.4999999999999999E-2"/>
    <n v="4.4999999999999998E-2"/>
    <n v="0"/>
    <n v="0"/>
    <x v="0"/>
    <m/>
    <m/>
    <n v="0.73333333333333328"/>
    <x v="0"/>
  </r>
  <r>
    <n v="20"/>
    <n v="2025"/>
    <m/>
    <s v="SG05/2025"/>
    <s v="BIG BAG N°7"/>
    <x v="4"/>
    <x v="0"/>
    <x v="2"/>
    <m/>
    <n v="1000"/>
    <n v="0"/>
    <n v="1000"/>
    <x v="2"/>
    <n v="1E-3"/>
    <n v="2.5000000000000001E-2"/>
    <n v="5.5E-2"/>
    <n v="0"/>
    <n v="0"/>
    <x v="0"/>
    <m/>
    <m/>
    <n v="1.2"/>
    <x v="0"/>
  </r>
  <r>
    <n v="20"/>
    <n v="2025"/>
    <m/>
    <s v="SG05/2025"/>
    <s v="BIG BAG N°7"/>
    <x v="4"/>
    <x v="0"/>
    <x v="1"/>
    <m/>
    <n v="1000"/>
    <n v="0"/>
    <n v="1000"/>
    <x v="2"/>
    <n v="3.0000000000000001E-3"/>
    <n v="0.04"/>
    <n v="4.4999999999999998E-2"/>
    <n v="0"/>
    <n v="0"/>
    <x v="0"/>
    <m/>
    <m/>
    <n v="1.9666666666666666"/>
    <x v="0"/>
  </r>
  <r>
    <n v="20"/>
    <n v="2025"/>
    <m/>
    <s v="SG05/2025"/>
    <s v="BIG BAG N°8"/>
    <x v="4"/>
    <x v="0"/>
    <x v="2"/>
    <m/>
    <n v="1000"/>
    <n v="0"/>
    <n v="1000"/>
    <x v="2"/>
    <n v="4.0000000000000001E-3"/>
    <n v="3.5000000000000003E-2"/>
    <n v="0.05"/>
    <n v="0"/>
    <n v="0"/>
    <x v="0"/>
    <m/>
    <m/>
    <n v="1.7666666666666668"/>
    <x v="0"/>
  </r>
  <r>
    <n v="20"/>
    <n v="2025"/>
    <m/>
    <s v="SG05/2025"/>
    <s v="BIG BAG N°9"/>
    <x v="4"/>
    <x v="0"/>
    <x v="2"/>
    <m/>
    <n v="1000"/>
    <n v="0"/>
    <n v="1000"/>
    <x v="2"/>
    <n v="2E-3"/>
    <n v="0.02"/>
    <n v="4.4999999999999998E-2"/>
    <n v="0"/>
    <n v="0"/>
    <x v="0"/>
    <m/>
    <m/>
    <n v="1"/>
    <x v="0"/>
  </r>
  <r>
    <n v="20"/>
    <n v="2025"/>
    <m/>
    <s v="SG05/2025"/>
    <s v="BIG BAG N°1"/>
    <x v="4"/>
    <x v="0"/>
    <x v="0"/>
    <m/>
    <n v="1000"/>
    <n v="0"/>
    <n v="1000"/>
    <x v="2"/>
    <n v="1E-3"/>
    <n v="0.03"/>
    <n v="0.03"/>
    <n v="0"/>
    <n v="0"/>
    <x v="0"/>
    <m/>
    <m/>
    <n v="1.4333333333333333"/>
    <x v="0"/>
  </r>
  <r>
    <n v="20"/>
    <n v="2025"/>
    <m/>
    <s v="SG05/2025"/>
    <s v="BIG BAG N°8"/>
    <x v="4"/>
    <x v="0"/>
    <x v="1"/>
    <m/>
    <n v="1000"/>
    <n v="0"/>
    <n v="1000"/>
    <x v="2"/>
    <n v="2E-3"/>
    <n v="3.5000000000000003E-2"/>
    <n v="0.04"/>
    <n v="0"/>
    <n v="0"/>
    <x v="0"/>
    <m/>
    <m/>
    <n v="1.7000000000000002"/>
    <x v="0"/>
  </r>
  <r>
    <n v="20"/>
    <n v="2025"/>
    <m/>
    <s v="SG05/2025"/>
    <s v="BIG BAG N°10"/>
    <x v="4"/>
    <x v="0"/>
    <x v="2"/>
    <m/>
    <n v="1000"/>
    <n v="0"/>
    <n v="1000"/>
    <x v="2"/>
    <n v="4.0000000000000001E-3"/>
    <n v="3.5000000000000003E-2"/>
    <n v="0.03"/>
    <n v="0"/>
    <n v="0"/>
    <x v="0"/>
    <m/>
    <m/>
    <n v="1.7666666666666668"/>
    <x v="0"/>
  </r>
  <r>
    <n v="20"/>
    <n v="2025"/>
    <m/>
    <s v="SG05/2025"/>
    <s v="BIG BAG N°11"/>
    <x v="4"/>
    <x v="0"/>
    <x v="2"/>
    <m/>
    <n v="1000"/>
    <n v="0"/>
    <n v="1000"/>
    <x v="2"/>
    <n v="4.0000000000000001E-3"/>
    <n v="2.5000000000000001E-2"/>
    <n v="4.4999999999999998E-2"/>
    <n v="0"/>
    <n v="0"/>
    <x v="0"/>
    <m/>
    <m/>
    <n v="1.3"/>
    <x v="0"/>
  </r>
  <r>
    <n v="20"/>
    <n v="2025"/>
    <m/>
    <s v="SG05/2025"/>
    <s v="BIG BAG N°9"/>
    <x v="4"/>
    <x v="0"/>
    <x v="1"/>
    <m/>
    <n v="1000"/>
    <n v="0"/>
    <n v="1000"/>
    <x v="2"/>
    <n v="3.0000000000000001E-3"/>
    <n v="0.06"/>
    <n v="0.04"/>
    <n v="0"/>
    <n v="0"/>
    <x v="0"/>
    <m/>
    <m/>
    <n v="2.9"/>
    <x v="1"/>
  </r>
  <r>
    <n v="20"/>
    <n v="2025"/>
    <m/>
    <s v="SG05/2025"/>
    <s v="BIG BAG N°12"/>
    <x v="4"/>
    <x v="0"/>
    <x v="2"/>
    <m/>
    <n v="1000"/>
    <n v="0"/>
    <n v="1000"/>
    <x v="2"/>
    <n v="3.0000000000000001E-3"/>
    <n v="7.0000000000000007E-2"/>
    <n v="0.1"/>
    <n v="0"/>
    <n v="0"/>
    <x v="0"/>
    <m/>
    <m/>
    <n v="3.3666666666666671"/>
    <x v="2"/>
  </r>
  <r>
    <n v="20"/>
    <n v="2025"/>
    <m/>
    <s v="SG05/2025"/>
    <s v="BIG BAG N°13"/>
    <x v="4"/>
    <x v="0"/>
    <x v="2"/>
    <m/>
    <n v="1000"/>
    <n v="0"/>
    <n v="1000"/>
    <x v="2"/>
    <n v="4.0000000000000001E-3"/>
    <n v="0.05"/>
    <n v="7.4999999999999997E-2"/>
    <n v="0"/>
    <n v="0"/>
    <x v="0"/>
    <m/>
    <m/>
    <n v="2.4666666666666668"/>
    <x v="0"/>
  </r>
  <r>
    <n v="20"/>
    <n v="2025"/>
    <m/>
    <s v="SG05/2025"/>
    <s v="BIG BAG N°10"/>
    <x v="4"/>
    <x v="0"/>
    <x v="1"/>
    <m/>
    <n v="1000"/>
    <n v="0"/>
    <n v="1000"/>
    <x v="2"/>
    <n v="4.0000000000000001E-3"/>
    <n v="0.05"/>
    <n v="0.05"/>
    <n v="0"/>
    <n v="0"/>
    <x v="0"/>
    <m/>
    <m/>
    <n v="2.4666666666666668"/>
    <x v="0"/>
  </r>
  <r>
    <n v="20"/>
    <n v="2025"/>
    <m/>
    <s v="SG05/2025"/>
    <s v="BIG BAG B°1"/>
    <x v="4"/>
    <x v="1"/>
    <x v="3"/>
    <m/>
    <n v="970"/>
    <n v="0"/>
    <n v="970"/>
    <x v="2"/>
    <m/>
    <m/>
    <m/>
    <m/>
    <m/>
    <x v="0"/>
    <m/>
    <m/>
    <n v="0"/>
    <x v="0"/>
  </r>
  <r>
    <n v="20"/>
    <n v="2025"/>
    <m/>
    <s v="SG05/2025"/>
    <s v="BIG BAG B°1"/>
    <x v="4"/>
    <x v="2"/>
    <x v="2"/>
    <s v="TIPO 1"/>
    <n v="896"/>
    <n v="0"/>
    <n v="896"/>
    <x v="2"/>
    <m/>
    <m/>
    <m/>
    <m/>
    <m/>
    <x v="0"/>
    <m/>
    <m/>
    <n v="0"/>
    <x v="0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3"/>
    <m/>
    <m/>
    <m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830C6F-EFBC-4E96-AB42-D92C23FC4B9E}" name="Tabella pivot1" cacheId="11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multipleFieldFilters="0" chartFormat="10" rowHeaderCaption="Qualità">
  <location ref="B217:H226" firstHeaderRow="1" firstDataRow="2" firstDataCol="1" rowPageCount="1" colPageCount="1"/>
  <pivotFields count="23">
    <pivotField showAll="0"/>
    <pivotField showAll="0"/>
    <pivotField showAll="0"/>
    <pivotField showAll="0"/>
    <pivotField showAll="0"/>
    <pivotField axis="axisCol" showAll="0">
      <items count="7">
        <item x="1"/>
        <item x="3"/>
        <item x="0"/>
        <item x="2"/>
        <item x="5"/>
        <item x="4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axis="axisRow" showAll="0" sortType="ascending">
      <items count="10">
        <item x="0"/>
        <item x="1"/>
        <item x="2"/>
        <item x="3"/>
        <item x="6"/>
        <item x="5"/>
        <item x="4"/>
        <item h="1" x="7"/>
        <item h="1" x="8"/>
        <item t="default"/>
      </items>
    </pivotField>
  </pivotFields>
  <rowFields count="1">
    <field x="2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5"/>
    </i>
    <i t="grand">
      <x/>
    </i>
  </colItems>
  <pageFields count="1">
    <pageField fld="18" item="2" hier="-1"/>
  </pageFields>
  <dataFields count="1">
    <dataField name="Somma di Q. Disp." fld="11" baseField="0" baseItem="0"/>
  </dataFields>
  <formats count="6">
    <format dxfId="21">
      <pivotArea outline="0" collapsedLevelsAreSubtotals="1" fieldPosition="0"/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22" type="button" dataOnly="0" labelOnly="1" outline="0" axis="axisRow" fieldPosition="0"/>
    </format>
    <format dxfId="17">
      <pivotArea dataOnly="0" labelOnly="1" grandRow="1" outline="0" fieldPosition="0"/>
    </format>
    <format dxfId="16">
      <pivotArea dataOnly="0" labelOnly="1" outline="0" axis="axisValues" fieldPosition="0"/>
    </format>
  </formats>
  <chartFormats count="5">
    <chartFormat chart="9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9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9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9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3F1891-130B-4CA4-89B0-7C284A2606B9}" name="Tabella pivot3" cacheId="11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multipleFieldFilters="0" chartFormat="6" rowHeaderCaption="Calibro">
  <location ref="B4:C10" firstHeaderRow="1" firstDataRow="1" firstDataCol="1" rowPageCount="1" colPageCount="1"/>
  <pivotFields count="23">
    <pivotField showAll="0"/>
    <pivotField showAll="0"/>
    <pivotField showAll="0"/>
    <pivotField showAll="0"/>
    <pivotField showAll="0"/>
    <pivotField axis="axisRow" showAll="0">
      <items count="7">
        <item sd="0" x="1"/>
        <item sd="0" x="3"/>
        <item sd="0" x="0"/>
        <item sd="0" x="2"/>
        <item sd="0" x="5"/>
        <item sd="0" x="4"/>
        <item t="default" sd="0"/>
      </items>
    </pivotField>
    <pivotField axis="axisRow" showAll="0">
      <items count="5">
        <item sd="0" x="1"/>
        <item sd="0" x="2"/>
        <item x="0"/>
        <item sd="0" x="3"/>
        <item t="default" sd="0"/>
      </items>
    </pivotField>
    <pivotField axis="axisRow" showAll="0">
      <items count="11">
        <item x="1"/>
        <item x="2"/>
        <item x="0"/>
        <item x="3"/>
        <item x="6"/>
        <item x="5"/>
        <item x="7"/>
        <item x="8"/>
        <item x="4"/>
        <item h="1" x="9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</pivotFields>
  <rowFields count="3">
    <field x="5"/>
    <field x="6"/>
    <field x="7"/>
  </rowFields>
  <rowItems count="6">
    <i>
      <x/>
    </i>
    <i>
      <x v="1"/>
    </i>
    <i>
      <x v="2"/>
    </i>
    <i>
      <x v="3"/>
    </i>
    <i>
      <x v="5"/>
    </i>
    <i t="grand">
      <x/>
    </i>
  </rowItems>
  <colItems count="1">
    <i/>
  </colItems>
  <pageFields count="1">
    <pageField fld="18" hier="-1"/>
  </pageFields>
  <dataFields count="1">
    <dataField name="Somma di Q. Disp." fld="11" baseField="0" baseItem="0"/>
  </dataFields>
  <formats count="6">
    <format dxfId="27">
      <pivotArea dataOnly="0" labelOnly="1" outline="0" axis="axisValues" fieldPosition="0"/>
    </format>
    <format dxfId="26">
      <pivotArea outline="0" collapsedLevelsAreSubtotals="1" fieldPosition="0"/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dataOnly="0" labelOnly="1" grandRow="1" outline="0" fieldPosition="0"/>
    </format>
    <format dxfId="22">
      <pivotArea dataOnly="0" labelOnly="1" outline="0" axis="axisValues" fieldPosition="0"/>
    </format>
  </format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CD0F18-4647-449D-8E71-5B04053EAF89}" name="Tabella pivot4" cacheId="8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13">
  <location ref="B276:E286" firstHeaderRow="1" firstDataRow="2" firstDataCol="1" rowPageCount="1" colPageCount="1"/>
  <pivotFields count="12">
    <pivotField showAll="0"/>
    <pivotField axis="axisRow" showAll="0">
      <items count="5">
        <item sd="0" x="1"/>
        <item sd="0" x="0"/>
        <item sd="0" x="2"/>
        <item h="1" sd="0" x="3"/>
        <item t="default" sd="0"/>
      </items>
    </pivotField>
    <pivotField axis="axisRow" showAll="0">
      <items count="5">
        <item sd="0" x="1"/>
        <item sd="0" x="2"/>
        <item sd="0" x="0"/>
        <item sd="0" x="3"/>
        <item t="default" sd="0"/>
      </items>
    </pivotField>
    <pivotField axis="axisRow" showAll="0">
      <items count="8">
        <item x="1"/>
        <item x="2"/>
        <item x="0"/>
        <item x="5"/>
        <item x="4"/>
        <item x="3"/>
        <item x="6"/>
        <item t="default"/>
      </items>
    </pivotField>
    <pivotField axis="axisCol" showAll="0">
      <items count="7">
        <item x="2"/>
        <item x="3"/>
        <item x="0"/>
        <item x="1"/>
        <item h="1" x="4"/>
        <item m="1" x="5"/>
        <item t="default"/>
      </items>
    </pivotField>
    <pivotField axis="axisRow" showAll="0">
      <items count="9">
        <item x="6"/>
        <item x="5"/>
        <item x="2"/>
        <item x="0"/>
        <item x="1"/>
        <item x="4"/>
        <item x="3"/>
        <item x="7"/>
        <item t="default"/>
      </items>
    </pivotField>
    <pivotField showAll="0"/>
    <pivotField showAll="0"/>
    <pivotField showAll="0"/>
    <pivotField showAll="0"/>
    <pivotField dataField="1" showAll="0"/>
    <pivotField axis="axisPage" showAll="0">
      <items count="5">
        <item x="2"/>
        <item x="0"/>
        <item x="1"/>
        <item m="1" x="3"/>
        <item t="default"/>
      </items>
    </pivotField>
  </pivotFields>
  <rowFields count="4">
    <field x="5"/>
    <field x="1"/>
    <field x="2"/>
    <field x="3"/>
  </rowFields>
  <rowItems count="9">
    <i>
      <x v="3"/>
    </i>
    <i r="1">
      <x v="1"/>
    </i>
    <i>
      <x v="5"/>
    </i>
    <i r="1">
      <x/>
    </i>
    <i r="1">
      <x v="1"/>
    </i>
    <i r="1">
      <x v="2"/>
    </i>
    <i>
      <x v="6"/>
    </i>
    <i r="1">
      <x/>
    </i>
    <i t="grand">
      <x/>
    </i>
  </rowItems>
  <colFields count="1">
    <field x="4"/>
  </colFields>
  <colItems count="3">
    <i>
      <x/>
    </i>
    <i>
      <x v="2"/>
    </i>
    <i t="grand">
      <x/>
    </i>
  </colItems>
  <pageFields count="1">
    <pageField fld="11" item="1" hier="-1"/>
  </pageFields>
  <dataFields count="1">
    <dataField name="Somma di Residuo" fld="10" baseField="4" baseItem="0" numFmtId="167"/>
  </dataFields>
  <formats count="9">
    <format dxfId="36">
      <pivotArea outline="0" collapsedLevelsAreSubtotals="1" fieldPosition="0"/>
    </format>
    <format dxfId="35">
      <pivotArea type="all" dataOnly="0" outline="0" fieldPosition="0"/>
    </format>
    <format dxfId="34">
      <pivotArea outline="0" collapsedLevelsAreSubtotals="1" fieldPosition="0"/>
    </format>
    <format dxfId="33">
      <pivotArea type="origin" dataOnly="0" labelOnly="1" outline="0" fieldPosition="0"/>
    </format>
    <format dxfId="32">
      <pivotArea field="5" type="button" dataOnly="0" labelOnly="1" outline="0" axis="axisRow" fieldPosition="0"/>
    </format>
    <format dxfId="31">
      <pivotArea type="topRight" dataOnly="0" labelOnly="1" outline="0" fieldPosition="0"/>
    </format>
    <format dxfId="30">
      <pivotArea field="4" type="button" dataOnly="0" labelOnly="1" outline="0" axis="axisCol" fieldPosition="0"/>
    </format>
    <format dxfId="29">
      <pivotArea dataOnly="0" labelOnly="1" grandRow="1" outline="0" fieldPosition="0"/>
    </format>
    <format dxfId="28">
      <pivotArea dataOnly="0" labelOnly="1" grandCol="1" outline="0" fieldPosition="0"/>
    </format>
  </formats>
  <chartFormats count="6">
    <chartFormat chart="7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7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7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A6F1F3-B46B-44A8-98F1-57CE80DB3423}" name="Tabella pivot6" cacheId="9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>
  <location ref="I334:J340" firstHeaderRow="1" firstDataRow="1" firstDataCol="1"/>
  <pivotFields count="21">
    <pivotField showAll="0"/>
    <pivotField showAll="0"/>
    <pivotField showAll="0"/>
    <pivotField showAll="0"/>
    <pivotField showAll="0"/>
    <pivotField axis="axisRow" showAll="0">
      <items count="7">
        <item sd="0" x="1"/>
        <item sd="0" x="3"/>
        <item sd="0" x="0"/>
        <item sd="0" x="2"/>
        <item sd="0" x="4"/>
        <item h="1"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  <pivotField axis="axisRow" showAll="0">
      <items count="11">
        <item x="1"/>
        <item x="2"/>
        <item x="0"/>
        <item x="3"/>
        <item x="6"/>
        <item x="5"/>
        <item x="7"/>
        <item x="8"/>
        <item x="4"/>
        <item x="9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5"/>
    <field x="6"/>
    <field x="7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ma di Q. Disp." fld="11" baseField="0" baseItem="0" numFmtId="165"/>
  </dataFields>
  <formats count="1">
    <format dxfId="3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5F5FA8-A212-4FCE-8A05-00BC938B3C9B}" name="Tabella pivot5" cacheId="10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>
  <location ref="B336:C340" firstHeaderRow="1" firstDataRow="1" firstDataCol="1" rowPageCount="1" colPageCount="1"/>
  <pivotFields count="12">
    <pivotField showAll="0"/>
    <pivotField axis="axisRow" showAll="0">
      <items count="5">
        <item sd="0" x="1"/>
        <item sd="0" x="0"/>
        <item sd="0" x="2"/>
        <item h="1" x="3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  <pivotField axis="axisRow" showAll="0">
      <items count="8">
        <item x="1"/>
        <item x="2"/>
        <item x="0"/>
        <item x="5"/>
        <item x="4"/>
        <item x="3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axis="axisPage" showAll="0">
      <items count="4">
        <item x="2"/>
        <item x="0"/>
        <item x="1"/>
        <item t="default"/>
      </items>
    </pivotField>
  </pivotFields>
  <rowFields count="3">
    <field x="1"/>
    <field x="2"/>
    <field x="3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1" item="1" hier="-1"/>
  </pageFields>
  <dataFields count="1">
    <dataField name="Somma di Residuo" fld="10" baseField="3" baseItem="1" numFmtId="165"/>
  </dataFields>
  <formats count="1">
    <format dxfId="3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6F820D-C8E7-4C39-BD61-827C98A3BD1C}" name="Tabella pivot2" cacheId="11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multipleFieldFilters="0" chartFormat="5" rowHeaderCaption="magazzino">
  <location ref="B110:C114" firstHeaderRow="1" firstDataRow="1" firstDataCol="1" rowPageCount="1" colPageCount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6">
        <item x="1"/>
        <item h="1" x="3"/>
        <item x="0"/>
        <item x="2"/>
        <item h="1" m="1" x="4"/>
        <item t="default"/>
      </items>
    </pivotField>
    <pivotField numFmtId="10" showAll="0"/>
    <pivotField numFmtId="10" showAll="0"/>
    <pivotField numFmtId="10" showAll="0"/>
    <pivotField numFmtId="10" showAll="0"/>
    <pivotField numFmtId="10" showAll="0"/>
    <pivotField axis="axisPage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</pivotFields>
  <rowFields count="1">
    <field x="12"/>
  </rowFields>
  <rowItems count="4">
    <i>
      <x/>
    </i>
    <i>
      <x v="2"/>
    </i>
    <i>
      <x v="3"/>
    </i>
    <i t="grand">
      <x/>
    </i>
  </rowItems>
  <colItems count="1">
    <i/>
  </colItems>
  <pageFields count="1">
    <pageField fld="18" hier="-1"/>
  </pageFields>
  <dataFields count="1">
    <dataField name="Somma di Q. Disp." fld="11" baseField="0" baseItem="0"/>
  </dataFields>
  <formats count="9">
    <format dxfId="47">
      <pivotArea type="all" dataOnly="0" outline="0" fieldPosition="0"/>
    </format>
    <format dxfId="46">
      <pivotArea outline="0" collapsedLevelsAreSubtotals="1" fieldPosition="0"/>
    </format>
    <format dxfId="45">
      <pivotArea field="12" type="button" dataOnly="0" labelOnly="1" outline="0" axis="axisRow" fieldPosition="0"/>
    </format>
    <format dxfId="44">
      <pivotArea dataOnly="0" labelOnly="1" grandRow="1" outline="0" fieldPosition="0"/>
    </format>
    <format dxfId="43">
      <pivotArea dataOnly="0" labelOnly="1" outline="0" axis="axisValues" fieldPosition="0"/>
    </format>
    <format dxfId="42">
      <pivotArea dataOnly="0" labelOnly="1" outline="0" axis="axisValues" fieldPosition="0"/>
    </format>
    <format dxfId="41">
      <pivotArea field="12" type="button" dataOnly="0" labelOnly="1" outline="0" axis="axisRow" fieldPosition="0"/>
    </format>
    <format dxfId="40">
      <pivotArea dataOnly="0" labelOnly="1" outline="0" axis="axisValues" fieldPosition="0"/>
    </format>
    <format dxfId="39">
      <pivotArea field="12" type="button" dataOnly="0" labelOnly="1" outline="0" axis="axisRow" fieldPosition="0"/>
    </format>
  </formats>
  <chartFormats count="4"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345AD1-DA31-4318-95D1-8D2062915BF2}" name="Tabella1" displayName="Tabella1" ref="K85:K88" totalsRowShown="0">
  <autoFilter ref="K85:K88" xr:uid="{86345AD1-DA31-4318-95D1-8D2062915BF2}"/>
  <tableColumns count="1">
    <tableColumn id="1" xr3:uid="{F7D5037C-9345-47AA-A5E3-B1B9AA653E4F}" name="Colonna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DA626A-F67E-435F-B4FF-BEA76EBCEC1E}" name="Tabella13" displayName="Tabella13" ref="L85:L89" totalsRowShown="0">
  <autoFilter ref="L85:L89" xr:uid="{FBDA626A-F67E-435F-B4FF-BEA76EBCEC1E}"/>
  <tableColumns count="1">
    <tableColumn id="1" xr3:uid="{6AB1B52F-C00C-4277-9B07-5AD6AC0B16E2}" name="Colonna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6B596F0-05E3-4891-A626-56E854F2E9F2}" name="Tabella3" displayName="Tabella3" ref="P86:P90" totalsRowShown="0" dataDxfId="15">
  <autoFilter ref="P86:P90" xr:uid="{C6B596F0-05E3-4891-A626-56E854F2E9F2}"/>
  <sortState ref="P87:P90">
    <sortCondition ref="P86:P90"/>
  </sortState>
  <tableColumns count="1">
    <tableColumn id="1" xr3:uid="{7F13315B-3057-4A40-8C75-49195EF834F9}" name="Colonna1" dataDxfId="1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tabColor rgb="FF002060"/>
  </sheetPr>
  <dimension ref="A1:Y251"/>
  <sheetViews>
    <sheetView tabSelected="1" zoomScale="130" zoomScaleNormal="130" workbookViewId="0">
      <pane ySplit="1" topLeftCell="A2" activePane="bottomLeft" state="frozen"/>
      <selection pane="bottomLeft" activeCell="H11" sqref="H11"/>
    </sheetView>
  </sheetViews>
  <sheetFormatPr baseColWidth="10" defaultColWidth="8.83203125" defaultRowHeight="15"/>
  <cols>
    <col min="1" max="1" width="7.83203125" style="9" bestFit="1" customWidth="1"/>
    <col min="2" max="2" width="6.5" style="9" bestFit="1" customWidth="1"/>
    <col min="3" max="3" width="12.6640625" style="9" bestFit="1" customWidth="1"/>
    <col min="4" max="4" width="13.83203125" style="9" bestFit="1" customWidth="1"/>
    <col min="5" max="5" width="12.6640625" style="9" bestFit="1" customWidth="1"/>
    <col min="6" max="6" width="16" style="9" bestFit="1" customWidth="1"/>
    <col min="7" max="7" width="12.5" style="15" customWidth="1"/>
    <col min="8" max="8" width="13.1640625" style="15" bestFit="1" customWidth="1"/>
    <col min="9" max="9" width="11.1640625" style="15" customWidth="1"/>
    <col min="10" max="10" width="6.5" style="9" bestFit="1" customWidth="1"/>
    <col min="11" max="11" width="5.6640625" style="9" bestFit="1" customWidth="1"/>
    <col min="12" max="12" width="10.5" style="9" bestFit="1" customWidth="1"/>
    <col min="13" max="13" width="10.6640625" style="23" customWidth="1"/>
    <col min="14" max="14" width="7.5" style="23" bestFit="1" customWidth="1"/>
    <col min="15" max="15" width="9.1640625" style="23" bestFit="1" customWidth="1"/>
    <col min="16" max="16" width="9.33203125" style="23" bestFit="1" customWidth="1"/>
    <col min="17" max="17" width="8.83203125" style="23" bestFit="1" customWidth="1"/>
    <col min="18" max="18" width="12" style="9" bestFit="1" customWidth="1"/>
    <col min="19" max="19" width="9.5" style="9" bestFit="1" customWidth="1"/>
    <col min="20" max="20" width="11.6640625" style="33" bestFit="1" customWidth="1"/>
  </cols>
  <sheetData>
    <row r="1" spans="1:23" s="103" customFormat="1" ht="32">
      <c r="A1" s="99" t="s">
        <v>31</v>
      </c>
      <c r="B1" s="99" t="s">
        <v>32</v>
      </c>
      <c r="C1" s="99" t="s">
        <v>0</v>
      </c>
      <c r="D1" s="99" t="s">
        <v>12</v>
      </c>
      <c r="E1" s="99" t="s">
        <v>2</v>
      </c>
      <c r="F1" s="99" t="s">
        <v>136</v>
      </c>
      <c r="G1" s="99" t="s">
        <v>201</v>
      </c>
      <c r="H1" s="99" t="s">
        <v>137</v>
      </c>
      <c r="I1" s="99" t="s">
        <v>138</v>
      </c>
      <c r="J1" s="99" t="s">
        <v>202</v>
      </c>
      <c r="K1" s="99" t="s">
        <v>135</v>
      </c>
      <c r="L1" s="99" t="s">
        <v>21</v>
      </c>
      <c r="M1" s="99" t="s">
        <v>26</v>
      </c>
      <c r="N1" s="99" t="s">
        <v>27</v>
      </c>
      <c r="O1" s="99" t="s">
        <v>28</v>
      </c>
      <c r="P1" s="99" t="s">
        <v>29</v>
      </c>
      <c r="Q1" s="99" t="s">
        <v>30</v>
      </c>
      <c r="R1" s="99" t="s">
        <v>3</v>
      </c>
      <c r="S1" s="99" t="s">
        <v>203</v>
      </c>
      <c r="T1" s="165" t="s">
        <v>109</v>
      </c>
    </row>
    <row r="2" spans="1:23">
      <c r="A2" s="6">
        <v>2025</v>
      </c>
      <c r="B2" s="124" t="s">
        <v>84</v>
      </c>
      <c r="C2" s="122" t="s">
        <v>82</v>
      </c>
      <c r="D2" s="125" t="s">
        <v>158</v>
      </c>
      <c r="E2" s="4" t="s">
        <v>15</v>
      </c>
      <c r="F2" s="47" t="s">
        <v>76</v>
      </c>
      <c r="G2" s="46" t="s">
        <v>92</v>
      </c>
      <c r="H2" s="64" t="s">
        <v>4</v>
      </c>
      <c r="I2" s="9"/>
      <c r="J2" s="126">
        <v>1000</v>
      </c>
      <c r="L2" s="3" t="s">
        <v>23</v>
      </c>
      <c r="M2" s="49">
        <v>3.0000000000000001E-3</v>
      </c>
      <c r="N2" s="51">
        <v>6.6E-3</v>
      </c>
      <c r="O2" s="51">
        <v>5.6599999999999998E-2</v>
      </c>
      <c r="P2" s="49">
        <v>0</v>
      </c>
      <c r="Q2" s="127">
        <v>0</v>
      </c>
      <c r="T2" s="9"/>
      <c r="U2" s="9"/>
      <c r="V2" s="9"/>
      <c r="W2" s="9"/>
    </row>
    <row r="3" spans="1:23">
      <c r="A3" s="6">
        <v>2025</v>
      </c>
      <c r="B3" s="124" t="s">
        <v>120</v>
      </c>
      <c r="C3" s="122" t="s">
        <v>82</v>
      </c>
      <c r="D3" s="125" t="s">
        <v>159</v>
      </c>
      <c r="E3" s="4" t="s">
        <v>13</v>
      </c>
      <c r="F3" s="47" t="s">
        <v>76</v>
      </c>
      <c r="G3" s="46" t="s">
        <v>92</v>
      </c>
      <c r="H3" s="64" t="s">
        <v>6</v>
      </c>
      <c r="I3" s="9"/>
      <c r="J3" s="3">
        <v>1000</v>
      </c>
      <c r="L3" s="3" t="s">
        <v>23</v>
      </c>
      <c r="M3" s="51">
        <v>1E-3</v>
      </c>
      <c r="N3" s="51">
        <v>3.6600000000000001E-2</v>
      </c>
      <c r="O3" s="51">
        <v>0.1033</v>
      </c>
      <c r="P3" s="51">
        <v>0</v>
      </c>
      <c r="Q3" s="79">
        <v>0</v>
      </c>
      <c r="T3" s="9"/>
      <c r="U3" s="9"/>
      <c r="V3" s="9"/>
      <c r="W3" s="9"/>
    </row>
    <row r="4" spans="1:23">
      <c r="A4" s="6">
        <v>2025</v>
      </c>
      <c r="B4" s="124" t="s">
        <v>120</v>
      </c>
      <c r="C4" s="122" t="s">
        <v>82</v>
      </c>
      <c r="D4" s="125" t="s">
        <v>159</v>
      </c>
      <c r="E4" s="4" t="s">
        <v>14</v>
      </c>
      <c r="F4" s="47" t="s">
        <v>76</v>
      </c>
      <c r="G4" s="46" t="s">
        <v>92</v>
      </c>
      <c r="H4" s="64" t="s">
        <v>6</v>
      </c>
      <c r="I4" s="9"/>
      <c r="J4" s="3">
        <v>1000</v>
      </c>
      <c r="L4" s="3" t="s">
        <v>23</v>
      </c>
      <c r="M4" s="51">
        <v>1E-3</v>
      </c>
      <c r="N4" s="51">
        <v>3.3300000000000003E-2</v>
      </c>
      <c r="O4" s="51">
        <v>9.6600000000000005E-2</v>
      </c>
      <c r="P4" s="51">
        <v>0</v>
      </c>
      <c r="Q4" s="79">
        <v>0</v>
      </c>
      <c r="T4" s="9"/>
      <c r="U4" s="9"/>
      <c r="V4" s="9"/>
      <c r="W4" s="9"/>
    </row>
    <row r="5" spans="1:23">
      <c r="A5" s="6">
        <v>2025</v>
      </c>
      <c r="B5" s="124" t="s">
        <v>120</v>
      </c>
      <c r="C5" s="122" t="s">
        <v>82</v>
      </c>
      <c r="D5" s="125" t="s">
        <v>159</v>
      </c>
      <c r="E5" s="4" t="s">
        <v>40</v>
      </c>
      <c r="F5" s="47" t="s">
        <v>76</v>
      </c>
      <c r="G5" s="46" t="s">
        <v>92</v>
      </c>
      <c r="H5" s="64" t="s">
        <v>6</v>
      </c>
      <c r="I5" s="9"/>
      <c r="J5" s="3">
        <v>1000</v>
      </c>
      <c r="L5" s="3" t="s">
        <v>23</v>
      </c>
      <c r="M5" s="51">
        <v>2E-3</v>
      </c>
      <c r="N5" s="51">
        <v>0.04</v>
      </c>
      <c r="O5" s="51">
        <v>0.13</v>
      </c>
      <c r="P5" s="51">
        <v>0</v>
      </c>
      <c r="Q5" s="79">
        <v>0</v>
      </c>
      <c r="T5" s="9"/>
      <c r="U5" s="9"/>
      <c r="V5" s="9"/>
      <c r="W5" s="9"/>
    </row>
    <row r="6" spans="1:23">
      <c r="A6" s="6">
        <v>2025</v>
      </c>
      <c r="B6" s="124" t="s">
        <v>120</v>
      </c>
      <c r="C6" s="122" t="s">
        <v>82</v>
      </c>
      <c r="D6" s="125" t="s">
        <v>159</v>
      </c>
      <c r="E6" s="4" t="s">
        <v>41</v>
      </c>
      <c r="F6" s="47" t="s">
        <v>76</v>
      </c>
      <c r="G6" s="46" t="s">
        <v>92</v>
      </c>
      <c r="H6" s="64" t="s">
        <v>6</v>
      </c>
      <c r="I6" s="9"/>
      <c r="J6" s="3">
        <v>1000</v>
      </c>
      <c r="L6" s="3" t="s">
        <v>23</v>
      </c>
      <c r="M6" s="51">
        <v>3.0000000000000001E-3</v>
      </c>
      <c r="N6" s="51">
        <v>2.3300000000000001E-2</v>
      </c>
      <c r="O6" s="51">
        <v>0.1333</v>
      </c>
      <c r="P6" s="51">
        <v>0</v>
      </c>
      <c r="Q6" s="79">
        <v>0</v>
      </c>
      <c r="T6" s="9"/>
      <c r="U6" s="9"/>
      <c r="V6" s="9"/>
      <c r="W6" s="9"/>
    </row>
    <row r="7" spans="1:23">
      <c r="A7" s="6">
        <v>2025</v>
      </c>
      <c r="B7" s="124" t="s">
        <v>120</v>
      </c>
      <c r="C7" s="122" t="s">
        <v>82</v>
      </c>
      <c r="D7" s="125" t="s">
        <v>159</v>
      </c>
      <c r="E7" s="4" t="s">
        <v>42</v>
      </c>
      <c r="F7" s="47" t="s">
        <v>76</v>
      </c>
      <c r="G7" s="46" t="s">
        <v>92</v>
      </c>
      <c r="H7" s="64" t="s">
        <v>6</v>
      </c>
      <c r="I7" s="9"/>
      <c r="J7" s="3">
        <v>1000</v>
      </c>
      <c r="L7" s="3" t="s">
        <v>23</v>
      </c>
      <c r="M7" s="51">
        <v>1E-3</v>
      </c>
      <c r="N7" s="51">
        <v>2.6599999999999999E-2</v>
      </c>
      <c r="O7" s="51">
        <v>9.6600000000000005E-2</v>
      </c>
      <c r="P7" s="51">
        <v>0</v>
      </c>
      <c r="Q7" s="79">
        <v>0</v>
      </c>
      <c r="T7" s="9"/>
      <c r="U7" s="9"/>
      <c r="V7" s="9"/>
      <c r="W7" s="9"/>
    </row>
    <row r="8" spans="1:23">
      <c r="A8" s="6">
        <v>2025</v>
      </c>
      <c r="B8" s="124" t="s">
        <v>120</v>
      </c>
      <c r="C8" s="122" t="s">
        <v>82</v>
      </c>
      <c r="D8" s="125" t="s">
        <v>159</v>
      </c>
      <c r="E8" s="4" t="s">
        <v>43</v>
      </c>
      <c r="F8" s="47" t="s">
        <v>76</v>
      </c>
      <c r="G8" s="46" t="s">
        <v>92</v>
      </c>
      <c r="H8" s="64" t="s">
        <v>6</v>
      </c>
      <c r="I8" s="9"/>
      <c r="J8" s="3">
        <v>1000</v>
      </c>
      <c r="L8" s="3" t="s">
        <v>23</v>
      </c>
      <c r="M8" s="51">
        <v>1E-3</v>
      </c>
      <c r="N8" s="51">
        <v>0.03</v>
      </c>
      <c r="O8" s="51">
        <v>8.6599999999999996E-2</v>
      </c>
      <c r="P8" s="51">
        <v>0</v>
      </c>
      <c r="Q8" s="79">
        <v>0</v>
      </c>
      <c r="T8" s="9"/>
      <c r="U8" s="9"/>
      <c r="V8" s="9"/>
      <c r="W8" s="9"/>
    </row>
    <row r="9" spans="1:23">
      <c r="A9" s="6">
        <v>2025</v>
      </c>
      <c r="B9" s="124" t="s">
        <v>120</v>
      </c>
      <c r="C9" s="122" t="s">
        <v>82</v>
      </c>
      <c r="D9" s="125" t="s">
        <v>159</v>
      </c>
      <c r="E9" s="4" t="s">
        <v>44</v>
      </c>
      <c r="F9" s="47" t="s">
        <v>76</v>
      </c>
      <c r="G9" s="46" t="s">
        <v>92</v>
      </c>
      <c r="H9" s="64" t="s">
        <v>6</v>
      </c>
      <c r="I9" s="9"/>
      <c r="J9" s="3">
        <v>596</v>
      </c>
      <c r="L9" s="3" t="s">
        <v>23</v>
      </c>
      <c r="M9" s="51">
        <v>3.0000000000000001E-3</v>
      </c>
      <c r="N9" s="51">
        <v>0.02</v>
      </c>
      <c r="O9" s="51">
        <v>0.15</v>
      </c>
      <c r="P9" s="51">
        <v>0</v>
      </c>
      <c r="Q9" s="79">
        <v>0</v>
      </c>
      <c r="T9" s="9"/>
      <c r="U9" s="9"/>
      <c r="V9" s="9"/>
      <c r="W9" s="9"/>
    </row>
    <row r="10" spans="1:23">
      <c r="A10" s="6">
        <v>2025</v>
      </c>
      <c r="B10" s="124" t="s">
        <v>84</v>
      </c>
      <c r="C10" s="122" t="s">
        <v>82</v>
      </c>
      <c r="D10" s="125" t="s">
        <v>158</v>
      </c>
      <c r="E10" s="128" t="s">
        <v>15</v>
      </c>
      <c r="F10" s="47" t="s">
        <v>76</v>
      </c>
      <c r="G10" s="46" t="s">
        <v>92</v>
      </c>
      <c r="H10" s="64" t="s">
        <v>7</v>
      </c>
      <c r="I10" s="9"/>
      <c r="J10" s="126">
        <v>280</v>
      </c>
      <c r="L10" s="3" t="s">
        <v>23</v>
      </c>
      <c r="M10" s="49">
        <v>1E-3</v>
      </c>
      <c r="N10" s="51">
        <v>0.01</v>
      </c>
      <c r="O10" s="51">
        <v>6.3299999999999995E-2</v>
      </c>
      <c r="P10" s="49">
        <v>0</v>
      </c>
      <c r="Q10" s="127">
        <v>0</v>
      </c>
      <c r="T10" s="9"/>
      <c r="U10" s="9"/>
      <c r="V10" s="9"/>
      <c r="W10" s="9"/>
    </row>
    <row r="11" spans="1:23">
      <c r="A11" s="6">
        <v>2025</v>
      </c>
      <c r="B11" s="124" t="s">
        <v>84</v>
      </c>
      <c r="C11" s="122" t="s">
        <v>82</v>
      </c>
      <c r="D11" s="125" t="s">
        <v>158</v>
      </c>
      <c r="E11" s="128" t="s">
        <v>47</v>
      </c>
      <c r="F11" s="47" t="s">
        <v>76</v>
      </c>
      <c r="G11" s="46" t="s">
        <v>92</v>
      </c>
      <c r="H11" s="64" t="s">
        <v>7</v>
      </c>
      <c r="I11" s="9"/>
      <c r="J11" s="3">
        <v>1000</v>
      </c>
      <c r="L11" s="3" t="s">
        <v>23</v>
      </c>
      <c r="M11" s="51">
        <v>0</v>
      </c>
      <c r="N11" s="51">
        <v>2.3300000000000001E-2</v>
      </c>
      <c r="O11" s="51">
        <v>0.1133</v>
      </c>
      <c r="P11" s="51">
        <v>0</v>
      </c>
      <c r="Q11" s="79">
        <v>0</v>
      </c>
      <c r="T11" s="9"/>
      <c r="U11" s="9"/>
      <c r="V11" s="9"/>
      <c r="W11" s="9"/>
    </row>
    <row r="12" spans="1:23">
      <c r="A12" s="6">
        <v>2025</v>
      </c>
      <c r="B12" s="124" t="s">
        <v>119</v>
      </c>
      <c r="C12" s="122" t="s">
        <v>82</v>
      </c>
      <c r="D12" s="125" t="s">
        <v>160</v>
      </c>
      <c r="E12" s="128" t="s">
        <v>41</v>
      </c>
      <c r="F12" s="47" t="s">
        <v>76</v>
      </c>
      <c r="G12" s="46" t="s">
        <v>92</v>
      </c>
      <c r="H12" s="64" t="s">
        <v>7</v>
      </c>
      <c r="I12" s="9"/>
      <c r="J12" s="3">
        <v>1000</v>
      </c>
      <c r="L12" s="3" t="s">
        <v>23</v>
      </c>
      <c r="M12" s="51">
        <v>0</v>
      </c>
      <c r="N12" s="51">
        <v>1.66E-2</v>
      </c>
      <c r="O12" s="51">
        <v>8.3299999999999999E-2</v>
      </c>
      <c r="P12" s="51">
        <v>0</v>
      </c>
      <c r="Q12" s="79">
        <v>0</v>
      </c>
      <c r="T12" s="9"/>
      <c r="U12" s="9"/>
      <c r="V12" s="9"/>
      <c r="W12" s="9"/>
    </row>
    <row r="13" spans="1:23">
      <c r="A13" s="6">
        <v>2025</v>
      </c>
      <c r="B13" s="124" t="s">
        <v>120</v>
      </c>
      <c r="C13" s="122" t="s">
        <v>82</v>
      </c>
      <c r="D13" s="125" t="s">
        <v>159</v>
      </c>
      <c r="E13" s="128" t="s">
        <v>15</v>
      </c>
      <c r="F13" s="47" t="s">
        <v>76</v>
      </c>
      <c r="G13" s="46" t="s">
        <v>92</v>
      </c>
      <c r="H13" s="64" t="s">
        <v>7</v>
      </c>
      <c r="I13" s="9"/>
      <c r="J13" s="3">
        <v>1000</v>
      </c>
      <c r="L13" s="3" t="s">
        <v>23</v>
      </c>
      <c r="M13" s="51">
        <v>0</v>
      </c>
      <c r="N13" s="51">
        <v>3.6600000000000001E-2</v>
      </c>
      <c r="O13" s="51">
        <v>8.3299999999999999E-2</v>
      </c>
      <c r="P13" s="51">
        <v>0</v>
      </c>
      <c r="Q13" s="79">
        <v>0</v>
      </c>
      <c r="T13" s="9"/>
      <c r="U13" s="9"/>
      <c r="V13" s="9"/>
      <c r="W13" s="9"/>
    </row>
    <row r="14" spans="1:23">
      <c r="A14" s="6">
        <v>2025</v>
      </c>
      <c r="B14" s="124" t="s">
        <v>120</v>
      </c>
      <c r="C14" s="122" t="s">
        <v>82</v>
      </c>
      <c r="D14" s="125" t="s">
        <v>159</v>
      </c>
      <c r="E14" s="128" t="s">
        <v>42</v>
      </c>
      <c r="F14" s="47" t="s">
        <v>76</v>
      </c>
      <c r="G14" s="46" t="s">
        <v>92</v>
      </c>
      <c r="H14" s="64" t="s">
        <v>7</v>
      </c>
      <c r="I14" s="9"/>
      <c r="J14" s="3">
        <v>1000</v>
      </c>
      <c r="L14" s="3" t="s">
        <v>23</v>
      </c>
      <c r="M14" s="51">
        <v>0</v>
      </c>
      <c r="N14" s="51">
        <v>2.3300000000000001E-2</v>
      </c>
      <c r="O14" s="51">
        <v>9.6600000000000005E-2</v>
      </c>
      <c r="P14" s="51">
        <v>0</v>
      </c>
      <c r="Q14" s="79">
        <v>0</v>
      </c>
      <c r="T14" s="9"/>
      <c r="U14" s="9"/>
      <c r="V14" s="9"/>
      <c r="W14" s="9"/>
    </row>
    <row r="15" spans="1:23">
      <c r="A15" s="6">
        <v>2025</v>
      </c>
      <c r="B15" s="124" t="s">
        <v>120</v>
      </c>
      <c r="C15" s="122" t="s">
        <v>82</v>
      </c>
      <c r="D15" s="125" t="s">
        <v>159</v>
      </c>
      <c r="E15" s="128" t="s">
        <v>43</v>
      </c>
      <c r="F15" s="47" t="s">
        <v>76</v>
      </c>
      <c r="G15" s="46" t="s">
        <v>92</v>
      </c>
      <c r="H15" s="64" t="s">
        <v>7</v>
      </c>
      <c r="I15" s="9"/>
      <c r="J15" s="3">
        <v>1000</v>
      </c>
      <c r="L15" s="3" t="s">
        <v>23</v>
      </c>
      <c r="M15" s="51">
        <v>3.0000000000000001E-3</v>
      </c>
      <c r="N15" s="51">
        <v>4.3299999999999998E-2</v>
      </c>
      <c r="O15" s="51">
        <v>0.1666</v>
      </c>
      <c r="P15" s="51">
        <v>0</v>
      </c>
      <c r="Q15" s="79">
        <v>0</v>
      </c>
      <c r="T15" s="9"/>
      <c r="U15" s="9"/>
      <c r="V15" s="9"/>
      <c r="W15" s="9"/>
    </row>
    <row r="16" spans="1:23">
      <c r="A16" s="6">
        <v>2025</v>
      </c>
      <c r="B16" s="124" t="s">
        <v>120</v>
      </c>
      <c r="C16" s="122" t="s">
        <v>82</v>
      </c>
      <c r="D16" s="125" t="s">
        <v>159</v>
      </c>
      <c r="E16" s="128" t="s">
        <v>44</v>
      </c>
      <c r="F16" s="47" t="s">
        <v>76</v>
      </c>
      <c r="G16" s="46" t="s">
        <v>92</v>
      </c>
      <c r="H16" s="64" t="s">
        <v>7</v>
      </c>
      <c r="I16" s="9"/>
      <c r="J16" s="3">
        <v>1000</v>
      </c>
      <c r="L16" s="3" t="s">
        <v>23</v>
      </c>
      <c r="M16" s="51">
        <v>1E-3</v>
      </c>
      <c r="N16" s="51">
        <v>1.66E-2</v>
      </c>
      <c r="O16" s="51">
        <v>0.12</v>
      </c>
      <c r="P16" s="51">
        <v>0</v>
      </c>
      <c r="Q16" s="79">
        <v>0</v>
      </c>
      <c r="T16" s="9"/>
      <c r="U16" s="9"/>
      <c r="V16" s="9"/>
      <c r="W16" s="9"/>
    </row>
    <row r="17" spans="1:25">
      <c r="A17" s="6">
        <v>2025</v>
      </c>
      <c r="B17" s="124" t="s">
        <v>120</v>
      </c>
      <c r="C17" s="122" t="s">
        <v>82</v>
      </c>
      <c r="D17" s="125" t="s">
        <v>159</v>
      </c>
      <c r="E17" s="128" t="s">
        <v>45</v>
      </c>
      <c r="F17" s="47" t="s">
        <v>76</v>
      </c>
      <c r="G17" s="46" t="s">
        <v>92</v>
      </c>
      <c r="H17" s="64" t="s">
        <v>7</v>
      </c>
      <c r="I17" s="9"/>
      <c r="J17" s="3">
        <v>1000</v>
      </c>
      <c r="L17" s="3" t="s">
        <v>23</v>
      </c>
      <c r="M17" s="51">
        <v>2E-3</v>
      </c>
      <c r="N17" s="51">
        <v>0.04</v>
      </c>
      <c r="O17" s="51">
        <v>0.1133</v>
      </c>
      <c r="P17" s="51">
        <v>0</v>
      </c>
      <c r="Q17" s="79">
        <v>0</v>
      </c>
      <c r="T17" s="9"/>
      <c r="U17" s="9"/>
      <c r="V17" s="9"/>
      <c r="W17" s="9"/>
    </row>
    <row r="18" spans="1:25">
      <c r="A18" s="6">
        <v>2025</v>
      </c>
      <c r="B18" s="124" t="s">
        <v>120</v>
      </c>
      <c r="C18" s="122" t="s">
        <v>82</v>
      </c>
      <c r="D18" s="125" t="s">
        <v>159</v>
      </c>
      <c r="E18" s="128" t="s">
        <v>46</v>
      </c>
      <c r="F18" s="47" t="s">
        <v>76</v>
      </c>
      <c r="G18" s="46" t="s">
        <v>92</v>
      </c>
      <c r="H18" s="64" t="s">
        <v>7</v>
      </c>
      <c r="I18" s="9"/>
      <c r="J18" s="3">
        <v>1000</v>
      </c>
      <c r="L18" s="3" t="s">
        <v>23</v>
      </c>
      <c r="M18" s="51">
        <v>2E-3</v>
      </c>
      <c r="N18" s="51">
        <v>3.6600000000000001E-2</v>
      </c>
      <c r="O18" s="51">
        <v>0.1</v>
      </c>
      <c r="P18" s="51">
        <v>0</v>
      </c>
      <c r="Q18" s="79">
        <v>0</v>
      </c>
      <c r="T18" s="9"/>
      <c r="U18" s="9"/>
      <c r="V18" s="9"/>
      <c r="W18" s="9"/>
    </row>
    <row r="19" spans="1:25">
      <c r="A19" s="6">
        <v>2025</v>
      </c>
      <c r="B19" s="124" t="s">
        <v>120</v>
      </c>
      <c r="C19" s="122" t="s">
        <v>82</v>
      </c>
      <c r="D19" s="125" t="s">
        <v>159</v>
      </c>
      <c r="E19" s="128" t="s">
        <v>47</v>
      </c>
      <c r="F19" s="47" t="s">
        <v>76</v>
      </c>
      <c r="G19" s="46" t="s">
        <v>92</v>
      </c>
      <c r="H19" s="64" t="s">
        <v>7</v>
      </c>
      <c r="I19" s="9"/>
      <c r="J19" s="3">
        <v>1000</v>
      </c>
      <c r="L19" s="3" t="s">
        <v>23</v>
      </c>
      <c r="M19" s="51">
        <v>2E-3</v>
      </c>
      <c r="N19" s="51">
        <v>0.04</v>
      </c>
      <c r="O19" s="51">
        <v>0.1333</v>
      </c>
      <c r="P19" s="51">
        <v>0</v>
      </c>
      <c r="Q19" s="79">
        <v>0</v>
      </c>
      <c r="T19" s="9"/>
      <c r="U19" s="9"/>
      <c r="V19" s="9"/>
      <c r="W19" s="9"/>
    </row>
    <row r="20" spans="1:25">
      <c r="A20" s="6">
        <v>2025</v>
      </c>
      <c r="B20" s="129" t="s">
        <v>120</v>
      </c>
      <c r="C20" s="122" t="s">
        <v>146</v>
      </c>
      <c r="D20" s="130" t="s">
        <v>161</v>
      </c>
      <c r="E20" s="131" t="s">
        <v>48</v>
      </c>
      <c r="F20" s="47" t="s">
        <v>76</v>
      </c>
      <c r="G20" s="46" t="s">
        <v>73</v>
      </c>
      <c r="H20" s="64" t="s">
        <v>7</v>
      </c>
      <c r="I20" s="9"/>
      <c r="J20" s="132">
        <v>560</v>
      </c>
      <c r="L20" s="3" t="s">
        <v>23</v>
      </c>
      <c r="M20" s="51">
        <v>0.35899999999999999</v>
      </c>
      <c r="N20" s="51">
        <v>0.09</v>
      </c>
      <c r="O20" s="51">
        <v>0.37</v>
      </c>
      <c r="P20" s="51">
        <v>0</v>
      </c>
      <c r="Q20" s="79">
        <v>2.5999999999999999E-2</v>
      </c>
      <c r="T20" s="9"/>
      <c r="U20" s="9"/>
      <c r="V20" s="9"/>
      <c r="W20" s="9"/>
    </row>
    <row r="21" spans="1:25">
      <c r="A21" s="6">
        <v>2025</v>
      </c>
      <c r="B21" s="129" t="s">
        <v>120</v>
      </c>
      <c r="C21" s="122" t="s">
        <v>146</v>
      </c>
      <c r="D21" s="130" t="s">
        <v>162</v>
      </c>
      <c r="E21" s="131" t="s">
        <v>49</v>
      </c>
      <c r="F21" s="47" t="s">
        <v>76</v>
      </c>
      <c r="G21" s="46" t="s">
        <v>73</v>
      </c>
      <c r="H21" s="64" t="s">
        <v>6</v>
      </c>
      <c r="I21" s="9"/>
      <c r="J21" s="132">
        <v>415</v>
      </c>
      <c r="L21" s="3" t="s">
        <v>23</v>
      </c>
      <c r="M21" s="51">
        <v>0.42599999999999999</v>
      </c>
      <c r="N21" s="51">
        <v>0.12</v>
      </c>
      <c r="O21" s="51">
        <v>0.28999999999999998</v>
      </c>
      <c r="P21" s="51">
        <v>0</v>
      </c>
      <c r="Q21" s="79">
        <v>1.7999999999999999E-2</v>
      </c>
      <c r="T21" s="9"/>
      <c r="U21" s="9"/>
      <c r="V21" s="9"/>
      <c r="W21" s="9"/>
    </row>
    <row r="22" spans="1:25">
      <c r="A22" s="6">
        <v>2025</v>
      </c>
      <c r="B22" s="133" t="s">
        <v>113</v>
      </c>
      <c r="C22" s="66" t="s">
        <v>146</v>
      </c>
      <c r="D22" s="66" t="s">
        <v>83</v>
      </c>
      <c r="E22" s="64" t="s">
        <v>14</v>
      </c>
      <c r="F22" s="9" t="s">
        <v>98</v>
      </c>
      <c r="G22" s="46" t="s">
        <v>92</v>
      </c>
      <c r="H22" s="64" t="s">
        <v>4</v>
      </c>
      <c r="I22" s="9"/>
      <c r="J22" s="134">
        <v>746</v>
      </c>
      <c r="L22" s="3" t="s">
        <v>23</v>
      </c>
      <c r="M22" s="49">
        <v>3.0000000000000001E-3</v>
      </c>
      <c r="N22" s="51">
        <v>0.02</v>
      </c>
      <c r="O22" s="51">
        <v>6.6600000000000006E-2</v>
      </c>
      <c r="P22" s="49">
        <v>0</v>
      </c>
      <c r="Q22" s="127">
        <v>0</v>
      </c>
      <c r="T22" s="9"/>
      <c r="U22" s="9"/>
      <c r="V22" s="9"/>
      <c r="W22" s="9"/>
    </row>
    <row r="23" spans="1:25">
      <c r="A23" s="6" t="s">
        <v>163</v>
      </c>
      <c r="B23" s="133" t="s">
        <v>118</v>
      </c>
      <c r="C23" s="66" t="s">
        <v>146</v>
      </c>
      <c r="D23" s="66" t="s">
        <v>125</v>
      </c>
      <c r="E23" s="64" t="s">
        <v>15</v>
      </c>
      <c r="F23" s="9" t="s">
        <v>98</v>
      </c>
      <c r="G23" s="46" t="s">
        <v>92</v>
      </c>
      <c r="H23" s="64" t="s">
        <v>4</v>
      </c>
      <c r="I23" s="9"/>
      <c r="J23" s="134">
        <v>1000</v>
      </c>
      <c r="L23" s="3" t="s">
        <v>23</v>
      </c>
      <c r="M23" s="49">
        <v>2E-3</v>
      </c>
      <c r="N23" s="51">
        <v>0.01</v>
      </c>
      <c r="O23" s="51">
        <v>0.1033</v>
      </c>
      <c r="P23" s="49">
        <v>0</v>
      </c>
      <c r="Q23" s="127">
        <v>0</v>
      </c>
      <c r="T23" s="9"/>
      <c r="U23" s="9"/>
      <c r="V23" s="9"/>
      <c r="W23" s="9"/>
    </row>
    <row r="24" spans="1:25">
      <c r="A24" s="6" t="s">
        <v>163</v>
      </c>
      <c r="B24" s="133" t="s">
        <v>118</v>
      </c>
      <c r="C24" s="66" t="s">
        <v>146</v>
      </c>
      <c r="D24" s="66" t="s">
        <v>125</v>
      </c>
      <c r="E24" s="64" t="s">
        <v>13</v>
      </c>
      <c r="F24" s="9" t="s">
        <v>98</v>
      </c>
      <c r="G24" s="46" t="s">
        <v>92</v>
      </c>
      <c r="H24" s="64" t="s">
        <v>4</v>
      </c>
      <c r="I24" s="9"/>
      <c r="J24" s="134">
        <v>1000</v>
      </c>
      <c r="L24" s="3" t="s">
        <v>23</v>
      </c>
      <c r="M24" s="49">
        <v>2E-3</v>
      </c>
      <c r="N24" s="51">
        <v>2.6599999999999999E-2</v>
      </c>
      <c r="O24" s="51">
        <v>7.6600000000000001E-2</v>
      </c>
      <c r="P24" s="49">
        <v>0</v>
      </c>
      <c r="Q24" s="127">
        <v>0</v>
      </c>
      <c r="T24" s="9"/>
      <c r="U24" s="9"/>
      <c r="V24" s="9"/>
      <c r="W24" s="9"/>
    </row>
    <row r="25" spans="1:25">
      <c r="A25" s="6" t="s">
        <v>163</v>
      </c>
      <c r="B25" s="133" t="s">
        <v>164</v>
      </c>
      <c r="C25" s="66" t="s">
        <v>146</v>
      </c>
      <c r="D25" s="135" t="s">
        <v>165</v>
      </c>
      <c r="E25" s="64" t="s">
        <v>15</v>
      </c>
      <c r="F25" s="9" t="s">
        <v>98</v>
      </c>
      <c r="G25" s="46" t="s">
        <v>92</v>
      </c>
      <c r="H25" s="64" t="s">
        <v>4</v>
      </c>
      <c r="I25" s="9"/>
      <c r="J25" s="134">
        <v>1000</v>
      </c>
      <c r="L25" s="3" t="s">
        <v>23</v>
      </c>
      <c r="M25" s="49">
        <v>4.0000000000000001E-3</v>
      </c>
      <c r="N25" s="51">
        <v>0.03</v>
      </c>
      <c r="O25" s="51">
        <v>6.3299999999999995E-2</v>
      </c>
      <c r="P25" s="49">
        <v>0</v>
      </c>
      <c r="Q25" s="127">
        <v>0</v>
      </c>
      <c r="T25" s="9"/>
      <c r="U25" s="9"/>
      <c r="V25" s="9"/>
      <c r="W25" s="9"/>
    </row>
    <row r="26" spans="1:25">
      <c r="A26" s="6" t="s">
        <v>163</v>
      </c>
      <c r="B26" s="133" t="s">
        <v>164</v>
      </c>
      <c r="C26" s="66" t="s">
        <v>146</v>
      </c>
      <c r="D26" s="135" t="s">
        <v>165</v>
      </c>
      <c r="E26" s="64" t="s">
        <v>13</v>
      </c>
      <c r="F26" s="9" t="s">
        <v>98</v>
      </c>
      <c r="G26" s="46" t="s">
        <v>92</v>
      </c>
      <c r="H26" s="64" t="s">
        <v>4</v>
      </c>
      <c r="I26" s="9"/>
      <c r="J26" s="134">
        <v>900</v>
      </c>
      <c r="L26" s="3" t="s">
        <v>23</v>
      </c>
      <c r="M26" s="49">
        <v>1E-3</v>
      </c>
      <c r="N26" s="51">
        <v>3.3300000000000003E-2</v>
      </c>
      <c r="O26" s="51">
        <v>7.3300000000000004E-2</v>
      </c>
      <c r="P26" s="49">
        <v>0</v>
      </c>
      <c r="Q26" s="127">
        <v>0</v>
      </c>
      <c r="T26" s="9"/>
      <c r="U26" s="9"/>
      <c r="V26" s="9"/>
      <c r="W26" s="9"/>
    </row>
    <row r="27" spans="1:25">
      <c r="A27" s="6" t="s">
        <v>163</v>
      </c>
      <c r="B27" s="133" t="s">
        <v>166</v>
      </c>
      <c r="C27" s="66" t="s">
        <v>167</v>
      </c>
      <c r="D27" s="135" t="s">
        <v>168</v>
      </c>
      <c r="E27" s="64" t="s">
        <v>169</v>
      </c>
      <c r="F27" s="9" t="s">
        <v>98</v>
      </c>
      <c r="G27" s="46" t="s">
        <v>92</v>
      </c>
      <c r="H27" s="64" t="s">
        <v>4</v>
      </c>
      <c r="I27" s="9"/>
      <c r="J27" s="134">
        <v>1000</v>
      </c>
      <c r="L27" s="3" t="s">
        <v>23</v>
      </c>
      <c r="M27" s="49">
        <v>2E-3</v>
      </c>
      <c r="N27" s="51">
        <v>2.6599999999999999E-2</v>
      </c>
      <c r="O27" s="51">
        <v>4.6600000000000003E-2</v>
      </c>
      <c r="P27" s="49">
        <v>0</v>
      </c>
      <c r="Q27" s="127">
        <v>0</v>
      </c>
      <c r="T27" s="9"/>
      <c r="U27" s="9"/>
      <c r="V27" s="9"/>
      <c r="W27" s="9"/>
    </row>
    <row r="28" spans="1:25">
      <c r="A28" s="6" t="s">
        <v>163</v>
      </c>
      <c r="B28" s="133" t="s">
        <v>118</v>
      </c>
      <c r="C28" s="66" t="s">
        <v>146</v>
      </c>
      <c r="D28" s="66" t="s">
        <v>125</v>
      </c>
      <c r="E28" s="64" t="s">
        <v>170</v>
      </c>
      <c r="F28" s="9" t="s">
        <v>98</v>
      </c>
      <c r="G28" s="46" t="s">
        <v>92</v>
      </c>
      <c r="H28" s="64" t="s">
        <v>6</v>
      </c>
      <c r="I28" s="9"/>
      <c r="J28" s="136">
        <v>1000</v>
      </c>
      <c r="L28" s="3" t="s">
        <v>23</v>
      </c>
      <c r="M28" s="51">
        <v>2E-3</v>
      </c>
      <c r="N28" s="51">
        <v>3.6600000000000001E-2</v>
      </c>
      <c r="O28" s="51">
        <v>0.1</v>
      </c>
      <c r="P28" s="51">
        <v>0</v>
      </c>
      <c r="Q28" s="79">
        <v>0</v>
      </c>
      <c r="T28" s="9"/>
      <c r="U28" s="9"/>
      <c r="V28" s="9"/>
      <c r="W28" s="9"/>
    </row>
    <row r="29" spans="1:25">
      <c r="A29" s="6" t="s">
        <v>163</v>
      </c>
      <c r="B29" s="133" t="s">
        <v>118</v>
      </c>
      <c r="C29" s="66" t="s">
        <v>146</v>
      </c>
      <c r="D29" s="66" t="s">
        <v>125</v>
      </c>
      <c r="E29" s="64" t="s">
        <v>171</v>
      </c>
      <c r="F29" s="9" t="s">
        <v>98</v>
      </c>
      <c r="G29" s="46" t="s">
        <v>92</v>
      </c>
      <c r="H29" s="64" t="s">
        <v>6</v>
      </c>
      <c r="I29" s="9"/>
      <c r="J29" s="136">
        <v>1000</v>
      </c>
      <c r="L29" s="3" t="s">
        <v>23</v>
      </c>
      <c r="M29" s="51">
        <v>1E-3</v>
      </c>
      <c r="N29" s="51">
        <v>3.3300000000000003E-2</v>
      </c>
      <c r="O29" s="51">
        <v>0.1033</v>
      </c>
      <c r="P29" s="51">
        <v>0</v>
      </c>
      <c r="Q29" s="79">
        <v>0</v>
      </c>
      <c r="T29" s="9"/>
      <c r="U29" s="9"/>
      <c r="V29" s="9"/>
      <c r="W29" s="9"/>
    </row>
    <row r="30" spans="1:25">
      <c r="A30" s="6" t="s">
        <v>163</v>
      </c>
      <c r="B30" s="133" t="s">
        <v>118</v>
      </c>
      <c r="C30" s="66" t="s">
        <v>146</v>
      </c>
      <c r="D30" s="66" t="s">
        <v>125</v>
      </c>
      <c r="E30" s="64" t="s">
        <v>172</v>
      </c>
      <c r="F30" s="9" t="s">
        <v>98</v>
      </c>
      <c r="G30" s="46" t="s">
        <v>92</v>
      </c>
      <c r="H30" s="64" t="s">
        <v>6</v>
      </c>
      <c r="I30" s="9"/>
      <c r="J30" s="136">
        <v>1000</v>
      </c>
      <c r="L30" s="3" t="s">
        <v>23</v>
      </c>
      <c r="M30" s="51">
        <v>1E-3</v>
      </c>
      <c r="N30" s="51">
        <v>0.04</v>
      </c>
      <c r="O30" s="51">
        <v>0.1366</v>
      </c>
      <c r="P30" s="51">
        <v>0</v>
      </c>
      <c r="Q30" s="79">
        <v>0</v>
      </c>
      <c r="T30" s="9"/>
      <c r="U30" s="9"/>
      <c r="V30" s="9"/>
      <c r="W30" s="9"/>
    </row>
    <row r="31" spans="1:25">
      <c r="A31" s="6" t="s">
        <v>163</v>
      </c>
      <c r="B31" s="133" t="s">
        <v>164</v>
      </c>
      <c r="C31" s="66" t="s">
        <v>146</v>
      </c>
      <c r="D31" s="66" t="s">
        <v>165</v>
      </c>
      <c r="E31" s="64" t="s">
        <v>169</v>
      </c>
      <c r="F31" s="9" t="s">
        <v>98</v>
      </c>
      <c r="G31" s="46" t="s">
        <v>92</v>
      </c>
      <c r="H31" s="64" t="s">
        <v>6</v>
      </c>
      <c r="I31" s="9"/>
      <c r="J31" s="136">
        <v>1000</v>
      </c>
      <c r="L31" s="3" t="s">
        <v>23</v>
      </c>
      <c r="M31" s="51">
        <v>0</v>
      </c>
      <c r="N31" s="51">
        <v>3.3300000000000003E-2</v>
      </c>
      <c r="O31" s="51">
        <v>0.1</v>
      </c>
      <c r="P31" s="51">
        <v>0</v>
      </c>
      <c r="Q31" s="79">
        <v>0</v>
      </c>
      <c r="T31" s="9"/>
      <c r="U31" s="9"/>
      <c r="V31" s="9"/>
      <c r="W31" s="9"/>
      <c r="Y31">
        <v>1000</v>
      </c>
    </row>
    <row r="32" spans="1:25">
      <c r="A32" s="6" t="s">
        <v>163</v>
      </c>
      <c r="B32" s="133" t="s">
        <v>164</v>
      </c>
      <c r="C32" s="66" t="s">
        <v>146</v>
      </c>
      <c r="D32" s="66" t="s">
        <v>165</v>
      </c>
      <c r="E32" s="64" t="s">
        <v>54</v>
      </c>
      <c r="F32" s="9" t="s">
        <v>98</v>
      </c>
      <c r="G32" s="46" t="s">
        <v>92</v>
      </c>
      <c r="H32" s="64" t="s">
        <v>6</v>
      </c>
      <c r="I32" s="9"/>
      <c r="J32" s="136">
        <v>1000</v>
      </c>
      <c r="L32" s="3" t="s">
        <v>23</v>
      </c>
      <c r="M32" s="51">
        <v>2E-3</v>
      </c>
      <c r="N32" s="51">
        <v>0.03</v>
      </c>
      <c r="O32" s="51">
        <v>6.3299999999999995E-2</v>
      </c>
      <c r="P32" s="51">
        <v>0</v>
      </c>
      <c r="Q32" s="79">
        <v>0</v>
      </c>
      <c r="T32" s="9"/>
      <c r="U32" s="9"/>
      <c r="V32" s="9"/>
      <c r="W32" s="9"/>
      <c r="Y32">
        <v>1000</v>
      </c>
    </row>
    <row r="33" spans="1:25">
      <c r="A33" s="6" t="s">
        <v>163</v>
      </c>
      <c r="B33" s="133" t="s">
        <v>164</v>
      </c>
      <c r="C33" s="66" t="s">
        <v>146</v>
      </c>
      <c r="D33" s="66" t="s">
        <v>165</v>
      </c>
      <c r="E33" s="64" t="s">
        <v>173</v>
      </c>
      <c r="F33" s="9" t="s">
        <v>98</v>
      </c>
      <c r="G33" s="46" t="s">
        <v>92</v>
      </c>
      <c r="H33" s="64" t="s">
        <v>6</v>
      </c>
      <c r="I33" s="9"/>
      <c r="J33" s="136">
        <v>1000</v>
      </c>
      <c r="L33" s="3" t="s">
        <v>23</v>
      </c>
      <c r="M33" s="51">
        <v>2E-3</v>
      </c>
      <c r="N33" s="51">
        <v>3.6600000000000001E-2</v>
      </c>
      <c r="O33" s="51">
        <v>0.1066</v>
      </c>
      <c r="P33" s="51">
        <v>0</v>
      </c>
      <c r="Q33" s="79">
        <v>0</v>
      </c>
      <c r="T33" s="9"/>
      <c r="U33" s="9"/>
      <c r="V33" s="9"/>
      <c r="W33" s="9"/>
      <c r="Y33">
        <v>1000</v>
      </c>
    </row>
    <row r="34" spans="1:25">
      <c r="A34" s="6" t="s">
        <v>163</v>
      </c>
      <c r="B34" s="133" t="s">
        <v>164</v>
      </c>
      <c r="C34" s="66" t="s">
        <v>146</v>
      </c>
      <c r="D34" s="66" t="s">
        <v>165</v>
      </c>
      <c r="E34" s="64" t="s">
        <v>174</v>
      </c>
      <c r="F34" s="9" t="s">
        <v>98</v>
      </c>
      <c r="G34" s="46" t="s">
        <v>92</v>
      </c>
      <c r="H34" s="64" t="s">
        <v>6</v>
      </c>
      <c r="I34" s="9"/>
      <c r="J34" s="136">
        <v>1000</v>
      </c>
      <c r="L34" s="3" t="s">
        <v>23</v>
      </c>
      <c r="M34" s="51">
        <v>2E-3</v>
      </c>
      <c r="N34" s="51">
        <v>0.03</v>
      </c>
      <c r="O34" s="51">
        <v>0.1133</v>
      </c>
      <c r="P34" s="51">
        <v>0</v>
      </c>
      <c r="Q34" s="79">
        <v>0</v>
      </c>
      <c r="T34" s="9"/>
      <c r="U34" s="9"/>
      <c r="V34" s="9"/>
      <c r="W34" s="9"/>
      <c r="Y34">
        <v>1000</v>
      </c>
    </row>
    <row r="35" spans="1:25">
      <c r="A35" s="6" t="s">
        <v>163</v>
      </c>
      <c r="B35" s="133" t="s">
        <v>164</v>
      </c>
      <c r="C35" s="66" t="s">
        <v>146</v>
      </c>
      <c r="D35" s="66" t="s">
        <v>165</v>
      </c>
      <c r="E35" s="64" t="s">
        <v>55</v>
      </c>
      <c r="F35" s="9" t="s">
        <v>98</v>
      </c>
      <c r="G35" s="46" t="s">
        <v>92</v>
      </c>
      <c r="H35" s="64" t="s">
        <v>6</v>
      </c>
      <c r="I35" s="9"/>
      <c r="J35" s="136">
        <v>1000</v>
      </c>
      <c r="L35" s="3" t="s">
        <v>23</v>
      </c>
      <c r="M35" s="51">
        <v>1E-3</v>
      </c>
      <c r="N35" s="51">
        <v>2.6599999999999999E-2</v>
      </c>
      <c r="O35" s="51">
        <v>0.1</v>
      </c>
      <c r="P35" s="51">
        <v>0</v>
      </c>
      <c r="Q35" s="79">
        <v>0</v>
      </c>
      <c r="T35" s="9"/>
      <c r="U35" s="9"/>
      <c r="V35" s="9"/>
      <c r="W35" s="9"/>
      <c r="Y35">
        <v>1000</v>
      </c>
    </row>
    <row r="36" spans="1:25">
      <c r="A36" s="6" t="s">
        <v>163</v>
      </c>
      <c r="B36" s="133" t="s">
        <v>164</v>
      </c>
      <c r="C36" s="66" t="s">
        <v>146</v>
      </c>
      <c r="D36" s="66" t="s">
        <v>165</v>
      </c>
      <c r="E36" s="64" t="s">
        <v>175</v>
      </c>
      <c r="F36" s="9" t="s">
        <v>98</v>
      </c>
      <c r="G36" s="46" t="s">
        <v>92</v>
      </c>
      <c r="H36" s="64" t="s">
        <v>6</v>
      </c>
      <c r="I36" s="9"/>
      <c r="J36" s="136">
        <v>1000</v>
      </c>
      <c r="L36" s="3" t="s">
        <v>23</v>
      </c>
      <c r="M36" s="51">
        <v>2E-3</v>
      </c>
      <c r="N36" s="51">
        <v>3.3300000000000003E-2</v>
      </c>
      <c r="O36" s="51">
        <v>8.6599999999999996E-2</v>
      </c>
      <c r="P36" s="51">
        <v>0</v>
      </c>
      <c r="Q36" s="79">
        <v>0</v>
      </c>
      <c r="T36" s="9"/>
      <c r="U36" s="9"/>
      <c r="V36" s="9"/>
      <c r="W36" s="9"/>
      <c r="Y36">
        <v>1000</v>
      </c>
    </row>
    <row r="37" spans="1:25">
      <c r="A37" s="6" t="s">
        <v>163</v>
      </c>
      <c r="B37" s="133" t="s">
        <v>164</v>
      </c>
      <c r="C37" s="66" t="s">
        <v>146</v>
      </c>
      <c r="D37" s="66" t="s">
        <v>165</v>
      </c>
      <c r="E37" s="64" t="s">
        <v>123</v>
      </c>
      <c r="F37" s="9" t="s">
        <v>98</v>
      </c>
      <c r="G37" s="46" t="s">
        <v>92</v>
      </c>
      <c r="H37" s="64" t="s">
        <v>6</v>
      </c>
      <c r="I37" s="9"/>
      <c r="J37" s="136">
        <v>1000</v>
      </c>
      <c r="L37" s="3" t="s">
        <v>23</v>
      </c>
      <c r="M37" s="51">
        <v>2E-3</v>
      </c>
      <c r="N37" s="51">
        <v>0.05</v>
      </c>
      <c r="O37" s="51">
        <v>0.1</v>
      </c>
      <c r="P37" s="51">
        <v>0</v>
      </c>
      <c r="Q37" s="79">
        <v>0</v>
      </c>
      <c r="T37" s="9"/>
      <c r="U37" s="9"/>
      <c r="V37" s="9"/>
      <c r="W37" s="9"/>
      <c r="Y37">
        <v>1000</v>
      </c>
    </row>
    <row r="38" spans="1:25">
      <c r="A38" s="6" t="s">
        <v>163</v>
      </c>
      <c r="B38" s="133" t="s">
        <v>164</v>
      </c>
      <c r="C38" s="66" t="s">
        <v>146</v>
      </c>
      <c r="D38" s="66" t="s">
        <v>165</v>
      </c>
      <c r="E38" s="64" t="s">
        <v>176</v>
      </c>
      <c r="F38" s="9" t="s">
        <v>98</v>
      </c>
      <c r="G38" s="46" t="s">
        <v>92</v>
      </c>
      <c r="H38" s="64" t="s">
        <v>6</v>
      </c>
      <c r="I38" s="9"/>
      <c r="J38" s="136">
        <v>1000</v>
      </c>
      <c r="L38" s="3" t="s">
        <v>23</v>
      </c>
      <c r="M38" s="51">
        <v>3.0000000000000001E-3</v>
      </c>
      <c r="N38" s="51">
        <v>4.3299999999999998E-2</v>
      </c>
      <c r="O38" s="51">
        <v>0.1033</v>
      </c>
      <c r="P38" s="51">
        <v>0</v>
      </c>
      <c r="Q38" s="79">
        <v>0</v>
      </c>
      <c r="T38" s="9"/>
      <c r="U38" s="9"/>
      <c r="V38" s="9"/>
      <c r="W38" s="9"/>
      <c r="Y38">
        <v>1000</v>
      </c>
    </row>
    <row r="39" spans="1:25">
      <c r="A39" s="6" t="s">
        <v>163</v>
      </c>
      <c r="B39" s="133" t="s">
        <v>164</v>
      </c>
      <c r="C39" s="66" t="s">
        <v>146</v>
      </c>
      <c r="D39" s="66" t="s">
        <v>165</v>
      </c>
      <c r="E39" s="64" t="s">
        <v>177</v>
      </c>
      <c r="F39" s="9" t="s">
        <v>98</v>
      </c>
      <c r="G39" s="46" t="s">
        <v>92</v>
      </c>
      <c r="H39" s="64" t="s">
        <v>6</v>
      </c>
      <c r="I39" s="9"/>
      <c r="J39" s="136">
        <v>1000</v>
      </c>
      <c r="L39" s="3" t="s">
        <v>23</v>
      </c>
      <c r="M39" s="51">
        <v>2E-3</v>
      </c>
      <c r="N39" s="51">
        <v>4.3299999999999998E-2</v>
      </c>
      <c r="O39" s="51">
        <v>0.1133</v>
      </c>
      <c r="P39" s="51">
        <v>0</v>
      </c>
      <c r="Q39" s="79">
        <v>0</v>
      </c>
      <c r="T39" s="9"/>
      <c r="U39" s="9"/>
      <c r="V39" s="9"/>
      <c r="W39" s="9"/>
      <c r="Y39">
        <v>1000</v>
      </c>
    </row>
    <row r="40" spans="1:25">
      <c r="A40" s="6" t="s">
        <v>163</v>
      </c>
      <c r="B40" s="133" t="s">
        <v>164</v>
      </c>
      <c r="C40" s="66" t="s">
        <v>146</v>
      </c>
      <c r="D40" s="66" t="s">
        <v>165</v>
      </c>
      <c r="E40" s="64" t="s">
        <v>178</v>
      </c>
      <c r="F40" s="9" t="s">
        <v>98</v>
      </c>
      <c r="G40" s="46" t="s">
        <v>92</v>
      </c>
      <c r="H40" s="64" t="s">
        <v>6</v>
      </c>
      <c r="I40" s="9"/>
      <c r="J40" s="136">
        <v>1000</v>
      </c>
      <c r="L40" s="3" t="s">
        <v>23</v>
      </c>
      <c r="M40" s="51">
        <v>1E-3</v>
      </c>
      <c r="N40" s="51">
        <v>0.04</v>
      </c>
      <c r="O40" s="51">
        <v>0.12659999999999999</v>
      </c>
      <c r="P40" s="51">
        <v>0</v>
      </c>
      <c r="Q40" s="79">
        <v>0</v>
      </c>
      <c r="T40" s="9"/>
      <c r="U40" s="9"/>
      <c r="V40" s="9"/>
      <c r="W40" s="9"/>
      <c r="Y40">
        <v>1000</v>
      </c>
    </row>
    <row r="41" spans="1:25">
      <c r="A41" s="6" t="s">
        <v>163</v>
      </c>
      <c r="B41" s="133" t="s">
        <v>166</v>
      </c>
      <c r="C41" s="66" t="s">
        <v>146</v>
      </c>
      <c r="D41" s="66" t="s">
        <v>168</v>
      </c>
      <c r="E41" s="64" t="s">
        <v>169</v>
      </c>
      <c r="F41" s="9" t="s">
        <v>98</v>
      </c>
      <c r="G41" s="46" t="s">
        <v>92</v>
      </c>
      <c r="H41" s="64" t="s">
        <v>6</v>
      </c>
      <c r="I41" s="9"/>
      <c r="J41" s="136">
        <v>1000</v>
      </c>
      <c r="L41" s="3" t="s">
        <v>23</v>
      </c>
      <c r="M41" s="51">
        <v>2E-3</v>
      </c>
      <c r="N41" s="51">
        <v>4.6600000000000003E-2</v>
      </c>
      <c r="O41" s="51">
        <v>0.14330000000000001</v>
      </c>
      <c r="P41" s="51">
        <v>0</v>
      </c>
      <c r="Q41" s="79">
        <v>0</v>
      </c>
      <c r="T41" s="9"/>
      <c r="U41" s="9"/>
      <c r="V41" s="9"/>
      <c r="W41" s="9"/>
    </row>
    <row r="42" spans="1:25">
      <c r="A42" s="6" t="s">
        <v>163</v>
      </c>
      <c r="B42" s="133" t="s">
        <v>166</v>
      </c>
      <c r="C42" s="66" t="s">
        <v>146</v>
      </c>
      <c r="D42" s="66" t="s">
        <v>168</v>
      </c>
      <c r="E42" s="64" t="s">
        <v>54</v>
      </c>
      <c r="F42" s="9" t="s">
        <v>98</v>
      </c>
      <c r="G42" s="46" t="s">
        <v>92</v>
      </c>
      <c r="H42" s="64" t="s">
        <v>6</v>
      </c>
      <c r="I42" s="9"/>
      <c r="J42" s="136">
        <v>1000</v>
      </c>
      <c r="L42" s="3" t="s">
        <v>23</v>
      </c>
      <c r="M42" s="51">
        <v>0</v>
      </c>
      <c r="N42" s="51">
        <v>0.03</v>
      </c>
      <c r="O42" s="51">
        <v>0.13</v>
      </c>
      <c r="P42" s="51">
        <v>0</v>
      </c>
      <c r="Q42" s="79">
        <v>0</v>
      </c>
      <c r="T42" s="9"/>
      <c r="U42" s="9"/>
      <c r="V42" s="9"/>
      <c r="W42" s="9"/>
      <c r="Y42">
        <v>1000</v>
      </c>
    </row>
    <row r="43" spans="1:25">
      <c r="A43" s="6" t="s">
        <v>163</v>
      </c>
      <c r="B43" s="133" t="s">
        <v>166</v>
      </c>
      <c r="C43" s="66" t="s">
        <v>146</v>
      </c>
      <c r="D43" s="66" t="s">
        <v>168</v>
      </c>
      <c r="E43" s="64" t="s">
        <v>173</v>
      </c>
      <c r="F43" s="9" t="s">
        <v>98</v>
      </c>
      <c r="G43" s="46" t="s">
        <v>92</v>
      </c>
      <c r="H43" s="64" t="s">
        <v>6</v>
      </c>
      <c r="I43" s="9"/>
      <c r="J43" s="136">
        <v>1000</v>
      </c>
      <c r="L43" s="3" t="s">
        <v>23</v>
      </c>
      <c r="M43" s="51">
        <v>1E-3</v>
      </c>
      <c r="N43" s="51">
        <v>0.02</v>
      </c>
      <c r="O43" s="51">
        <v>5.6599999999999998E-2</v>
      </c>
      <c r="P43" s="51">
        <v>0</v>
      </c>
      <c r="Q43" s="79">
        <v>0</v>
      </c>
      <c r="T43" s="9"/>
      <c r="U43" s="9"/>
      <c r="V43" s="9"/>
      <c r="W43" s="9"/>
      <c r="Y43">
        <v>1000</v>
      </c>
    </row>
    <row r="44" spans="1:25">
      <c r="A44" s="6" t="s">
        <v>163</v>
      </c>
      <c r="B44" s="133" t="s">
        <v>166</v>
      </c>
      <c r="C44" s="66" t="s">
        <v>146</v>
      </c>
      <c r="D44" s="66" t="s">
        <v>168</v>
      </c>
      <c r="E44" s="64" t="s">
        <v>174</v>
      </c>
      <c r="F44" s="9" t="s">
        <v>98</v>
      </c>
      <c r="G44" s="46" t="s">
        <v>92</v>
      </c>
      <c r="H44" s="64" t="s">
        <v>6</v>
      </c>
      <c r="I44" s="9"/>
      <c r="J44" s="136">
        <v>1000</v>
      </c>
      <c r="L44" s="3" t="s">
        <v>23</v>
      </c>
      <c r="M44" s="51">
        <v>1E-3</v>
      </c>
      <c r="N44" s="51">
        <v>1.3299999999999999E-2</v>
      </c>
      <c r="O44" s="51">
        <v>5.33E-2</v>
      </c>
      <c r="P44" s="51">
        <v>0</v>
      </c>
      <c r="Q44" s="79">
        <v>0</v>
      </c>
      <c r="T44" s="9"/>
      <c r="U44" s="9"/>
      <c r="V44" s="9"/>
      <c r="W44" s="9"/>
    </row>
    <row r="45" spans="1:25">
      <c r="A45" s="6" t="s">
        <v>163</v>
      </c>
      <c r="B45" s="133" t="s">
        <v>166</v>
      </c>
      <c r="C45" s="66" t="s">
        <v>146</v>
      </c>
      <c r="D45" s="66" t="s">
        <v>168</v>
      </c>
      <c r="E45" s="64" t="s">
        <v>55</v>
      </c>
      <c r="F45" s="9" t="s">
        <v>98</v>
      </c>
      <c r="G45" s="46" t="s">
        <v>92</v>
      </c>
      <c r="H45" s="64" t="s">
        <v>6</v>
      </c>
      <c r="I45" s="9"/>
      <c r="J45" s="136">
        <v>962</v>
      </c>
      <c r="L45" s="3" t="s">
        <v>23</v>
      </c>
      <c r="M45" s="51"/>
      <c r="N45" s="51"/>
      <c r="O45" s="51"/>
      <c r="P45" s="51"/>
      <c r="Q45" s="79"/>
      <c r="T45" s="9"/>
      <c r="U45" s="9"/>
      <c r="V45" s="9"/>
      <c r="W45" s="9"/>
      <c r="Y45">
        <v>1000</v>
      </c>
    </row>
    <row r="46" spans="1:25">
      <c r="A46" s="6" t="s">
        <v>163</v>
      </c>
      <c r="B46" s="133" t="s">
        <v>118</v>
      </c>
      <c r="C46" s="66" t="s">
        <v>146</v>
      </c>
      <c r="D46" s="66" t="s">
        <v>125</v>
      </c>
      <c r="E46" s="64" t="s">
        <v>179</v>
      </c>
      <c r="F46" s="9" t="s">
        <v>98</v>
      </c>
      <c r="G46" s="46" t="s">
        <v>92</v>
      </c>
      <c r="H46" s="137" t="s">
        <v>7</v>
      </c>
      <c r="I46" s="9"/>
      <c r="J46" s="138">
        <v>1000</v>
      </c>
      <c r="L46" s="3" t="s">
        <v>23</v>
      </c>
      <c r="M46" s="51">
        <v>2E-3</v>
      </c>
      <c r="N46" s="51">
        <v>0.04</v>
      </c>
      <c r="O46" s="51">
        <v>0.12330000000000001</v>
      </c>
      <c r="P46" s="51">
        <v>0</v>
      </c>
      <c r="Q46" s="79">
        <v>0</v>
      </c>
      <c r="T46" s="9"/>
      <c r="U46" s="9"/>
      <c r="V46" s="9"/>
      <c r="W46" s="9"/>
    </row>
    <row r="47" spans="1:25">
      <c r="A47" s="6" t="s">
        <v>163</v>
      </c>
      <c r="B47" s="133" t="s">
        <v>118</v>
      </c>
      <c r="C47" s="66" t="s">
        <v>146</v>
      </c>
      <c r="D47" s="66" t="s">
        <v>125</v>
      </c>
      <c r="E47" s="64" t="s">
        <v>180</v>
      </c>
      <c r="F47" s="9" t="s">
        <v>98</v>
      </c>
      <c r="G47" s="46" t="s">
        <v>92</v>
      </c>
      <c r="H47" s="137" t="s">
        <v>7</v>
      </c>
      <c r="I47" s="9"/>
      <c r="J47" s="138">
        <v>1000</v>
      </c>
      <c r="L47" s="3" t="s">
        <v>23</v>
      </c>
      <c r="M47" s="51">
        <v>1E-3</v>
      </c>
      <c r="N47" s="51">
        <v>0.04</v>
      </c>
      <c r="O47" s="51">
        <v>0.1633</v>
      </c>
      <c r="P47" s="51">
        <v>0</v>
      </c>
      <c r="Q47" s="79">
        <v>0</v>
      </c>
      <c r="T47" s="9"/>
      <c r="U47" s="9"/>
      <c r="V47" s="9"/>
      <c r="W47" s="9"/>
      <c r="Y47">
        <v>1000</v>
      </c>
    </row>
    <row r="48" spans="1:25">
      <c r="A48" s="6" t="s">
        <v>163</v>
      </c>
      <c r="B48" s="133" t="s">
        <v>164</v>
      </c>
      <c r="C48" s="66" t="s">
        <v>146</v>
      </c>
      <c r="D48" s="66" t="s">
        <v>165</v>
      </c>
      <c r="E48" s="64" t="s">
        <v>169</v>
      </c>
      <c r="F48" s="9" t="s">
        <v>98</v>
      </c>
      <c r="G48" s="46" t="s">
        <v>92</v>
      </c>
      <c r="H48" s="137" t="s">
        <v>7</v>
      </c>
      <c r="I48" s="9"/>
      <c r="J48" s="138">
        <v>1000</v>
      </c>
      <c r="L48" s="3" t="s">
        <v>23</v>
      </c>
      <c r="M48" s="51">
        <v>2E-3</v>
      </c>
      <c r="N48" s="51">
        <v>0.03</v>
      </c>
      <c r="O48" s="51">
        <v>0.12659999999999999</v>
      </c>
      <c r="P48" s="51">
        <v>0</v>
      </c>
      <c r="Q48" s="79">
        <v>0</v>
      </c>
      <c r="T48" s="9"/>
      <c r="U48" s="9"/>
      <c r="V48" s="9"/>
      <c r="W48" s="9"/>
      <c r="Y48">
        <v>1000</v>
      </c>
    </row>
    <row r="49" spans="1:25">
      <c r="A49" s="6" t="s">
        <v>163</v>
      </c>
      <c r="B49" s="133" t="s">
        <v>164</v>
      </c>
      <c r="C49" s="66" t="s">
        <v>146</v>
      </c>
      <c r="D49" s="66" t="s">
        <v>165</v>
      </c>
      <c r="E49" s="64" t="s">
        <v>54</v>
      </c>
      <c r="F49" s="9" t="s">
        <v>98</v>
      </c>
      <c r="G49" s="46" t="s">
        <v>92</v>
      </c>
      <c r="H49" s="137" t="s">
        <v>7</v>
      </c>
      <c r="I49" s="9"/>
      <c r="J49" s="138">
        <v>1000</v>
      </c>
      <c r="L49" s="3" t="s">
        <v>23</v>
      </c>
      <c r="M49" s="51">
        <v>1E-3</v>
      </c>
      <c r="N49" s="51">
        <v>2.6599999999999999E-2</v>
      </c>
      <c r="O49" s="51">
        <v>7.0000000000000007E-2</v>
      </c>
      <c r="P49" s="51">
        <v>0</v>
      </c>
      <c r="Q49" s="79">
        <v>0</v>
      </c>
      <c r="T49" s="9"/>
      <c r="U49" s="9"/>
      <c r="V49" s="9"/>
      <c r="W49" s="9"/>
      <c r="Y49">
        <v>1000</v>
      </c>
    </row>
    <row r="50" spans="1:25">
      <c r="A50" s="6" t="s">
        <v>163</v>
      </c>
      <c r="B50" s="133" t="s">
        <v>164</v>
      </c>
      <c r="C50" s="66" t="s">
        <v>146</v>
      </c>
      <c r="D50" s="66" t="s">
        <v>165</v>
      </c>
      <c r="E50" s="64" t="s">
        <v>173</v>
      </c>
      <c r="F50" s="9" t="s">
        <v>98</v>
      </c>
      <c r="G50" s="46" t="s">
        <v>92</v>
      </c>
      <c r="H50" s="137" t="s">
        <v>7</v>
      </c>
      <c r="I50" s="9"/>
      <c r="J50" s="138">
        <v>1000</v>
      </c>
      <c r="L50" s="3" t="s">
        <v>23</v>
      </c>
      <c r="M50" s="51">
        <v>0</v>
      </c>
      <c r="N50" s="51">
        <v>0.05</v>
      </c>
      <c r="O50" s="51">
        <v>0.1166</v>
      </c>
      <c r="P50" s="51">
        <v>0</v>
      </c>
      <c r="Q50" s="79">
        <v>0</v>
      </c>
      <c r="T50" s="9"/>
      <c r="U50" s="9"/>
      <c r="V50" s="9"/>
      <c r="W50" s="9"/>
    </row>
    <row r="51" spans="1:25">
      <c r="A51" s="6" t="s">
        <v>163</v>
      </c>
      <c r="B51" s="133" t="s">
        <v>164</v>
      </c>
      <c r="C51" s="66" t="s">
        <v>146</v>
      </c>
      <c r="D51" s="66" t="s">
        <v>165</v>
      </c>
      <c r="E51" s="64" t="s">
        <v>174</v>
      </c>
      <c r="F51" s="9" t="s">
        <v>98</v>
      </c>
      <c r="G51" s="46" t="s">
        <v>92</v>
      </c>
      <c r="H51" s="137" t="s">
        <v>7</v>
      </c>
      <c r="I51" s="9"/>
      <c r="J51" s="138">
        <v>1000</v>
      </c>
      <c r="L51" s="3" t="s">
        <v>23</v>
      </c>
      <c r="M51" s="51">
        <v>0</v>
      </c>
      <c r="N51" s="51">
        <v>0.03</v>
      </c>
      <c r="O51" s="51">
        <v>0.1166</v>
      </c>
      <c r="P51" s="51">
        <v>0</v>
      </c>
      <c r="Q51" s="79">
        <v>0</v>
      </c>
      <c r="T51" s="9"/>
      <c r="U51" s="9"/>
      <c r="V51" s="9"/>
      <c r="W51" s="9"/>
      <c r="Y51">
        <v>1000</v>
      </c>
    </row>
    <row r="52" spans="1:25">
      <c r="A52" s="6" t="s">
        <v>163</v>
      </c>
      <c r="B52" s="133" t="s">
        <v>164</v>
      </c>
      <c r="C52" s="66" t="s">
        <v>146</v>
      </c>
      <c r="D52" s="66" t="s">
        <v>165</v>
      </c>
      <c r="E52" s="64" t="s">
        <v>55</v>
      </c>
      <c r="F52" s="9" t="s">
        <v>98</v>
      </c>
      <c r="G52" s="46" t="s">
        <v>92</v>
      </c>
      <c r="H52" s="137" t="s">
        <v>7</v>
      </c>
      <c r="I52" s="9"/>
      <c r="J52" s="138">
        <v>1000</v>
      </c>
      <c r="L52" s="3" t="s">
        <v>23</v>
      </c>
      <c r="M52" s="51">
        <v>1E-3</v>
      </c>
      <c r="N52" s="51">
        <v>4.3299999999999998E-2</v>
      </c>
      <c r="O52" s="51">
        <v>0.11</v>
      </c>
      <c r="P52" s="51">
        <v>0</v>
      </c>
      <c r="Q52" s="79">
        <v>0</v>
      </c>
      <c r="T52" s="9"/>
      <c r="U52" s="9"/>
      <c r="V52" s="9"/>
      <c r="W52" s="9"/>
      <c r="Y52">
        <v>1000</v>
      </c>
    </row>
    <row r="53" spans="1:25">
      <c r="A53" s="6" t="s">
        <v>163</v>
      </c>
      <c r="B53" s="133" t="s">
        <v>164</v>
      </c>
      <c r="C53" s="66" t="s">
        <v>146</v>
      </c>
      <c r="D53" s="66" t="s">
        <v>165</v>
      </c>
      <c r="E53" s="64" t="s">
        <v>175</v>
      </c>
      <c r="F53" s="9" t="s">
        <v>98</v>
      </c>
      <c r="G53" s="46" t="s">
        <v>92</v>
      </c>
      <c r="H53" s="137" t="s">
        <v>7</v>
      </c>
      <c r="I53" s="9"/>
      <c r="J53" s="138">
        <v>1000</v>
      </c>
      <c r="L53" s="3" t="s">
        <v>23</v>
      </c>
      <c r="M53" s="51">
        <v>1E-3</v>
      </c>
      <c r="N53" s="51">
        <v>3.6600000000000001E-2</v>
      </c>
      <c r="O53" s="51">
        <v>9.6600000000000005E-2</v>
      </c>
      <c r="P53" s="51">
        <v>0</v>
      </c>
      <c r="Q53" s="79">
        <v>0</v>
      </c>
      <c r="T53" s="9"/>
      <c r="U53" s="9"/>
      <c r="V53" s="9"/>
      <c r="W53" s="9"/>
    </row>
    <row r="54" spans="1:25">
      <c r="A54" s="6" t="s">
        <v>163</v>
      </c>
      <c r="B54" s="133" t="s">
        <v>164</v>
      </c>
      <c r="C54" s="66" t="s">
        <v>146</v>
      </c>
      <c r="D54" s="66" t="s">
        <v>165</v>
      </c>
      <c r="E54" s="64" t="s">
        <v>123</v>
      </c>
      <c r="F54" s="9" t="s">
        <v>98</v>
      </c>
      <c r="G54" s="46" t="s">
        <v>92</v>
      </c>
      <c r="H54" s="137" t="s">
        <v>7</v>
      </c>
      <c r="I54" s="9"/>
      <c r="J54" s="138">
        <v>1000</v>
      </c>
      <c r="L54" s="3" t="s">
        <v>23</v>
      </c>
      <c r="M54" s="51">
        <v>0</v>
      </c>
      <c r="N54" s="51">
        <v>0.02</v>
      </c>
      <c r="O54" s="51">
        <v>0.1033</v>
      </c>
      <c r="P54" s="51">
        <v>0</v>
      </c>
      <c r="Q54" s="79">
        <v>0</v>
      </c>
      <c r="T54" s="9"/>
      <c r="U54" s="9"/>
      <c r="V54" s="9"/>
      <c r="W54" s="9"/>
    </row>
    <row r="55" spans="1:25">
      <c r="A55" s="6" t="s">
        <v>163</v>
      </c>
      <c r="B55" s="133" t="s">
        <v>164</v>
      </c>
      <c r="C55" s="66" t="s">
        <v>146</v>
      </c>
      <c r="D55" s="66" t="s">
        <v>165</v>
      </c>
      <c r="E55" s="64" t="s">
        <v>176</v>
      </c>
      <c r="F55" s="9" t="s">
        <v>98</v>
      </c>
      <c r="G55" s="46" t="s">
        <v>92</v>
      </c>
      <c r="H55" s="137" t="s">
        <v>7</v>
      </c>
      <c r="I55" s="9"/>
      <c r="J55" s="138">
        <v>1000</v>
      </c>
      <c r="L55" s="3" t="s">
        <v>23</v>
      </c>
      <c r="M55" s="51">
        <v>0</v>
      </c>
      <c r="N55" s="51">
        <v>0.04</v>
      </c>
      <c r="O55" s="51">
        <v>0.09</v>
      </c>
      <c r="P55" s="51">
        <v>0</v>
      </c>
      <c r="Q55" s="79">
        <v>0</v>
      </c>
      <c r="T55" s="9"/>
      <c r="U55" s="9"/>
      <c r="V55" s="9"/>
      <c r="W55" s="9"/>
    </row>
    <row r="56" spans="1:25">
      <c r="A56" s="6" t="s">
        <v>163</v>
      </c>
      <c r="B56" s="133" t="s">
        <v>164</v>
      </c>
      <c r="C56" s="66" t="s">
        <v>146</v>
      </c>
      <c r="D56" s="66" t="s">
        <v>165</v>
      </c>
      <c r="E56" s="64" t="s">
        <v>177</v>
      </c>
      <c r="F56" s="9" t="s">
        <v>98</v>
      </c>
      <c r="G56" s="46" t="s">
        <v>92</v>
      </c>
      <c r="H56" s="137" t="s">
        <v>7</v>
      </c>
      <c r="I56" s="9"/>
      <c r="J56" s="138">
        <v>1000</v>
      </c>
      <c r="L56" s="3" t="s">
        <v>23</v>
      </c>
      <c r="M56" s="51">
        <v>2E-3</v>
      </c>
      <c r="N56" s="51">
        <v>4.6600000000000003E-2</v>
      </c>
      <c r="O56" s="51">
        <v>6.6600000000000006E-2</v>
      </c>
      <c r="P56" s="51">
        <v>0</v>
      </c>
      <c r="Q56" s="79">
        <v>0</v>
      </c>
      <c r="T56" s="9"/>
      <c r="U56" s="9"/>
      <c r="V56" s="9"/>
      <c r="W56" s="9"/>
    </row>
    <row r="57" spans="1:25">
      <c r="A57" s="6" t="s">
        <v>163</v>
      </c>
      <c r="B57" s="133" t="s">
        <v>164</v>
      </c>
      <c r="C57" s="66" t="s">
        <v>146</v>
      </c>
      <c r="D57" s="66" t="s">
        <v>165</v>
      </c>
      <c r="E57" s="64" t="s">
        <v>178</v>
      </c>
      <c r="F57" s="9" t="s">
        <v>98</v>
      </c>
      <c r="G57" s="46" t="s">
        <v>92</v>
      </c>
      <c r="H57" s="137" t="s">
        <v>7</v>
      </c>
      <c r="I57" s="9"/>
      <c r="J57" s="138">
        <v>1000</v>
      </c>
      <c r="L57" s="3" t="s">
        <v>23</v>
      </c>
      <c r="M57" s="51">
        <v>2E-3</v>
      </c>
      <c r="N57" s="51">
        <v>0.04</v>
      </c>
      <c r="O57" s="51">
        <v>9.6600000000000005E-2</v>
      </c>
      <c r="P57" s="51">
        <v>0</v>
      </c>
      <c r="Q57" s="79">
        <v>0</v>
      </c>
      <c r="T57" s="9"/>
      <c r="U57" s="9"/>
      <c r="V57" s="9"/>
      <c r="W57" s="9"/>
    </row>
    <row r="58" spans="1:25">
      <c r="A58" s="6" t="s">
        <v>163</v>
      </c>
      <c r="B58" s="133" t="s">
        <v>164</v>
      </c>
      <c r="C58" s="66" t="s">
        <v>146</v>
      </c>
      <c r="D58" s="66" t="s">
        <v>165</v>
      </c>
      <c r="E58" s="64" t="s">
        <v>170</v>
      </c>
      <c r="F58" s="9" t="s">
        <v>98</v>
      </c>
      <c r="G58" s="46" t="s">
        <v>92</v>
      </c>
      <c r="H58" s="137" t="s">
        <v>7</v>
      </c>
      <c r="I58" s="9"/>
      <c r="J58" s="138">
        <v>1000</v>
      </c>
      <c r="L58" s="3" t="s">
        <v>23</v>
      </c>
      <c r="M58" s="51">
        <v>2E-3</v>
      </c>
      <c r="N58" s="51">
        <v>4.3299999999999998E-2</v>
      </c>
      <c r="O58" s="51">
        <v>9.3299999999999994E-2</v>
      </c>
      <c r="P58" s="51">
        <v>0</v>
      </c>
      <c r="Q58" s="79">
        <v>0</v>
      </c>
      <c r="T58" s="9"/>
      <c r="U58" s="9"/>
      <c r="V58" s="9"/>
      <c r="W58" s="9"/>
      <c r="Y58">
        <v>1000</v>
      </c>
    </row>
    <row r="59" spans="1:25">
      <c r="A59" s="6" t="s">
        <v>163</v>
      </c>
      <c r="B59" s="133" t="s">
        <v>164</v>
      </c>
      <c r="C59" s="66" t="s">
        <v>146</v>
      </c>
      <c r="D59" s="66" t="s">
        <v>165</v>
      </c>
      <c r="E59" s="64" t="s">
        <v>171</v>
      </c>
      <c r="F59" s="9" t="s">
        <v>98</v>
      </c>
      <c r="G59" s="46" t="s">
        <v>92</v>
      </c>
      <c r="H59" s="137" t="s">
        <v>7</v>
      </c>
      <c r="I59" s="9"/>
      <c r="J59" s="138">
        <v>1000</v>
      </c>
      <c r="L59" s="3" t="s">
        <v>23</v>
      </c>
      <c r="M59" s="51">
        <v>2E-3</v>
      </c>
      <c r="N59" s="51">
        <v>5.33E-2</v>
      </c>
      <c r="O59" s="51">
        <v>0.1066</v>
      </c>
      <c r="P59" s="51">
        <v>0</v>
      </c>
      <c r="Q59" s="79">
        <v>0</v>
      </c>
      <c r="T59" s="9"/>
      <c r="U59" s="9"/>
      <c r="V59" s="9"/>
      <c r="W59" s="9"/>
      <c r="Y59">
        <v>1000</v>
      </c>
    </row>
    <row r="60" spans="1:25">
      <c r="A60" s="6" t="s">
        <v>163</v>
      </c>
      <c r="B60" s="133" t="s">
        <v>164</v>
      </c>
      <c r="C60" s="66" t="s">
        <v>146</v>
      </c>
      <c r="D60" s="66" t="s">
        <v>165</v>
      </c>
      <c r="E60" s="64" t="s">
        <v>172</v>
      </c>
      <c r="F60" s="9" t="s">
        <v>98</v>
      </c>
      <c r="G60" s="46" t="s">
        <v>92</v>
      </c>
      <c r="H60" s="137" t="s">
        <v>7</v>
      </c>
      <c r="I60" s="9"/>
      <c r="J60" s="138">
        <v>1000</v>
      </c>
      <c r="L60" s="3" t="s">
        <v>23</v>
      </c>
      <c r="M60" s="51">
        <v>0</v>
      </c>
      <c r="N60" s="51">
        <v>4.3299999999999998E-2</v>
      </c>
      <c r="O60" s="51">
        <v>0.14000000000000001</v>
      </c>
      <c r="P60" s="51">
        <v>0</v>
      </c>
      <c r="Q60" s="79">
        <v>0</v>
      </c>
      <c r="T60" s="9"/>
      <c r="U60" s="9"/>
      <c r="V60" s="9"/>
      <c r="W60" s="9"/>
      <c r="Y60">
        <v>1000</v>
      </c>
    </row>
    <row r="61" spans="1:25">
      <c r="A61" s="6" t="s">
        <v>163</v>
      </c>
      <c r="B61" s="133" t="s">
        <v>164</v>
      </c>
      <c r="C61" s="66" t="s">
        <v>146</v>
      </c>
      <c r="D61" s="66" t="s">
        <v>165</v>
      </c>
      <c r="E61" s="64" t="s">
        <v>181</v>
      </c>
      <c r="F61" s="9" t="s">
        <v>98</v>
      </c>
      <c r="G61" s="46" t="s">
        <v>92</v>
      </c>
      <c r="H61" s="137" t="s">
        <v>7</v>
      </c>
      <c r="I61" s="9"/>
      <c r="J61" s="138">
        <v>1000</v>
      </c>
      <c r="L61" s="3" t="s">
        <v>23</v>
      </c>
      <c r="M61" s="51">
        <v>1E-3</v>
      </c>
      <c r="N61" s="51">
        <v>0.05</v>
      </c>
      <c r="O61" s="51">
        <v>0.12659999999999999</v>
      </c>
      <c r="P61" s="51">
        <v>0</v>
      </c>
      <c r="Q61" s="79">
        <v>0</v>
      </c>
      <c r="T61" s="9"/>
      <c r="U61" s="9"/>
      <c r="V61" s="9"/>
      <c r="W61" s="9"/>
    </row>
    <row r="62" spans="1:25">
      <c r="A62" s="6" t="s">
        <v>163</v>
      </c>
      <c r="B62" s="133" t="s">
        <v>164</v>
      </c>
      <c r="C62" s="66" t="s">
        <v>146</v>
      </c>
      <c r="D62" s="66" t="s">
        <v>165</v>
      </c>
      <c r="E62" s="64" t="s">
        <v>179</v>
      </c>
      <c r="F62" s="9" t="s">
        <v>98</v>
      </c>
      <c r="G62" s="46" t="s">
        <v>92</v>
      </c>
      <c r="H62" s="137" t="s">
        <v>7</v>
      </c>
      <c r="I62" s="9"/>
      <c r="J62" s="138">
        <v>1000</v>
      </c>
      <c r="L62" s="3" t="s">
        <v>23</v>
      </c>
      <c r="M62" s="51">
        <v>1E-3</v>
      </c>
      <c r="N62" s="51">
        <v>4.6600000000000003E-2</v>
      </c>
      <c r="O62" s="51">
        <v>0.1333</v>
      </c>
      <c r="P62" s="51">
        <v>0</v>
      </c>
      <c r="Q62" s="79">
        <v>0</v>
      </c>
      <c r="T62" s="9"/>
      <c r="U62" s="9"/>
      <c r="V62" s="9"/>
      <c r="W62" s="9"/>
    </row>
    <row r="63" spans="1:25">
      <c r="A63" s="6" t="s">
        <v>163</v>
      </c>
      <c r="B63" s="133" t="s">
        <v>164</v>
      </c>
      <c r="C63" s="66" t="s">
        <v>146</v>
      </c>
      <c r="D63" s="66" t="s">
        <v>165</v>
      </c>
      <c r="E63" s="64" t="s">
        <v>180</v>
      </c>
      <c r="F63" s="9" t="s">
        <v>98</v>
      </c>
      <c r="G63" s="46" t="s">
        <v>92</v>
      </c>
      <c r="H63" s="137" t="s">
        <v>7</v>
      </c>
      <c r="I63" s="9"/>
      <c r="J63" s="138">
        <v>1000</v>
      </c>
      <c r="L63" s="3" t="s">
        <v>23</v>
      </c>
      <c r="M63" s="51">
        <v>2E-3</v>
      </c>
      <c r="N63" s="51">
        <v>3.6600000000000001E-2</v>
      </c>
      <c r="O63" s="51">
        <v>0.16</v>
      </c>
      <c r="P63" s="51">
        <v>0</v>
      </c>
      <c r="Q63" s="79">
        <v>0</v>
      </c>
      <c r="T63" s="9"/>
      <c r="U63" s="9"/>
      <c r="V63" s="9"/>
      <c r="W63" s="9"/>
    </row>
    <row r="64" spans="1:25">
      <c r="A64" s="6" t="s">
        <v>163</v>
      </c>
      <c r="B64" s="133" t="s">
        <v>166</v>
      </c>
      <c r="C64" s="66" t="s">
        <v>146</v>
      </c>
      <c r="D64" s="66" t="s">
        <v>168</v>
      </c>
      <c r="E64" s="64" t="s">
        <v>169</v>
      </c>
      <c r="F64" s="9" t="s">
        <v>98</v>
      </c>
      <c r="G64" s="46" t="s">
        <v>92</v>
      </c>
      <c r="H64" s="137" t="s">
        <v>7</v>
      </c>
      <c r="I64" s="9"/>
      <c r="J64" s="138">
        <v>1000</v>
      </c>
      <c r="L64" s="3" t="s">
        <v>23</v>
      </c>
      <c r="M64" s="51">
        <v>1E-3</v>
      </c>
      <c r="N64" s="51">
        <v>3.6600000000000001E-2</v>
      </c>
      <c r="O64" s="51">
        <v>0.12330000000000001</v>
      </c>
      <c r="P64" s="51">
        <v>0</v>
      </c>
      <c r="Q64" s="79">
        <v>0</v>
      </c>
      <c r="T64" s="9"/>
      <c r="U64" s="9"/>
      <c r="V64" s="9"/>
      <c r="W64" s="9"/>
      <c r="Y64">
        <v>1000</v>
      </c>
    </row>
    <row r="65" spans="1:25">
      <c r="A65" s="6" t="s">
        <v>163</v>
      </c>
      <c r="B65" s="133" t="s">
        <v>166</v>
      </c>
      <c r="C65" s="66" t="s">
        <v>146</v>
      </c>
      <c r="D65" s="66" t="s">
        <v>168</v>
      </c>
      <c r="E65" s="64" t="s">
        <v>54</v>
      </c>
      <c r="F65" s="9" t="s">
        <v>98</v>
      </c>
      <c r="G65" s="46" t="s">
        <v>92</v>
      </c>
      <c r="H65" s="137" t="s">
        <v>7</v>
      </c>
      <c r="I65" s="9"/>
      <c r="J65" s="138">
        <v>1000</v>
      </c>
      <c r="L65" s="3" t="s">
        <v>23</v>
      </c>
      <c r="M65" s="51">
        <v>3.0000000000000001E-3</v>
      </c>
      <c r="N65" s="51">
        <v>2.3300000000000001E-2</v>
      </c>
      <c r="O65" s="51">
        <v>0.1366</v>
      </c>
      <c r="P65" s="51">
        <v>0</v>
      </c>
      <c r="Q65" s="79">
        <v>0</v>
      </c>
      <c r="T65" s="9"/>
      <c r="U65" s="9"/>
      <c r="V65" s="9"/>
      <c r="W65" s="9"/>
    </row>
    <row r="66" spans="1:25">
      <c r="A66" s="6" t="s">
        <v>163</v>
      </c>
      <c r="B66" s="133" t="s">
        <v>166</v>
      </c>
      <c r="C66" s="66" t="s">
        <v>146</v>
      </c>
      <c r="D66" s="66" t="s">
        <v>168</v>
      </c>
      <c r="E66" s="64" t="s">
        <v>173</v>
      </c>
      <c r="F66" s="9" t="s">
        <v>98</v>
      </c>
      <c r="G66" s="46" t="s">
        <v>92</v>
      </c>
      <c r="H66" s="137" t="s">
        <v>7</v>
      </c>
      <c r="I66" s="9"/>
      <c r="J66" s="138">
        <v>1000</v>
      </c>
      <c r="L66" s="3" t="s">
        <v>23</v>
      </c>
      <c r="M66" s="51">
        <v>2E-3</v>
      </c>
      <c r="N66" s="51">
        <v>0.02</v>
      </c>
      <c r="O66" s="51">
        <v>9.3299999999999994E-2</v>
      </c>
      <c r="P66" s="51">
        <v>0</v>
      </c>
      <c r="Q66" s="79">
        <v>0</v>
      </c>
      <c r="T66" s="9"/>
      <c r="U66" s="9"/>
      <c r="V66" s="9"/>
      <c r="W66" s="9"/>
    </row>
    <row r="67" spans="1:25">
      <c r="A67" s="6" t="s">
        <v>163</v>
      </c>
      <c r="B67" s="133" t="s">
        <v>166</v>
      </c>
      <c r="C67" s="66" t="s">
        <v>146</v>
      </c>
      <c r="D67" s="66" t="s">
        <v>168</v>
      </c>
      <c r="E67" s="64" t="s">
        <v>174</v>
      </c>
      <c r="F67" s="9" t="s">
        <v>98</v>
      </c>
      <c r="G67" s="46" t="s">
        <v>92</v>
      </c>
      <c r="H67" s="137" t="s">
        <v>7</v>
      </c>
      <c r="I67" s="9"/>
      <c r="J67" s="138">
        <v>1000</v>
      </c>
      <c r="L67" s="3" t="s">
        <v>23</v>
      </c>
      <c r="M67" s="51">
        <v>2E-3</v>
      </c>
      <c r="N67" s="51">
        <v>2.3300000000000001E-2</v>
      </c>
      <c r="O67" s="51">
        <v>8.3299999999999999E-2</v>
      </c>
      <c r="P67" s="51">
        <v>0</v>
      </c>
      <c r="Q67" s="79">
        <v>0</v>
      </c>
      <c r="T67" s="9"/>
      <c r="U67" s="9"/>
      <c r="V67" s="9"/>
      <c r="W67" s="9"/>
      <c r="Y67">
        <v>1000</v>
      </c>
    </row>
    <row r="68" spans="1:25">
      <c r="A68" s="6" t="s">
        <v>163</v>
      </c>
      <c r="B68" s="133" t="s">
        <v>166</v>
      </c>
      <c r="C68" s="66" t="s">
        <v>167</v>
      </c>
      <c r="D68" s="66" t="s">
        <v>168</v>
      </c>
      <c r="E68" s="64" t="s">
        <v>55</v>
      </c>
      <c r="F68" s="9" t="s">
        <v>98</v>
      </c>
      <c r="G68" s="46" t="s">
        <v>92</v>
      </c>
      <c r="H68" s="137" t="s">
        <v>7</v>
      </c>
      <c r="I68" s="9"/>
      <c r="J68" s="138">
        <v>1000</v>
      </c>
      <c r="L68" s="3" t="s">
        <v>23</v>
      </c>
      <c r="M68" s="51">
        <v>1E-3</v>
      </c>
      <c r="N68" s="51">
        <v>1.66E-2</v>
      </c>
      <c r="O68" s="51">
        <v>7.3300000000000004E-2</v>
      </c>
      <c r="P68" s="51">
        <v>0</v>
      </c>
      <c r="Q68" s="79">
        <v>0</v>
      </c>
      <c r="T68" s="9"/>
      <c r="U68" s="9"/>
      <c r="V68" s="9"/>
      <c r="W68" s="9"/>
    </row>
    <row r="69" spans="1:25">
      <c r="A69" s="6" t="s">
        <v>163</v>
      </c>
      <c r="B69" s="133" t="s">
        <v>166</v>
      </c>
      <c r="C69" s="66" t="s">
        <v>167</v>
      </c>
      <c r="D69" s="66" t="s">
        <v>168</v>
      </c>
      <c r="E69" s="64" t="s">
        <v>175</v>
      </c>
      <c r="F69" s="9" t="s">
        <v>98</v>
      </c>
      <c r="G69" s="46" t="s">
        <v>92</v>
      </c>
      <c r="H69" s="137" t="s">
        <v>7</v>
      </c>
      <c r="I69" s="9"/>
      <c r="J69" s="138">
        <v>1000</v>
      </c>
      <c r="L69" s="3" t="s">
        <v>23</v>
      </c>
      <c r="M69" s="51">
        <v>1E-3</v>
      </c>
      <c r="N69" s="51">
        <v>0.02</v>
      </c>
      <c r="O69" s="51">
        <v>6.6600000000000006E-2</v>
      </c>
      <c r="P69" s="51">
        <v>0</v>
      </c>
      <c r="Q69" s="79">
        <v>0</v>
      </c>
      <c r="T69" s="9"/>
      <c r="U69" s="9"/>
      <c r="V69" s="9"/>
      <c r="W69" s="9"/>
    </row>
    <row r="70" spans="1:25">
      <c r="A70" s="6" t="s">
        <v>163</v>
      </c>
      <c r="B70" s="133" t="s">
        <v>166</v>
      </c>
      <c r="C70" s="66" t="s">
        <v>167</v>
      </c>
      <c r="D70" s="66" t="s">
        <v>168</v>
      </c>
      <c r="E70" s="64" t="s">
        <v>123</v>
      </c>
      <c r="F70" s="9" t="s">
        <v>98</v>
      </c>
      <c r="G70" s="46" t="s">
        <v>92</v>
      </c>
      <c r="H70" s="137" t="s">
        <v>7</v>
      </c>
      <c r="I70" s="9"/>
      <c r="J70" s="138">
        <v>1100</v>
      </c>
      <c r="L70" s="3" t="s">
        <v>23</v>
      </c>
      <c r="M70" s="51">
        <v>2E-3</v>
      </c>
      <c r="N70" s="51">
        <v>2.3300000000000001E-2</v>
      </c>
      <c r="O70" s="51">
        <v>7.0000000000000007E-2</v>
      </c>
      <c r="P70" s="51">
        <v>0</v>
      </c>
      <c r="Q70" s="79">
        <v>0</v>
      </c>
      <c r="T70" s="9"/>
      <c r="U70" s="9"/>
      <c r="V70" s="9"/>
      <c r="W70" s="9"/>
    </row>
    <row r="71" spans="1:25">
      <c r="A71" s="6" t="s">
        <v>163</v>
      </c>
      <c r="B71" s="133" t="s">
        <v>117</v>
      </c>
      <c r="C71" s="66" t="s">
        <v>146</v>
      </c>
      <c r="D71" s="66" t="s">
        <v>182</v>
      </c>
      <c r="E71" s="131" t="s">
        <v>62</v>
      </c>
      <c r="F71" s="9" t="s">
        <v>98</v>
      </c>
      <c r="G71" s="46" t="s">
        <v>8</v>
      </c>
      <c r="H71" s="9" t="s">
        <v>122</v>
      </c>
      <c r="I71" s="9"/>
      <c r="J71" s="45">
        <v>800</v>
      </c>
      <c r="L71" s="3" t="s">
        <v>23</v>
      </c>
      <c r="M71" s="139">
        <v>2.3E-2</v>
      </c>
      <c r="N71" s="140">
        <v>0</v>
      </c>
      <c r="O71" s="140">
        <v>0</v>
      </c>
      <c r="P71" s="140">
        <v>0</v>
      </c>
      <c r="Q71" s="141">
        <v>0</v>
      </c>
      <c r="T71" s="9"/>
      <c r="U71" s="9"/>
      <c r="V71" s="9"/>
      <c r="W71" s="9"/>
      <c r="Y71">
        <v>1000</v>
      </c>
    </row>
    <row r="72" spans="1:25">
      <c r="A72" s="6" t="s">
        <v>163</v>
      </c>
      <c r="B72" s="133" t="s">
        <v>117</v>
      </c>
      <c r="C72" s="66" t="s">
        <v>146</v>
      </c>
      <c r="D72" s="66" t="s">
        <v>83</v>
      </c>
      <c r="E72" s="131" t="s">
        <v>62</v>
      </c>
      <c r="F72" s="9" t="s">
        <v>98</v>
      </c>
      <c r="G72" s="46" t="s">
        <v>8</v>
      </c>
      <c r="H72" s="9" t="s">
        <v>122</v>
      </c>
      <c r="I72" s="9"/>
      <c r="J72" s="45">
        <v>800</v>
      </c>
      <c r="L72" s="3" t="s">
        <v>23</v>
      </c>
      <c r="M72" s="139">
        <v>1.9E-2</v>
      </c>
      <c r="N72" s="140">
        <v>0</v>
      </c>
      <c r="O72" s="140">
        <v>0</v>
      </c>
      <c r="P72" s="140">
        <v>0</v>
      </c>
      <c r="Q72" s="141">
        <v>0</v>
      </c>
      <c r="T72" s="9"/>
      <c r="U72" s="9"/>
      <c r="V72" s="9"/>
      <c r="W72" s="9"/>
    </row>
    <row r="73" spans="1:25">
      <c r="A73" s="6" t="s">
        <v>163</v>
      </c>
      <c r="B73" s="133" t="s">
        <v>117</v>
      </c>
      <c r="C73" s="66" t="s">
        <v>146</v>
      </c>
      <c r="D73" s="66" t="s">
        <v>83</v>
      </c>
      <c r="E73" s="131" t="s">
        <v>62</v>
      </c>
      <c r="F73" s="9" t="s">
        <v>98</v>
      </c>
      <c r="G73" s="46" t="s">
        <v>8</v>
      </c>
      <c r="H73" s="9" t="s">
        <v>122</v>
      </c>
      <c r="I73" s="9"/>
      <c r="J73" s="142">
        <v>700</v>
      </c>
      <c r="L73" s="3" t="s">
        <v>23</v>
      </c>
      <c r="M73" s="51">
        <v>1.6E-2</v>
      </c>
      <c r="N73" s="4">
        <v>0</v>
      </c>
      <c r="O73" s="4">
        <v>0</v>
      </c>
      <c r="P73" s="4">
        <v>0</v>
      </c>
      <c r="Q73" s="79">
        <v>0</v>
      </c>
      <c r="T73" s="9"/>
      <c r="U73" s="9"/>
      <c r="V73" s="9"/>
      <c r="W73" s="9"/>
    </row>
    <row r="74" spans="1:25">
      <c r="A74" s="6" t="s">
        <v>163</v>
      </c>
      <c r="B74" s="133" t="s">
        <v>118</v>
      </c>
      <c r="C74" s="66" t="s">
        <v>146</v>
      </c>
      <c r="D74" s="66" t="s">
        <v>183</v>
      </c>
      <c r="E74" s="128" t="s">
        <v>62</v>
      </c>
      <c r="F74" s="9" t="s">
        <v>98</v>
      </c>
      <c r="G74" s="46" t="s">
        <v>8</v>
      </c>
      <c r="H74" s="15" t="s">
        <v>93</v>
      </c>
      <c r="I74" s="9"/>
      <c r="J74" s="138">
        <v>990</v>
      </c>
      <c r="L74" s="3" t="s">
        <v>23</v>
      </c>
      <c r="M74" s="51">
        <v>0.36499999999999999</v>
      </c>
      <c r="N74" s="51">
        <v>0</v>
      </c>
      <c r="O74" s="51">
        <v>0</v>
      </c>
      <c r="P74" s="51">
        <v>0</v>
      </c>
      <c r="Q74" s="79">
        <v>0.13900000000000001</v>
      </c>
      <c r="T74" s="9"/>
      <c r="U74" s="9"/>
      <c r="V74" s="9"/>
      <c r="W74" s="9"/>
    </row>
    <row r="75" spans="1:25">
      <c r="A75" s="6" t="s">
        <v>163</v>
      </c>
      <c r="B75" s="133" t="s">
        <v>118</v>
      </c>
      <c r="C75" s="66" t="s">
        <v>146</v>
      </c>
      <c r="D75" s="66" t="s">
        <v>183</v>
      </c>
      <c r="E75" s="128" t="s">
        <v>62</v>
      </c>
      <c r="F75" s="9" t="s">
        <v>98</v>
      </c>
      <c r="G75" s="46" t="s">
        <v>8</v>
      </c>
      <c r="H75" s="15" t="s">
        <v>93</v>
      </c>
      <c r="I75" s="9"/>
      <c r="J75" s="138">
        <v>872</v>
      </c>
      <c r="L75" s="3" t="s">
        <v>23</v>
      </c>
      <c r="M75" s="51">
        <v>0.39200000000000002</v>
      </c>
      <c r="N75" s="51">
        <v>0</v>
      </c>
      <c r="O75" s="51">
        <v>0</v>
      </c>
      <c r="P75" s="51">
        <v>0</v>
      </c>
      <c r="Q75" s="79">
        <v>0.16400000000000001</v>
      </c>
      <c r="T75" s="9"/>
      <c r="U75" s="9"/>
      <c r="V75" s="9"/>
      <c r="W75" s="9"/>
    </row>
    <row r="76" spans="1:25">
      <c r="A76" s="6" t="s">
        <v>163</v>
      </c>
      <c r="B76" s="133" t="s">
        <v>164</v>
      </c>
      <c r="C76" s="66" t="s">
        <v>146</v>
      </c>
      <c r="D76" s="66" t="s">
        <v>184</v>
      </c>
      <c r="E76" s="128" t="s">
        <v>62</v>
      </c>
      <c r="F76" s="9" t="s">
        <v>98</v>
      </c>
      <c r="G76" s="46" t="s">
        <v>8</v>
      </c>
      <c r="H76" s="15" t="s">
        <v>93</v>
      </c>
      <c r="I76" s="9"/>
      <c r="J76" s="138">
        <v>931</v>
      </c>
      <c r="L76" s="3" t="s">
        <v>23</v>
      </c>
      <c r="M76" s="51">
        <v>0.35599999999999998</v>
      </c>
      <c r="N76" s="51">
        <v>0</v>
      </c>
      <c r="O76" s="51">
        <v>0</v>
      </c>
      <c r="P76" s="51">
        <v>0</v>
      </c>
      <c r="Q76" s="79">
        <v>0.23599999999999999</v>
      </c>
      <c r="T76" s="9"/>
      <c r="U76" s="9"/>
      <c r="V76" s="9"/>
      <c r="W76" s="9"/>
    </row>
    <row r="77" spans="1:25">
      <c r="A77" s="6" t="s">
        <v>163</v>
      </c>
      <c r="B77" s="133" t="s">
        <v>164</v>
      </c>
      <c r="C77" s="66" t="s">
        <v>146</v>
      </c>
      <c r="D77" s="66" t="s">
        <v>184</v>
      </c>
      <c r="E77" s="128" t="s">
        <v>62</v>
      </c>
      <c r="F77" s="9" t="s">
        <v>98</v>
      </c>
      <c r="G77" s="46" t="s">
        <v>8</v>
      </c>
      <c r="H77" s="15" t="s">
        <v>93</v>
      </c>
      <c r="I77" s="9"/>
      <c r="J77" s="138">
        <v>949</v>
      </c>
      <c r="L77" s="3" t="s">
        <v>23</v>
      </c>
      <c r="M77" s="51">
        <v>0.41299999999999998</v>
      </c>
      <c r="N77" s="51">
        <v>0</v>
      </c>
      <c r="O77" s="51">
        <v>0</v>
      </c>
      <c r="P77" s="51">
        <v>0</v>
      </c>
      <c r="Q77" s="79">
        <v>0.19700000000000001</v>
      </c>
      <c r="T77" s="9"/>
      <c r="U77" s="9"/>
      <c r="V77" s="9"/>
      <c r="W77" s="9"/>
    </row>
    <row r="78" spans="1:25">
      <c r="A78" s="6" t="s">
        <v>163</v>
      </c>
      <c r="B78" s="133" t="s">
        <v>164</v>
      </c>
      <c r="C78" s="66" t="s">
        <v>146</v>
      </c>
      <c r="D78" s="66" t="s">
        <v>184</v>
      </c>
      <c r="E78" s="128" t="s">
        <v>62</v>
      </c>
      <c r="F78" s="9" t="s">
        <v>98</v>
      </c>
      <c r="G78" s="46" t="s">
        <v>8</v>
      </c>
      <c r="H78" s="15" t="s">
        <v>93</v>
      </c>
      <c r="I78" s="9"/>
      <c r="J78" s="138">
        <v>1026</v>
      </c>
      <c r="L78" s="3" t="s">
        <v>23</v>
      </c>
      <c r="M78" s="51">
        <v>8.9999999999999993E-3</v>
      </c>
      <c r="N78" s="51">
        <v>0</v>
      </c>
      <c r="O78" s="51">
        <v>0</v>
      </c>
      <c r="P78" s="51">
        <v>0</v>
      </c>
      <c r="Q78" s="79">
        <v>4.0000000000000001E-3</v>
      </c>
      <c r="T78" s="9"/>
      <c r="U78" s="9"/>
      <c r="V78" s="9"/>
      <c r="W78" s="9"/>
    </row>
    <row r="79" spans="1:25">
      <c r="A79" s="6" t="s">
        <v>163</v>
      </c>
      <c r="B79" s="133" t="s">
        <v>164</v>
      </c>
      <c r="C79" s="66" t="s">
        <v>146</v>
      </c>
      <c r="D79" s="66" t="s">
        <v>184</v>
      </c>
      <c r="E79" s="128" t="s">
        <v>62</v>
      </c>
      <c r="F79" s="9" t="s">
        <v>98</v>
      </c>
      <c r="G79" s="46" t="s">
        <v>8</v>
      </c>
      <c r="H79" s="15" t="s">
        <v>93</v>
      </c>
      <c r="I79" s="9"/>
      <c r="J79" s="138">
        <v>926</v>
      </c>
      <c r="L79" s="3" t="s">
        <v>23</v>
      </c>
      <c r="M79" s="51">
        <v>0.307</v>
      </c>
      <c r="N79" s="51">
        <v>0</v>
      </c>
      <c r="O79" s="51">
        <v>0</v>
      </c>
      <c r="P79" s="51">
        <v>0</v>
      </c>
      <c r="Q79" s="79">
        <v>0.158</v>
      </c>
      <c r="T79" s="9"/>
      <c r="U79" s="9"/>
      <c r="V79" s="9"/>
      <c r="W79" s="9"/>
    </row>
    <row r="80" spans="1:25">
      <c r="A80" s="6" t="s">
        <v>163</v>
      </c>
      <c r="B80" s="133" t="s">
        <v>166</v>
      </c>
      <c r="C80" s="66" t="s">
        <v>146</v>
      </c>
      <c r="D80" s="66" t="s">
        <v>168</v>
      </c>
      <c r="E80" s="128" t="s">
        <v>62</v>
      </c>
      <c r="F80" s="9" t="s">
        <v>98</v>
      </c>
      <c r="G80" s="46" t="s">
        <v>8</v>
      </c>
      <c r="H80" s="15" t="s">
        <v>93</v>
      </c>
      <c r="I80" s="9"/>
      <c r="J80" s="138">
        <v>890</v>
      </c>
      <c r="L80" s="3" t="s">
        <v>23</v>
      </c>
      <c r="M80" s="51">
        <v>0.27500000000000002</v>
      </c>
      <c r="N80" s="51">
        <v>0</v>
      </c>
      <c r="O80" s="51">
        <v>0</v>
      </c>
      <c r="P80" s="51">
        <v>0</v>
      </c>
      <c r="Q80" s="79">
        <v>0.11600000000000001</v>
      </c>
      <c r="T80" s="9"/>
      <c r="U80" s="9"/>
      <c r="V80" s="9"/>
      <c r="W80" s="9"/>
    </row>
    <row r="81" spans="1:23">
      <c r="A81" s="6" t="s">
        <v>163</v>
      </c>
      <c r="B81" s="133" t="s">
        <v>166</v>
      </c>
      <c r="C81" s="66" t="s">
        <v>146</v>
      </c>
      <c r="D81" s="66" t="s">
        <v>168</v>
      </c>
      <c r="E81" s="128" t="s">
        <v>62</v>
      </c>
      <c r="F81" s="9" t="s">
        <v>98</v>
      </c>
      <c r="G81" s="46" t="s">
        <v>8</v>
      </c>
      <c r="H81" s="15" t="s">
        <v>93</v>
      </c>
      <c r="I81" s="9"/>
      <c r="J81" s="138">
        <v>940</v>
      </c>
      <c r="L81" s="3" t="s">
        <v>23</v>
      </c>
      <c r="M81" s="51">
        <v>0.28399999999999997</v>
      </c>
      <c r="N81" s="51">
        <v>0</v>
      </c>
      <c r="O81" s="51">
        <v>0</v>
      </c>
      <c r="P81" s="51">
        <v>0</v>
      </c>
      <c r="Q81" s="79">
        <v>0.158</v>
      </c>
      <c r="T81" s="9"/>
      <c r="U81" s="9"/>
      <c r="V81" s="9"/>
      <c r="W81" s="9"/>
    </row>
    <row r="82" spans="1:23">
      <c r="A82" s="6" t="s">
        <v>163</v>
      </c>
      <c r="B82" s="133" t="s">
        <v>166</v>
      </c>
      <c r="C82" s="66" t="s">
        <v>167</v>
      </c>
      <c r="D82" s="66" t="s">
        <v>168</v>
      </c>
      <c r="E82" s="128" t="s">
        <v>62</v>
      </c>
      <c r="F82" s="9" t="s">
        <v>98</v>
      </c>
      <c r="G82" s="46" t="s">
        <v>8</v>
      </c>
      <c r="H82" s="15" t="s">
        <v>93</v>
      </c>
      <c r="I82" s="9"/>
      <c r="J82" s="138">
        <v>746</v>
      </c>
      <c r="L82" s="3" t="s">
        <v>23</v>
      </c>
      <c r="M82" s="51">
        <v>1.2E-2</v>
      </c>
      <c r="N82" s="51">
        <v>0</v>
      </c>
      <c r="O82" s="51">
        <v>0</v>
      </c>
      <c r="P82" s="51">
        <v>0</v>
      </c>
      <c r="Q82" s="79">
        <v>8.0000000000000002E-3</v>
      </c>
      <c r="T82" s="9"/>
      <c r="U82" s="9"/>
      <c r="V82" s="9"/>
      <c r="W82" s="9"/>
    </row>
    <row r="83" spans="1:23">
      <c r="A83" s="6" t="s">
        <v>86</v>
      </c>
      <c r="B83" s="6" t="s">
        <v>115</v>
      </c>
      <c r="C83" s="122" t="s">
        <v>146</v>
      </c>
      <c r="D83" s="125" t="s">
        <v>185</v>
      </c>
      <c r="E83" s="4" t="s">
        <v>15</v>
      </c>
      <c r="F83" s="47" t="s">
        <v>91</v>
      </c>
      <c r="G83" s="46" t="s">
        <v>92</v>
      </c>
      <c r="H83" s="64" t="s">
        <v>4</v>
      </c>
      <c r="I83" s="9"/>
      <c r="J83" s="3">
        <v>1000</v>
      </c>
      <c r="L83" s="3" t="s">
        <v>25</v>
      </c>
      <c r="M83" s="49">
        <v>3.0000000000000001E-3</v>
      </c>
      <c r="N83" s="51">
        <v>3.6600000000000001E-2</v>
      </c>
      <c r="O83" s="51">
        <v>5.6599999999999998E-2</v>
      </c>
      <c r="P83" s="51">
        <v>0</v>
      </c>
      <c r="Q83" s="75">
        <v>2E-3</v>
      </c>
      <c r="T83" s="9"/>
      <c r="U83" s="9"/>
      <c r="V83" s="9"/>
      <c r="W83" s="9"/>
    </row>
    <row r="84" spans="1:23">
      <c r="A84" s="6" t="s">
        <v>86</v>
      </c>
      <c r="B84" s="6" t="s">
        <v>120</v>
      </c>
      <c r="C84" s="122" t="s">
        <v>146</v>
      </c>
      <c r="D84" s="125" t="s">
        <v>186</v>
      </c>
      <c r="E84" s="4" t="s">
        <v>44</v>
      </c>
      <c r="F84" s="47" t="s">
        <v>91</v>
      </c>
      <c r="G84" s="46" t="s">
        <v>92</v>
      </c>
      <c r="H84" s="64" t="s">
        <v>6</v>
      </c>
      <c r="I84" s="9"/>
      <c r="J84" s="3">
        <v>500</v>
      </c>
      <c r="L84" s="3" t="s">
        <v>25</v>
      </c>
      <c r="M84" s="51">
        <v>0.11799999999999999</v>
      </c>
      <c r="N84" s="51">
        <v>0.08</v>
      </c>
      <c r="O84" s="51">
        <v>6.3299999999999995E-2</v>
      </c>
      <c r="P84" s="51">
        <v>0</v>
      </c>
      <c r="Q84" s="75">
        <v>0</v>
      </c>
      <c r="T84" s="9"/>
      <c r="U84" s="9"/>
      <c r="V84" s="9"/>
      <c r="W84" s="9"/>
    </row>
    <row r="85" spans="1:23">
      <c r="A85" s="6" t="s">
        <v>86</v>
      </c>
      <c r="B85" s="6" t="s">
        <v>113</v>
      </c>
      <c r="C85" s="122" t="s">
        <v>146</v>
      </c>
      <c r="D85" s="125" t="s">
        <v>187</v>
      </c>
      <c r="E85" s="4" t="s">
        <v>14</v>
      </c>
      <c r="F85" s="47" t="s">
        <v>91</v>
      </c>
      <c r="G85" s="46" t="s">
        <v>92</v>
      </c>
      <c r="H85" s="64" t="s">
        <v>6</v>
      </c>
      <c r="I85" s="9"/>
      <c r="J85" s="3">
        <v>1000</v>
      </c>
      <c r="L85" s="3" t="s">
        <v>25</v>
      </c>
      <c r="M85" s="51">
        <v>2E-3</v>
      </c>
      <c r="N85" s="51">
        <v>3.6600000000000001E-2</v>
      </c>
      <c r="O85" s="51">
        <v>3.3300000000000003E-2</v>
      </c>
      <c r="P85" s="51">
        <v>0</v>
      </c>
      <c r="Q85" s="75">
        <v>0</v>
      </c>
      <c r="T85" s="9"/>
      <c r="U85" s="9"/>
      <c r="V85" s="9"/>
      <c r="W85" s="9"/>
    </row>
    <row r="86" spans="1:23">
      <c r="A86" s="6" t="s">
        <v>86</v>
      </c>
      <c r="B86" s="6" t="s">
        <v>113</v>
      </c>
      <c r="C86" s="122" t="s">
        <v>146</v>
      </c>
      <c r="D86" s="125" t="s">
        <v>187</v>
      </c>
      <c r="E86" s="4" t="s">
        <v>41</v>
      </c>
      <c r="F86" s="47" t="s">
        <v>91</v>
      </c>
      <c r="G86" s="46" t="s">
        <v>92</v>
      </c>
      <c r="H86" s="64" t="s">
        <v>6</v>
      </c>
      <c r="I86" s="9"/>
      <c r="J86" s="136">
        <v>1000</v>
      </c>
      <c r="L86" s="3" t="s">
        <v>25</v>
      </c>
      <c r="M86" s="51">
        <v>3.0000000000000001E-3</v>
      </c>
      <c r="N86" s="51">
        <v>3.6600000000000001E-2</v>
      </c>
      <c r="O86" s="51">
        <v>0.04</v>
      </c>
      <c r="P86" s="51">
        <v>0</v>
      </c>
      <c r="Q86" s="75">
        <v>0</v>
      </c>
      <c r="T86" s="9"/>
      <c r="U86" s="9"/>
      <c r="V86" s="9"/>
      <c r="W86" s="9"/>
    </row>
    <row r="87" spans="1:23">
      <c r="A87" s="6" t="s">
        <v>86</v>
      </c>
      <c r="B87" s="6" t="s">
        <v>116</v>
      </c>
      <c r="C87" s="122" t="s">
        <v>146</v>
      </c>
      <c r="D87" s="125" t="s">
        <v>187</v>
      </c>
      <c r="E87" s="4" t="s">
        <v>42</v>
      </c>
      <c r="F87" s="47" t="s">
        <v>91</v>
      </c>
      <c r="G87" s="46" t="s">
        <v>92</v>
      </c>
      <c r="H87" s="64" t="s">
        <v>6</v>
      </c>
      <c r="I87" s="9"/>
      <c r="J87" s="136">
        <v>1000</v>
      </c>
      <c r="L87" s="3" t="s">
        <v>25</v>
      </c>
      <c r="M87" s="51">
        <v>2E-3</v>
      </c>
      <c r="N87" s="51">
        <v>0.03</v>
      </c>
      <c r="O87" s="51">
        <v>0.04</v>
      </c>
      <c r="P87" s="51">
        <v>0</v>
      </c>
      <c r="Q87" s="75">
        <v>0</v>
      </c>
      <c r="T87" s="9"/>
      <c r="U87" s="9"/>
      <c r="V87" s="9"/>
      <c r="W87" s="9"/>
    </row>
    <row r="88" spans="1:23">
      <c r="A88" s="6" t="s">
        <v>86</v>
      </c>
      <c r="B88" s="6" t="s">
        <v>116</v>
      </c>
      <c r="C88" s="122" t="s">
        <v>146</v>
      </c>
      <c r="D88" s="125" t="s">
        <v>187</v>
      </c>
      <c r="E88" s="4" t="s">
        <v>43</v>
      </c>
      <c r="F88" s="47" t="s">
        <v>91</v>
      </c>
      <c r="G88" s="46" t="s">
        <v>92</v>
      </c>
      <c r="H88" s="64" t="s">
        <v>6</v>
      </c>
      <c r="I88" s="9"/>
      <c r="J88" s="136">
        <v>1000</v>
      </c>
      <c r="L88" s="3" t="s">
        <v>25</v>
      </c>
      <c r="M88" s="51">
        <v>2E-3</v>
      </c>
      <c r="N88" s="51">
        <v>0.03</v>
      </c>
      <c r="O88" s="51">
        <v>0.06</v>
      </c>
      <c r="P88" s="51">
        <v>0</v>
      </c>
      <c r="Q88" s="75">
        <v>0</v>
      </c>
      <c r="T88" s="9"/>
      <c r="U88" s="9"/>
      <c r="V88" s="9"/>
      <c r="W88" s="9"/>
    </row>
    <row r="89" spans="1:23">
      <c r="A89" s="6" t="s">
        <v>86</v>
      </c>
      <c r="B89" s="6" t="s">
        <v>116</v>
      </c>
      <c r="C89" s="122" t="s">
        <v>146</v>
      </c>
      <c r="D89" s="125" t="s">
        <v>187</v>
      </c>
      <c r="E89" s="4" t="s">
        <v>44</v>
      </c>
      <c r="F89" s="47" t="s">
        <v>91</v>
      </c>
      <c r="G89" s="46" t="s">
        <v>92</v>
      </c>
      <c r="H89" s="64" t="s">
        <v>6</v>
      </c>
      <c r="I89" s="9"/>
      <c r="J89" s="136">
        <v>1000</v>
      </c>
      <c r="L89" s="3" t="s">
        <v>25</v>
      </c>
      <c r="M89" s="51">
        <v>2E-3</v>
      </c>
      <c r="N89" s="51">
        <v>3.3300000000000003E-2</v>
      </c>
      <c r="O89" s="51">
        <v>0.02</v>
      </c>
      <c r="P89" s="51">
        <v>0</v>
      </c>
      <c r="Q89" s="75">
        <v>0</v>
      </c>
      <c r="T89" s="9"/>
      <c r="U89" s="9"/>
      <c r="V89" s="9"/>
      <c r="W89" s="9"/>
    </row>
    <row r="90" spans="1:23">
      <c r="A90" s="6" t="s">
        <v>86</v>
      </c>
      <c r="B90" s="6" t="s">
        <v>188</v>
      </c>
      <c r="C90" s="122" t="s">
        <v>146</v>
      </c>
      <c r="D90" s="125" t="s">
        <v>189</v>
      </c>
      <c r="E90" s="4" t="s">
        <v>45</v>
      </c>
      <c r="F90" s="47" t="s">
        <v>91</v>
      </c>
      <c r="G90" s="46" t="s">
        <v>92</v>
      </c>
      <c r="H90" s="64" t="s">
        <v>6</v>
      </c>
      <c r="I90" s="9"/>
      <c r="J90" s="136">
        <v>500</v>
      </c>
      <c r="L90" s="3" t="s">
        <v>25</v>
      </c>
      <c r="M90" s="51">
        <v>2E-3</v>
      </c>
      <c r="N90" s="51">
        <v>0.04</v>
      </c>
      <c r="O90" s="51">
        <v>0.04</v>
      </c>
      <c r="P90" s="51">
        <v>0</v>
      </c>
      <c r="Q90" s="75">
        <v>0</v>
      </c>
      <c r="T90" s="9"/>
      <c r="U90" s="9"/>
      <c r="V90" s="9"/>
      <c r="W90" s="9"/>
    </row>
    <row r="91" spans="1:23">
      <c r="A91" s="6" t="s">
        <v>86</v>
      </c>
      <c r="B91" s="6" t="s">
        <v>188</v>
      </c>
      <c r="C91" s="122" t="s">
        <v>146</v>
      </c>
      <c r="D91" s="125" t="s">
        <v>189</v>
      </c>
      <c r="E91" s="4" t="s">
        <v>47</v>
      </c>
      <c r="F91" s="47" t="s">
        <v>91</v>
      </c>
      <c r="G91" s="46" t="s">
        <v>92</v>
      </c>
      <c r="H91" s="64" t="s">
        <v>6</v>
      </c>
      <c r="I91" s="9"/>
      <c r="J91" s="136">
        <v>1000</v>
      </c>
      <c r="L91" s="3" t="s">
        <v>25</v>
      </c>
      <c r="M91" s="51">
        <v>2E-3</v>
      </c>
      <c r="N91" s="51">
        <v>0.02</v>
      </c>
      <c r="O91" s="51">
        <v>0.06</v>
      </c>
      <c r="P91" s="51">
        <v>0</v>
      </c>
      <c r="Q91" s="75">
        <v>0</v>
      </c>
      <c r="T91" s="9"/>
      <c r="U91" s="9"/>
      <c r="V91" s="9"/>
      <c r="W91" s="9"/>
    </row>
    <row r="92" spans="1:23">
      <c r="A92" s="6" t="s">
        <v>86</v>
      </c>
      <c r="B92" s="6" t="s">
        <v>188</v>
      </c>
      <c r="C92" s="122" t="s">
        <v>146</v>
      </c>
      <c r="D92" s="125" t="s">
        <v>189</v>
      </c>
      <c r="E92" s="4" t="s">
        <v>48</v>
      </c>
      <c r="F92" s="47" t="s">
        <v>91</v>
      </c>
      <c r="G92" s="46" t="s">
        <v>92</v>
      </c>
      <c r="H92" s="64" t="s">
        <v>6</v>
      </c>
      <c r="I92" s="9"/>
      <c r="J92" s="136">
        <v>1000</v>
      </c>
      <c r="L92" s="3" t="s">
        <v>25</v>
      </c>
      <c r="M92" s="51">
        <v>3.0000000000000001E-3</v>
      </c>
      <c r="N92" s="51">
        <v>2.6599999999999999E-2</v>
      </c>
      <c r="O92" s="51">
        <v>0.03</v>
      </c>
      <c r="P92" s="51">
        <v>0</v>
      </c>
      <c r="Q92" s="75">
        <v>0</v>
      </c>
      <c r="T92" s="9"/>
      <c r="U92" s="9"/>
      <c r="V92" s="9"/>
      <c r="W92" s="9"/>
    </row>
    <row r="93" spans="1:23">
      <c r="A93" s="6" t="s">
        <v>86</v>
      </c>
      <c r="B93" s="6" t="s">
        <v>188</v>
      </c>
      <c r="C93" s="122" t="s">
        <v>146</v>
      </c>
      <c r="D93" s="125" t="s">
        <v>189</v>
      </c>
      <c r="E93" s="4" t="s">
        <v>49</v>
      </c>
      <c r="F93" s="47" t="s">
        <v>91</v>
      </c>
      <c r="G93" s="46" t="s">
        <v>92</v>
      </c>
      <c r="H93" s="64" t="s">
        <v>6</v>
      </c>
      <c r="I93" s="9"/>
      <c r="J93" s="136">
        <v>1000</v>
      </c>
      <c r="L93" s="3" t="s">
        <v>25</v>
      </c>
      <c r="M93" s="51">
        <v>1E-3</v>
      </c>
      <c r="N93" s="51">
        <v>0.03</v>
      </c>
      <c r="O93" s="51">
        <v>0.03</v>
      </c>
      <c r="P93" s="51">
        <v>0</v>
      </c>
      <c r="Q93" s="75">
        <v>0</v>
      </c>
      <c r="T93" s="9"/>
      <c r="U93" s="9"/>
      <c r="V93" s="9"/>
      <c r="W93" s="9"/>
    </row>
    <row r="94" spans="1:23">
      <c r="A94" s="6" t="s">
        <v>86</v>
      </c>
      <c r="B94" s="6" t="s">
        <v>188</v>
      </c>
      <c r="C94" s="122" t="s">
        <v>146</v>
      </c>
      <c r="D94" s="125" t="s">
        <v>189</v>
      </c>
      <c r="E94" s="4" t="s">
        <v>50</v>
      </c>
      <c r="F94" s="47" t="s">
        <v>91</v>
      </c>
      <c r="G94" s="46" t="s">
        <v>92</v>
      </c>
      <c r="H94" s="64" t="s">
        <v>6</v>
      </c>
      <c r="I94" s="9"/>
      <c r="J94" s="136">
        <v>1000</v>
      </c>
      <c r="L94" s="3" t="s">
        <v>25</v>
      </c>
      <c r="M94" s="51">
        <v>3.0000000000000001E-3</v>
      </c>
      <c r="N94" s="51">
        <v>3.6600000000000001E-2</v>
      </c>
      <c r="O94" s="51">
        <v>3.3300000000000003E-2</v>
      </c>
      <c r="P94" s="51">
        <v>0</v>
      </c>
      <c r="Q94" s="75">
        <v>0</v>
      </c>
      <c r="T94" s="9"/>
      <c r="U94" s="9"/>
      <c r="V94" s="9"/>
      <c r="W94" s="9"/>
    </row>
    <row r="95" spans="1:23">
      <c r="A95" s="6" t="s">
        <v>86</v>
      </c>
      <c r="B95" s="6" t="s">
        <v>188</v>
      </c>
      <c r="C95" s="122" t="s">
        <v>146</v>
      </c>
      <c r="D95" s="125" t="s">
        <v>189</v>
      </c>
      <c r="E95" s="4" t="s">
        <v>57</v>
      </c>
      <c r="F95" s="47" t="s">
        <v>91</v>
      </c>
      <c r="G95" s="46" t="s">
        <v>92</v>
      </c>
      <c r="H95" s="64" t="s">
        <v>6</v>
      </c>
      <c r="I95" s="9"/>
      <c r="J95" s="136">
        <v>1000</v>
      </c>
      <c r="L95" s="3" t="s">
        <v>25</v>
      </c>
      <c r="M95" s="51">
        <v>1E-3</v>
      </c>
      <c r="N95" s="51">
        <v>0.03</v>
      </c>
      <c r="O95" s="51">
        <v>3.3300000000000003E-2</v>
      </c>
      <c r="P95" s="51">
        <v>0</v>
      </c>
      <c r="Q95" s="75">
        <v>0</v>
      </c>
      <c r="T95" s="9"/>
      <c r="U95" s="9"/>
      <c r="V95" s="9"/>
      <c r="W95" s="9"/>
    </row>
    <row r="96" spans="1:23">
      <c r="A96" s="6" t="s">
        <v>86</v>
      </c>
      <c r="B96" s="6" t="s">
        <v>85</v>
      </c>
      <c r="C96" s="122" t="s">
        <v>146</v>
      </c>
      <c r="D96" s="125" t="s">
        <v>189</v>
      </c>
      <c r="E96" s="4" t="s">
        <v>59</v>
      </c>
      <c r="F96" s="47" t="s">
        <v>91</v>
      </c>
      <c r="G96" s="46" t="s">
        <v>92</v>
      </c>
      <c r="H96" s="64" t="s">
        <v>6</v>
      </c>
      <c r="I96" s="9"/>
      <c r="J96" s="136">
        <v>1000</v>
      </c>
      <c r="L96" s="3" t="s">
        <v>25</v>
      </c>
      <c r="M96" s="51">
        <v>2E-3</v>
      </c>
      <c r="N96" s="51">
        <v>2.6599999999999999E-2</v>
      </c>
      <c r="O96" s="51">
        <v>0.06</v>
      </c>
      <c r="P96" s="51">
        <v>0</v>
      </c>
      <c r="Q96" s="75">
        <v>0</v>
      </c>
      <c r="T96" s="9"/>
      <c r="U96" s="9"/>
      <c r="V96" s="9"/>
      <c r="W96" s="9"/>
    </row>
    <row r="97" spans="1:23">
      <c r="A97" s="6" t="s">
        <v>86</v>
      </c>
      <c r="B97" s="6" t="s">
        <v>85</v>
      </c>
      <c r="C97" s="122" t="s">
        <v>146</v>
      </c>
      <c r="D97" s="125" t="s">
        <v>189</v>
      </c>
      <c r="E97" s="4" t="s">
        <v>61</v>
      </c>
      <c r="F97" s="47" t="s">
        <v>91</v>
      </c>
      <c r="G97" s="46" t="s">
        <v>92</v>
      </c>
      <c r="H97" s="64" t="s">
        <v>6</v>
      </c>
      <c r="I97" s="9"/>
      <c r="J97" s="136">
        <v>1000</v>
      </c>
      <c r="L97" s="3" t="s">
        <v>25</v>
      </c>
      <c r="M97" s="51">
        <v>4.0000000000000001E-3</v>
      </c>
      <c r="N97" s="51">
        <v>2.6599999999999999E-2</v>
      </c>
      <c r="O97" s="51">
        <v>0.04</v>
      </c>
      <c r="P97" s="51">
        <v>0</v>
      </c>
      <c r="Q97" s="75">
        <v>0</v>
      </c>
      <c r="T97" s="9"/>
      <c r="U97" s="9"/>
      <c r="V97" s="9"/>
      <c r="W97" s="9"/>
    </row>
    <row r="98" spans="1:23">
      <c r="A98" s="6" t="s">
        <v>86</v>
      </c>
      <c r="B98" s="6" t="s">
        <v>85</v>
      </c>
      <c r="C98" s="122" t="s">
        <v>146</v>
      </c>
      <c r="D98" s="125" t="s">
        <v>189</v>
      </c>
      <c r="E98" s="4" t="s">
        <v>69</v>
      </c>
      <c r="F98" s="47" t="s">
        <v>91</v>
      </c>
      <c r="G98" s="46" t="s">
        <v>92</v>
      </c>
      <c r="H98" s="64" t="s">
        <v>6</v>
      </c>
      <c r="I98" s="9"/>
      <c r="J98" s="136">
        <v>1000</v>
      </c>
      <c r="L98" s="3" t="s">
        <v>25</v>
      </c>
      <c r="M98" s="51">
        <v>3.0000000000000001E-3</v>
      </c>
      <c r="N98" s="51">
        <v>3.6600000000000001E-2</v>
      </c>
      <c r="O98" s="51">
        <v>4.3299999999999998E-2</v>
      </c>
      <c r="P98" s="51">
        <v>0</v>
      </c>
      <c r="Q98" s="75">
        <v>0</v>
      </c>
      <c r="T98" s="9"/>
      <c r="U98" s="9"/>
      <c r="V98" s="9"/>
      <c r="W98" s="9"/>
    </row>
    <row r="99" spans="1:23">
      <c r="A99" s="6" t="s">
        <v>86</v>
      </c>
      <c r="B99" s="6" t="s">
        <v>85</v>
      </c>
      <c r="C99" s="122" t="s">
        <v>146</v>
      </c>
      <c r="D99" s="125" t="s">
        <v>189</v>
      </c>
      <c r="E99" s="4" t="s">
        <v>70</v>
      </c>
      <c r="F99" s="47" t="s">
        <v>91</v>
      </c>
      <c r="G99" s="46" t="s">
        <v>92</v>
      </c>
      <c r="H99" s="64" t="s">
        <v>6</v>
      </c>
      <c r="I99" s="9"/>
      <c r="J99" s="136">
        <v>1000</v>
      </c>
      <c r="L99" s="3" t="s">
        <v>25</v>
      </c>
      <c r="M99" s="51">
        <v>6.0000000000000001E-3</v>
      </c>
      <c r="N99" s="51">
        <v>0.03</v>
      </c>
      <c r="O99" s="51">
        <v>4.6600000000000003E-2</v>
      </c>
      <c r="P99" s="51">
        <v>0</v>
      </c>
      <c r="Q99" s="75">
        <v>0</v>
      </c>
      <c r="T99" s="9"/>
      <c r="U99" s="9"/>
      <c r="V99" s="9"/>
      <c r="W99" s="9"/>
    </row>
    <row r="100" spans="1:23">
      <c r="A100" s="6" t="s">
        <v>86</v>
      </c>
      <c r="B100" s="6" t="s">
        <v>114</v>
      </c>
      <c r="C100" s="122" t="s">
        <v>146</v>
      </c>
      <c r="D100" s="125" t="s">
        <v>190</v>
      </c>
      <c r="E100" s="4" t="s">
        <v>13</v>
      </c>
      <c r="F100" s="47" t="s">
        <v>91</v>
      </c>
      <c r="G100" s="46" t="s">
        <v>92</v>
      </c>
      <c r="H100" s="64" t="s">
        <v>6</v>
      </c>
      <c r="I100" s="9"/>
      <c r="J100" s="136">
        <v>1000</v>
      </c>
      <c r="L100" s="3" t="s">
        <v>25</v>
      </c>
      <c r="M100" s="51">
        <v>2E-3</v>
      </c>
      <c r="N100" s="51">
        <v>2.3300000000000001E-2</v>
      </c>
      <c r="O100" s="51">
        <v>6.3299999999999995E-2</v>
      </c>
      <c r="P100" s="51">
        <v>0</v>
      </c>
      <c r="Q100" s="75">
        <v>0</v>
      </c>
      <c r="T100" s="9"/>
      <c r="U100" s="9"/>
      <c r="V100" s="9"/>
      <c r="W100" s="9"/>
    </row>
    <row r="101" spans="1:23">
      <c r="A101" s="6" t="s">
        <v>86</v>
      </c>
      <c r="B101" s="6" t="s">
        <v>114</v>
      </c>
      <c r="C101" s="122" t="s">
        <v>146</v>
      </c>
      <c r="D101" s="125" t="s">
        <v>190</v>
      </c>
      <c r="E101" s="4" t="s">
        <v>14</v>
      </c>
      <c r="F101" s="47" t="s">
        <v>91</v>
      </c>
      <c r="G101" s="46" t="s">
        <v>92</v>
      </c>
      <c r="H101" s="64" t="s">
        <v>6</v>
      </c>
      <c r="I101" s="9"/>
      <c r="J101" s="136">
        <v>1000</v>
      </c>
      <c r="L101" s="3" t="s">
        <v>25</v>
      </c>
      <c r="M101" s="51">
        <v>2E-3</v>
      </c>
      <c r="N101" s="51">
        <v>2.6599999999999999E-2</v>
      </c>
      <c r="O101" s="51">
        <v>6.3299999999999995E-2</v>
      </c>
      <c r="P101" s="51">
        <v>0</v>
      </c>
      <c r="Q101" s="75">
        <v>0</v>
      </c>
      <c r="T101" s="9"/>
      <c r="U101" s="9"/>
      <c r="V101" s="9"/>
      <c r="W101" s="9"/>
    </row>
    <row r="102" spans="1:23">
      <c r="A102" s="6" t="s">
        <v>86</v>
      </c>
      <c r="B102" s="6" t="s">
        <v>114</v>
      </c>
      <c r="C102" s="122" t="s">
        <v>146</v>
      </c>
      <c r="D102" s="125" t="s">
        <v>190</v>
      </c>
      <c r="E102" s="4" t="s">
        <v>41</v>
      </c>
      <c r="F102" s="47" t="s">
        <v>91</v>
      </c>
      <c r="G102" s="46" t="s">
        <v>92</v>
      </c>
      <c r="H102" s="64" t="s">
        <v>6</v>
      </c>
      <c r="I102" s="9"/>
      <c r="J102" s="136">
        <v>1000</v>
      </c>
      <c r="L102" s="3" t="s">
        <v>25</v>
      </c>
      <c r="M102" s="51">
        <v>1E-3</v>
      </c>
      <c r="N102" s="51">
        <v>0.03</v>
      </c>
      <c r="O102" s="51">
        <v>8.6599999999999996E-2</v>
      </c>
      <c r="P102" s="51">
        <v>0</v>
      </c>
      <c r="Q102" s="75">
        <v>0</v>
      </c>
      <c r="T102" s="9"/>
      <c r="U102" s="9"/>
      <c r="V102" s="9"/>
      <c r="W102" s="9"/>
    </row>
    <row r="103" spans="1:23">
      <c r="A103" s="6" t="s">
        <v>86</v>
      </c>
      <c r="B103" s="6" t="s">
        <v>114</v>
      </c>
      <c r="C103" s="122" t="s">
        <v>146</v>
      </c>
      <c r="D103" s="125" t="s">
        <v>190</v>
      </c>
      <c r="E103" s="4" t="s">
        <v>42</v>
      </c>
      <c r="F103" s="47" t="s">
        <v>91</v>
      </c>
      <c r="G103" s="46" t="s">
        <v>92</v>
      </c>
      <c r="H103" s="64" t="s">
        <v>6</v>
      </c>
      <c r="I103" s="9"/>
      <c r="J103" s="136">
        <v>1000</v>
      </c>
      <c r="L103" s="3" t="s">
        <v>25</v>
      </c>
      <c r="M103" s="51">
        <v>1E-3</v>
      </c>
      <c r="N103" s="51">
        <v>2.6599999999999999E-2</v>
      </c>
      <c r="O103" s="51">
        <v>9.3299999999999994E-2</v>
      </c>
      <c r="P103" s="51">
        <v>0</v>
      </c>
      <c r="Q103" s="75">
        <v>0</v>
      </c>
      <c r="T103" s="9"/>
      <c r="U103" s="9"/>
      <c r="V103" s="9"/>
      <c r="W103" s="9"/>
    </row>
    <row r="104" spans="1:23">
      <c r="A104" s="6" t="s">
        <v>86</v>
      </c>
      <c r="B104" s="6" t="s">
        <v>114</v>
      </c>
      <c r="C104" s="122" t="s">
        <v>146</v>
      </c>
      <c r="D104" s="125" t="s">
        <v>190</v>
      </c>
      <c r="E104" s="4" t="s">
        <v>43</v>
      </c>
      <c r="F104" s="47" t="s">
        <v>91</v>
      </c>
      <c r="G104" s="46" t="s">
        <v>92</v>
      </c>
      <c r="H104" s="64" t="s">
        <v>6</v>
      </c>
      <c r="I104" s="9"/>
      <c r="J104" s="136">
        <v>1000</v>
      </c>
      <c r="L104" s="3" t="s">
        <v>25</v>
      </c>
      <c r="M104" s="51">
        <v>0</v>
      </c>
      <c r="N104" s="51">
        <v>2.3300000000000001E-2</v>
      </c>
      <c r="O104" s="51">
        <v>0.1066</v>
      </c>
      <c r="P104" s="51">
        <v>0</v>
      </c>
      <c r="Q104" s="75">
        <v>0</v>
      </c>
      <c r="T104" s="9"/>
      <c r="U104" s="9"/>
      <c r="V104" s="9"/>
      <c r="W104" s="9"/>
    </row>
    <row r="105" spans="1:23">
      <c r="A105" s="6" t="s">
        <v>86</v>
      </c>
      <c r="B105" s="6" t="s">
        <v>114</v>
      </c>
      <c r="C105" s="122" t="s">
        <v>146</v>
      </c>
      <c r="D105" s="125" t="s">
        <v>190</v>
      </c>
      <c r="E105" s="4" t="s">
        <v>44</v>
      </c>
      <c r="F105" s="47" t="s">
        <v>91</v>
      </c>
      <c r="G105" s="46" t="s">
        <v>92</v>
      </c>
      <c r="H105" s="64" t="s">
        <v>6</v>
      </c>
      <c r="I105" s="9"/>
      <c r="J105" s="136">
        <v>450</v>
      </c>
      <c r="L105" s="3" t="s">
        <v>25</v>
      </c>
      <c r="M105" s="51">
        <v>1E-3</v>
      </c>
      <c r="N105" s="51">
        <v>0.03</v>
      </c>
      <c r="O105" s="51">
        <v>6.6600000000000006E-2</v>
      </c>
      <c r="P105" s="51">
        <v>0</v>
      </c>
      <c r="Q105" s="75">
        <v>0</v>
      </c>
      <c r="T105" s="9"/>
      <c r="U105" s="9"/>
      <c r="V105" s="9"/>
      <c r="W105" s="9"/>
    </row>
    <row r="106" spans="1:23">
      <c r="A106" s="6" t="s">
        <v>86</v>
      </c>
      <c r="B106" s="6" t="s">
        <v>114</v>
      </c>
      <c r="C106" s="122" t="s">
        <v>146</v>
      </c>
      <c r="D106" s="125" t="s">
        <v>190</v>
      </c>
      <c r="E106" s="4" t="s">
        <v>45</v>
      </c>
      <c r="F106" s="47" t="s">
        <v>91</v>
      </c>
      <c r="G106" s="46" t="s">
        <v>92</v>
      </c>
      <c r="H106" s="64" t="s">
        <v>6</v>
      </c>
      <c r="I106" s="9"/>
      <c r="J106" s="136">
        <v>1000</v>
      </c>
      <c r="L106" s="3" t="s">
        <v>25</v>
      </c>
      <c r="M106" s="51">
        <v>1E-3</v>
      </c>
      <c r="N106" s="51">
        <v>1.3299999999999999E-2</v>
      </c>
      <c r="O106" s="51">
        <v>5.33E-2</v>
      </c>
      <c r="P106" s="51">
        <v>0</v>
      </c>
      <c r="Q106" s="75">
        <v>0</v>
      </c>
      <c r="T106" s="9"/>
      <c r="U106" s="9"/>
      <c r="V106" s="9"/>
      <c r="W106" s="9"/>
    </row>
    <row r="107" spans="1:23">
      <c r="A107" s="6" t="s">
        <v>86</v>
      </c>
      <c r="B107" s="6" t="s">
        <v>114</v>
      </c>
      <c r="C107" s="122" t="s">
        <v>146</v>
      </c>
      <c r="D107" s="125" t="s">
        <v>190</v>
      </c>
      <c r="E107" s="4" t="s">
        <v>46</v>
      </c>
      <c r="F107" s="47" t="s">
        <v>91</v>
      </c>
      <c r="G107" s="46" t="s">
        <v>92</v>
      </c>
      <c r="H107" s="64" t="s">
        <v>6</v>
      </c>
      <c r="I107" s="9"/>
      <c r="J107" s="136">
        <v>1000</v>
      </c>
      <c r="L107" s="3" t="s">
        <v>25</v>
      </c>
      <c r="M107" s="51">
        <v>0</v>
      </c>
      <c r="N107" s="51">
        <v>0.01</v>
      </c>
      <c r="O107" s="51">
        <v>3.3300000000000003E-2</v>
      </c>
      <c r="P107" s="51">
        <v>0</v>
      </c>
      <c r="Q107" s="75">
        <v>0</v>
      </c>
      <c r="T107" s="9"/>
      <c r="U107" s="9"/>
      <c r="V107" s="9"/>
      <c r="W107" s="9"/>
    </row>
    <row r="108" spans="1:23">
      <c r="A108" s="6" t="s">
        <v>86</v>
      </c>
      <c r="B108" s="6" t="s">
        <v>114</v>
      </c>
      <c r="C108" s="122" t="s">
        <v>146</v>
      </c>
      <c r="D108" s="125" t="s">
        <v>190</v>
      </c>
      <c r="E108" s="4" t="s">
        <v>47</v>
      </c>
      <c r="F108" s="47" t="s">
        <v>91</v>
      </c>
      <c r="G108" s="46" t="s">
        <v>92</v>
      </c>
      <c r="H108" s="64" t="s">
        <v>6</v>
      </c>
      <c r="I108" s="9"/>
      <c r="J108" s="136">
        <v>1000</v>
      </c>
      <c r="L108" s="3" t="s">
        <v>25</v>
      </c>
      <c r="M108" s="51">
        <v>0</v>
      </c>
      <c r="N108" s="51">
        <v>0.02</v>
      </c>
      <c r="O108" s="51">
        <v>4.6600000000000003E-2</v>
      </c>
      <c r="P108" s="51">
        <v>0</v>
      </c>
      <c r="Q108" s="75">
        <v>0</v>
      </c>
      <c r="T108" s="9"/>
      <c r="U108" s="9"/>
      <c r="V108" s="9"/>
      <c r="W108" s="9"/>
    </row>
    <row r="109" spans="1:23">
      <c r="A109" s="6" t="s">
        <v>86</v>
      </c>
      <c r="B109" s="6" t="s">
        <v>114</v>
      </c>
      <c r="C109" s="122" t="s">
        <v>146</v>
      </c>
      <c r="D109" s="125" t="s">
        <v>190</v>
      </c>
      <c r="E109" s="4" t="s">
        <v>48</v>
      </c>
      <c r="F109" s="47" t="s">
        <v>91</v>
      </c>
      <c r="G109" s="46" t="s">
        <v>92</v>
      </c>
      <c r="H109" s="64" t="s">
        <v>6</v>
      </c>
      <c r="I109" s="9"/>
      <c r="J109" s="136">
        <v>1000</v>
      </c>
      <c r="L109" s="3" t="s">
        <v>25</v>
      </c>
      <c r="M109" s="51">
        <v>1E-3</v>
      </c>
      <c r="N109" s="51">
        <v>3.3E-3</v>
      </c>
      <c r="O109" s="51">
        <v>0.04</v>
      </c>
      <c r="P109" s="51">
        <v>0</v>
      </c>
      <c r="Q109" s="75">
        <v>0</v>
      </c>
      <c r="T109" s="9"/>
      <c r="U109" s="9"/>
      <c r="V109" s="9"/>
      <c r="W109" s="9"/>
    </row>
    <row r="110" spans="1:23">
      <c r="A110" s="6" t="s">
        <v>86</v>
      </c>
      <c r="B110" s="6" t="s">
        <v>114</v>
      </c>
      <c r="C110" s="122" t="s">
        <v>146</v>
      </c>
      <c r="D110" s="125" t="s">
        <v>190</v>
      </c>
      <c r="E110" s="4" t="s">
        <v>49</v>
      </c>
      <c r="F110" s="47" t="s">
        <v>91</v>
      </c>
      <c r="G110" s="46" t="s">
        <v>92</v>
      </c>
      <c r="H110" s="64" t="s">
        <v>6</v>
      </c>
      <c r="I110" s="9"/>
      <c r="J110" s="136">
        <v>1000</v>
      </c>
      <c r="L110" s="3" t="s">
        <v>25</v>
      </c>
      <c r="M110" s="51">
        <v>0</v>
      </c>
      <c r="N110" s="51">
        <v>0</v>
      </c>
      <c r="O110" s="51">
        <v>0.03</v>
      </c>
      <c r="P110" s="51">
        <v>0</v>
      </c>
      <c r="Q110" s="75">
        <v>0</v>
      </c>
      <c r="T110" s="9"/>
      <c r="U110" s="9"/>
      <c r="V110" s="9"/>
      <c r="W110" s="9"/>
    </row>
    <row r="111" spans="1:23">
      <c r="A111" s="6" t="s">
        <v>86</v>
      </c>
      <c r="B111" s="6" t="s">
        <v>114</v>
      </c>
      <c r="C111" s="122" t="s">
        <v>146</v>
      </c>
      <c r="D111" s="125" t="s">
        <v>190</v>
      </c>
      <c r="E111" s="4" t="s">
        <v>50</v>
      </c>
      <c r="F111" s="47" t="s">
        <v>91</v>
      </c>
      <c r="G111" s="46" t="s">
        <v>92</v>
      </c>
      <c r="H111" s="64" t="s">
        <v>6</v>
      </c>
      <c r="I111" s="9"/>
      <c r="J111" s="136">
        <v>1000</v>
      </c>
      <c r="L111" s="3" t="s">
        <v>25</v>
      </c>
      <c r="M111" s="51">
        <v>1E-3</v>
      </c>
      <c r="N111" s="51">
        <v>6.6E-3</v>
      </c>
      <c r="O111" s="51">
        <v>4.3299999999999998E-2</v>
      </c>
      <c r="P111" s="51">
        <v>0</v>
      </c>
      <c r="Q111" s="75">
        <v>0</v>
      </c>
      <c r="T111" s="9"/>
      <c r="U111" s="9"/>
      <c r="V111" s="9"/>
      <c r="W111" s="9"/>
    </row>
    <row r="112" spans="1:23">
      <c r="A112" s="6" t="s">
        <v>86</v>
      </c>
      <c r="B112" s="6" t="s">
        <v>114</v>
      </c>
      <c r="C112" s="122" t="s">
        <v>146</v>
      </c>
      <c r="D112" s="125" t="s">
        <v>190</v>
      </c>
      <c r="E112" s="4" t="s">
        <v>57</v>
      </c>
      <c r="F112" s="47" t="s">
        <v>91</v>
      </c>
      <c r="G112" s="46" t="s">
        <v>92</v>
      </c>
      <c r="H112" s="64" t="s">
        <v>6</v>
      </c>
      <c r="I112" s="9"/>
      <c r="J112" s="136">
        <v>1000</v>
      </c>
      <c r="L112" s="3" t="s">
        <v>25</v>
      </c>
      <c r="M112" s="51">
        <v>0</v>
      </c>
      <c r="N112" s="51">
        <v>3.3E-3</v>
      </c>
      <c r="O112" s="51">
        <v>1.66E-2</v>
      </c>
      <c r="P112" s="51">
        <v>0</v>
      </c>
      <c r="Q112" s="75">
        <v>0</v>
      </c>
      <c r="T112" s="9"/>
      <c r="U112" s="9"/>
      <c r="V112" s="9"/>
      <c r="W112" s="9"/>
    </row>
    <row r="113" spans="1:23">
      <c r="A113" s="6" t="s">
        <v>86</v>
      </c>
      <c r="B113" s="6" t="s">
        <v>114</v>
      </c>
      <c r="C113" s="122" t="s">
        <v>146</v>
      </c>
      <c r="D113" s="125" t="s">
        <v>190</v>
      </c>
      <c r="E113" s="4" t="s">
        <v>58</v>
      </c>
      <c r="F113" s="47" t="s">
        <v>91</v>
      </c>
      <c r="G113" s="46" t="s">
        <v>92</v>
      </c>
      <c r="H113" s="64" t="s">
        <v>6</v>
      </c>
      <c r="I113" s="9"/>
      <c r="J113" s="136">
        <v>1000</v>
      </c>
      <c r="L113" s="3" t="s">
        <v>25</v>
      </c>
      <c r="M113" s="51">
        <v>1E-3</v>
      </c>
      <c r="N113" s="51">
        <v>0.02</v>
      </c>
      <c r="O113" s="51">
        <v>3.6600000000000001E-2</v>
      </c>
      <c r="P113" s="51">
        <v>0</v>
      </c>
      <c r="Q113" s="75">
        <v>0</v>
      </c>
      <c r="T113" s="9"/>
      <c r="U113" s="9"/>
      <c r="V113" s="9"/>
      <c r="W113" s="9"/>
    </row>
    <row r="114" spans="1:23">
      <c r="A114" s="6" t="s">
        <v>86</v>
      </c>
      <c r="B114" s="6" t="s">
        <v>114</v>
      </c>
      <c r="C114" s="122" t="s">
        <v>146</v>
      </c>
      <c r="D114" s="125" t="s">
        <v>190</v>
      </c>
      <c r="E114" s="4" t="s">
        <v>59</v>
      </c>
      <c r="F114" s="47" t="s">
        <v>91</v>
      </c>
      <c r="G114" s="46" t="s">
        <v>92</v>
      </c>
      <c r="H114" s="64" t="s">
        <v>6</v>
      </c>
      <c r="I114" s="9"/>
      <c r="J114" s="136">
        <v>1000</v>
      </c>
      <c r="L114" s="3" t="s">
        <v>25</v>
      </c>
      <c r="M114" s="51">
        <v>1E-3</v>
      </c>
      <c r="N114" s="51">
        <v>1.3299999999999999E-2</v>
      </c>
      <c r="O114" s="51">
        <v>0.04</v>
      </c>
      <c r="P114" s="51">
        <v>0</v>
      </c>
      <c r="Q114" s="75">
        <v>0</v>
      </c>
      <c r="T114" s="9"/>
      <c r="U114" s="9"/>
      <c r="V114" s="9"/>
      <c r="W114" s="9"/>
    </row>
    <row r="115" spans="1:23">
      <c r="A115" s="6" t="s">
        <v>86</v>
      </c>
      <c r="B115" s="6" t="s">
        <v>114</v>
      </c>
      <c r="C115" s="122" t="s">
        <v>146</v>
      </c>
      <c r="D115" s="125" t="s">
        <v>190</v>
      </c>
      <c r="E115" s="4" t="s">
        <v>61</v>
      </c>
      <c r="F115" s="47" t="s">
        <v>91</v>
      </c>
      <c r="G115" s="46" t="s">
        <v>92</v>
      </c>
      <c r="H115" s="64" t="s">
        <v>6</v>
      </c>
      <c r="I115" s="9"/>
      <c r="J115" s="136">
        <v>1000</v>
      </c>
      <c r="L115" s="3" t="s">
        <v>25</v>
      </c>
      <c r="M115" s="51">
        <v>0</v>
      </c>
      <c r="N115" s="51">
        <v>6.6E-3</v>
      </c>
      <c r="O115" s="51">
        <v>2.6599999999999999E-2</v>
      </c>
      <c r="P115" s="51">
        <v>0</v>
      </c>
      <c r="Q115" s="75">
        <v>0</v>
      </c>
      <c r="T115" s="9"/>
      <c r="U115" s="9"/>
      <c r="V115" s="9"/>
      <c r="W115" s="9"/>
    </row>
    <row r="116" spans="1:23">
      <c r="A116" s="6" t="s">
        <v>86</v>
      </c>
      <c r="B116" s="6" t="s">
        <v>114</v>
      </c>
      <c r="C116" s="122" t="s">
        <v>146</v>
      </c>
      <c r="D116" s="125" t="s">
        <v>190</v>
      </c>
      <c r="E116" s="4" t="s">
        <v>69</v>
      </c>
      <c r="F116" s="47" t="s">
        <v>91</v>
      </c>
      <c r="G116" s="46" t="s">
        <v>92</v>
      </c>
      <c r="H116" s="64" t="s">
        <v>6</v>
      </c>
      <c r="I116" s="9"/>
      <c r="J116" s="136">
        <v>1000</v>
      </c>
      <c r="L116" s="3" t="s">
        <v>25</v>
      </c>
      <c r="M116" s="51">
        <v>0</v>
      </c>
      <c r="N116" s="51">
        <v>0.01</v>
      </c>
      <c r="O116" s="51">
        <v>3.6600000000000001E-2</v>
      </c>
      <c r="P116" s="51">
        <v>0</v>
      </c>
      <c r="Q116" s="75">
        <v>0</v>
      </c>
      <c r="T116" s="9"/>
      <c r="U116" s="9"/>
      <c r="V116" s="9"/>
      <c r="W116" s="9"/>
    </row>
    <row r="117" spans="1:23">
      <c r="A117" s="6" t="s">
        <v>86</v>
      </c>
      <c r="B117" s="6" t="s">
        <v>114</v>
      </c>
      <c r="C117" s="122" t="s">
        <v>146</v>
      </c>
      <c r="D117" s="125" t="s">
        <v>190</v>
      </c>
      <c r="E117" s="4" t="s">
        <v>70</v>
      </c>
      <c r="F117" s="47" t="s">
        <v>91</v>
      </c>
      <c r="G117" s="46" t="s">
        <v>92</v>
      </c>
      <c r="H117" s="64" t="s">
        <v>6</v>
      </c>
      <c r="I117" s="9"/>
      <c r="J117" s="136">
        <v>1000</v>
      </c>
      <c r="L117" s="3" t="s">
        <v>25</v>
      </c>
      <c r="M117" s="51">
        <v>0</v>
      </c>
      <c r="N117" s="51">
        <v>0.02</v>
      </c>
      <c r="O117" s="51">
        <v>3.3300000000000003E-2</v>
      </c>
      <c r="P117" s="51">
        <v>0</v>
      </c>
      <c r="Q117" s="75">
        <v>0</v>
      </c>
      <c r="T117" s="9"/>
      <c r="U117" s="9"/>
      <c r="V117" s="9"/>
      <c r="W117" s="9"/>
    </row>
    <row r="118" spans="1:23">
      <c r="A118" s="6" t="s">
        <v>86</v>
      </c>
      <c r="B118" s="6" t="s">
        <v>114</v>
      </c>
      <c r="C118" s="122" t="s">
        <v>146</v>
      </c>
      <c r="D118" s="125" t="s">
        <v>190</v>
      </c>
      <c r="E118" s="4" t="s">
        <v>191</v>
      </c>
      <c r="F118" s="47" t="s">
        <v>91</v>
      </c>
      <c r="G118" s="46" t="s">
        <v>92</v>
      </c>
      <c r="H118" s="64" t="s">
        <v>6</v>
      </c>
      <c r="I118" s="9"/>
      <c r="J118" s="136">
        <v>1000</v>
      </c>
      <c r="L118" s="3" t="s">
        <v>25</v>
      </c>
      <c r="M118" s="51">
        <v>0</v>
      </c>
      <c r="N118" s="51">
        <v>1.66E-2</v>
      </c>
      <c r="O118" s="51">
        <v>3.6600000000000001E-2</v>
      </c>
      <c r="P118" s="51">
        <v>0</v>
      </c>
      <c r="Q118" s="75">
        <v>0</v>
      </c>
      <c r="T118" s="9"/>
      <c r="U118" s="9"/>
      <c r="V118" s="9"/>
      <c r="W118" s="9"/>
    </row>
    <row r="119" spans="1:23">
      <c r="A119" s="6" t="s">
        <v>86</v>
      </c>
      <c r="B119" s="6" t="s">
        <v>115</v>
      </c>
      <c r="C119" s="122" t="s">
        <v>146</v>
      </c>
      <c r="D119" s="125" t="s">
        <v>185</v>
      </c>
      <c r="E119" s="4" t="s">
        <v>15</v>
      </c>
      <c r="F119" s="47" t="s">
        <v>91</v>
      </c>
      <c r="G119" s="46" t="s">
        <v>92</v>
      </c>
      <c r="H119" s="64" t="s">
        <v>6</v>
      </c>
      <c r="I119" s="9"/>
      <c r="J119" s="136">
        <v>1000</v>
      </c>
      <c r="L119" s="3" t="s">
        <v>25</v>
      </c>
      <c r="M119" s="51">
        <v>0</v>
      </c>
      <c r="N119" s="51">
        <v>6.6E-3</v>
      </c>
      <c r="O119" s="51">
        <v>2.6599999999999999E-2</v>
      </c>
      <c r="P119" s="51">
        <v>0</v>
      </c>
      <c r="Q119" s="75">
        <v>0</v>
      </c>
      <c r="T119" s="9"/>
      <c r="U119" s="9"/>
      <c r="V119" s="9"/>
      <c r="W119" s="9"/>
    </row>
    <row r="120" spans="1:23">
      <c r="A120" s="6" t="s">
        <v>86</v>
      </c>
      <c r="B120" s="6" t="s">
        <v>115</v>
      </c>
      <c r="C120" s="122" t="s">
        <v>146</v>
      </c>
      <c r="D120" s="125" t="s">
        <v>185</v>
      </c>
      <c r="E120" s="4" t="s">
        <v>13</v>
      </c>
      <c r="F120" s="47" t="s">
        <v>91</v>
      </c>
      <c r="G120" s="46" t="s">
        <v>92</v>
      </c>
      <c r="H120" s="64" t="s">
        <v>6</v>
      </c>
      <c r="I120" s="9"/>
      <c r="J120" s="136">
        <v>1000</v>
      </c>
      <c r="L120" s="3" t="s">
        <v>25</v>
      </c>
      <c r="M120" s="51">
        <v>0</v>
      </c>
      <c r="N120" s="51">
        <v>0.01</v>
      </c>
      <c r="O120" s="51">
        <v>4.3299999999999998E-2</v>
      </c>
      <c r="P120" s="51">
        <v>0</v>
      </c>
      <c r="Q120" s="75">
        <v>5.0000000000000001E-3</v>
      </c>
      <c r="T120" s="9"/>
      <c r="U120" s="9"/>
      <c r="V120" s="9"/>
      <c r="W120" s="9"/>
    </row>
    <row r="121" spans="1:23">
      <c r="A121" s="6" t="s">
        <v>86</v>
      </c>
      <c r="B121" s="6" t="s">
        <v>120</v>
      </c>
      <c r="C121" s="122" t="s">
        <v>146</v>
      </c>
      <c r="D121" s="125" t="s">
        <v>186</v>
      </c>
      <c r="E121" s="4" t="s">
        <v>44</v>
      </c>
      <c r="F121" s="47" t="s">
        <v>91</v>
      </c>
      <c r="G121" s="46" t="s">
        <v>92</v>
      </c>
      <c r="H121" s="64" t="s">
        <v>7</v>
      </c>
      <c r="I121" s="9"/>
      <c r="J121" s="3">
        <v>1000</v>
      </c>
      <c r="L121" s="3" t="s">
        <v>25</v>
      </c>
      <c r="M121" s="51">
        <v>0.13</v>
      </c>
      <c r="N121" s="51">
        <v>4.6600000000000003E-2</v>
      </c>
      <c r="O121" s="51">
        <v>7.6600000000000001E-2</v>
      </c>
      <c r="P121" s="51">
        <v>0</v>
      </c>
      <c r="Q121" s="75">
        <v>0</v>
      </c>
      <c r="T121" s="9"/>
      <c r="U121" s="9"/>
      <c r="V121" s="9"/>
      <c r="W121" s="9"/>
    </row>
    <row r="122" spans="1:23">
      <c r="A122" s="6" t="s">
        <v>86</v>
      </c>
      <c r="B122" s="6" t="s">
        <v>120</v>
      </c>
      <c r="C122" s="122" t="s">
        <v>146</v>
      </c>
      <c r="D122" s="125" t="s">
        <v>186</v>
      </c>
      <c r="E122" s="4" t="s">
        <v>47</v>
      </c>
      <c r="F122" s="47" t="s">
        <v>91</v>
      </c>
      <c r="G122" s="46" t="s">
        <v>92</v>
      </c>
      <c r="H122" s="64" t="s">
        <v>7</v>
      </c>
      <c r="I122" s="9"/>
      <c r="J122" s="3">
        <v>1000</v>
      </c>
      <c r="L122" s="3" t="s">
        <v>25</v>
      </c>
      <c r="M122" s="51">
        <v>0.11</v>
      </c>
      <c r="N122" s="51">
        <v>8.6599999999999996E-2</v>
      </c>
      <c r="O122" s="51">
        <v>5.6599999999999998E-2</v>
      </c>
      <c r="P122" s="51">
        <v>0</v>
      </c>
      <c r="Q122" s="75">
        <v>4.0000000000000001E-3</v>
      </c>
      <c r="T122" s="9"/>
      <c r="U122" s="9"/>
      <c r="V122" s="9"/>
      <c r="W122" s="9"/>
    </row>
    <row r="123" spans="1:23">
      <c r="A123" s="6" t="s">
        <v>86</v>
      </c>
      <c r="B123" s="6" t="s">
        <v>120</v>
      </c>
      <c r="C123" s="122" t="s">
        <v>146</v>
      </c>
      <c r="D123" s="125" t="s">
        <v>186</v>
      </c>
      <c r="E123" s="4" t="s">
        <v>48</v>
      </c>
      <c r="F123" s="47" t="s">
        <v>91</v>
      </c>
      <c r="G123" s="46" t="s">
        <v>92</v>
      </c>
      <c r="H123" s="64" t="s">
        <v>7</v>
      </c>
      <c r="I123" s="9"/>
      <c r="J123" s="3">
        <v>1000</v>
      </c>
      <c r="L123" s="3" t="s">
        <v>25</v>
      </c>
      <c r="M123" s="51">
        <v>0.13</v>
      </c>
      <c r="N123" s="51">
        <v>8.6599999999999996E-2</v>
      </c>
      <c r="O123" s="51">
        <v>0.08</v>
      </c>
      <c r="P123" s="51">
        <v>0</v>
      </c>
      <c r="Q123" s="75">
        <v>5.5999999999999994E-2</v>
      </c>
      <c r="T123" s="9"/>
      <c r="U123" s="9"/>
      <c r="V123" s="9"/>
      <c r="W123" s="9"/>
    </row>
    <row r="124" spans="1:23">
      <c r="A124" s="6" t="s">
        <v>86</v>
      </c>
      <c r="B124" s="6" t="s">
        <v>120</v>
      </c>
      <c r="C124" s="122" t="s">
        <v>146</v>
      </c>
      <c r="D124" s="125" t="s">
        <v>186</v>
      </c>
      <c r="E124" s="4" t="s">
        <v>49</v>
      </c>
      <c r="F124" s="47" t="s">
        <v>91</v>
      </c>
      <c r="G124" s="46" t="s">
        <v>92</v>
      </c>
      <c r="H124" s="64" t="s">
        <v>7</v>
      </c>
      <c r="I124" s="9"/>
      <c r="J124" s="3">
        <v>954</v>
      </c>
      <c r="L124" s="3" t="s">
        <v>25</v>
      </c>
      <c r="M124" s="51">
        <v>6.4000000000000001E-2</v>
      </c>
      <c r="N124" s="51">
        <v>7.3300000000000004E-2</v>
      </c>
      <c r="O124" s="51">
        <v>6.3299999999999995E-2</v>
      </c>
      <c r="P124" s="51">
        <v>0</v>
      </c>
      <c r="Q124" s="75">
        <v>0</v>
      </c>
      <c r="T124" s="9"/>
      <c r="U124" s="9"/>
      <c r="V124" s="9"/>
      <c r="W124" s="9"/>
    </row>
    <row r="125" spans="1:23">
      <c r="A125" s="6" t="s">
        <v>86</v>
      </c>
      <c r="B125" s="6" t="s">
        <v>121</v>
      </c>
      <c r="C125" s="122" t="s">
        <v>146</v>
      </c>
      <c r="D125" s="125" t="s">
        <v>187</v>
      </c>
      <c r="E125" s="4" t="s">
        <v>42</v>
      </c>
      <c r="F125" s="47" t="s">
        <v>91</v>
      </c>
      <c r="G125" s="46" t="s">
        <v>92</v>
      </c>
      <c r="H125" s="64" t="s">
        <v>7</v>
      </c>
      <c r="I125" s="9"/>
      <c r="J125" s="3">
        <v>1000</v>
      </c>
      <c r="L125" s="3" t="s">
        <v>25</v>
      </c>
      <c r="M125" s="51">
        <v>2E-3</v>
      </c>
      <c r="N125" s="51">
        <v>2.3300000000000001E-2</v>
      </c>
      <c r="O125" s="51">
        <v>3.3300000000000003E-2</v>
      </c>
      <c r="P125" s="51">
        <v>0</v>
      </c>
      <c r="Q125" s="75">
        <v>0</v>
      </c>
      <c r="T125" s="9"/>
      <c r="U125" s="9"/>
      <c r="V125" s="9"/>
      <c r="W125" s="9"/>
    </row>
    <row r="126" spans="1:23">
      <c r="A126" s="6" t="s">
        <v>86</v>
      </c>
      <c r="B126" s="6" t="s">
        <v>121</v>
      </c>
      <c r="C126" s="122" t="s">
        <v>146</v>
      </c>
      <c r="D126" s="125" t="s">
        <v>187</v>
      </c>
      <c r="E126" s="4" t="s">
        <v>43</v>
      </c>
      <c r="F126" s="47" t="s">
        <v>91</v>
      </c>
      <c r="G126" s="46" t="s">
        <v>92</v>
      </c>
      <c r="H126" s="64" t="s">
        <v>7</v>
      </c>
      <c r="I126" s="9"/>
      <c r="J126" s="3">
        <v>1000</v>
      </c>
      <c r="L126" s="3" t="s">
        <v>25</v>
      </c>
      <c r="M126" s="51">
        <v>1E-3</v>
      </c>
      <c r="N126" s="51">
        <v>2.6599999999999999E-2</v>
      </c>
      <c r="O126" s="51">
        <v>0.05</v>
      </c>
      <c r="P126" s="51">
        <v>0</v>
      </c>
      <c r="Q126" s="75">
        <v>0</v>
      </c>
      <c r="T126" s="9"/>
      <c r="U126" s="9"/>
      <c r="V126" s="9"/>
      <c r="W126" s="9"/>
    </row>
    <row r="127" spans="1:23">
      <c r="A127" s="6" t="s">
        <v>86</v>
      </c>
      <c r="B127" s="6" t="s">
        <v>113</v>
      </c>
      <c r="C127" s="122" t="s">
        <v>146</v>
      </c>
      <c r="D127" s="125" t="s">
        <v>187</v>
      </c>
      <c r="E127" s="4" t="s">
        <v>45</v>
      </c>
      <c r="F127" s="47" t="s">
        <v>91</v>
      </c>
      <c r="G127" s="46" t="s">
        <v>92</v>
      </c>
      <c r="H127" s="64" t="s">
        <v>7</v>
      </c>
      <c r="I127" s="9"/>
      <c r="J127" s="3">
        <v>1000</v>
      </c>
      <c r="L127" s="3" t="s">
        <v>25</v>
      </c>
      <c r="M127" s="51">
        <v>0</v>
      </c>
      <c r="N127" s="51">
        <v>2.3300000000000001E-2</v>
      </c>
      <c r="O127" s="51">
        <v>3.6600000000000001E-2</v>
      </c>
      <c r="P127" s="51">
        <v>0</v>
      </c>
      <c r="Q127" s="75">
        <v>0</v>
      </c>
      <c r="T127" s="9"/>
      <c r="U127" s="9"/>
      <c r="V127" s="9"/>
      <c r="W127" s="9"/>
    </row>
    <row r="128" spans="1:23">
      <c r="A128" s="6" t="s">
        <v>86</v>
      </c>
      <c r="B128" s="6" t="s">
        <v>114</v>
      </c>
      <c r="C128" s="122" t="s">
        <v>146</v>
      </c>
      <c r="D128" s="125" t="s">
        <v>187</v>
      </c>
      <c r="E128" s="4" t="s">
        <v>191</v>
      </c>
      <c r="F128" s="47" t="s">
        <v>91</v>
      </c>
      <c r="G128" s="46" t="s">
        <v>92</v>
      </c>
      <c r="H128" s="64" t="s">
        <v>7</v>
      </c>
      <c r="I128" s="9"/>
      <c r="J128" s="3">
        <v>1000</v>
      </c>
      <c r="L128" s="3" t="s">
        <v>25</v>
      </c>
      <c r="M128" s="51">
        <v>1E-3</v>
      </c>
      <c r="N128" s="51">
        <v>2.6599999999999999E-2</v>
      </c>
      <c r="O128" s="51">
        <v>3.6600000000000001E-2</v>
      </c>
      <c r="P128" s="51">
        <v>0</v>
      </c>
      <c r="Q128" s="75">
        <v>0</v>
      </c>
      <c r="T128" s="9"/>
      <c r="U128" s="9"/>
      <c r="V128" s="9"/>
      <c r="W128" s="9"/>
    </row>
    <row r="129" spans="1:23">
      <c r="A129" s="6" t="s">
        <v>86</v>
      </c>
      <c r="B129" s="6" t="s">
        <v>116</v>
      </c>
      <c r="C129" s="122" t="s">
        <v>146</v>
      </c>
      <c r="D129" s="125" t="s">
        <v>187</v>
      </c>
      <c r="E129" s="4" t="s">
        <v>71</v>
      </c>
      <c r="F129" s="47" t="s">
        <v>91</v>
      </c>
      <c r="G129" s="46" t="s">
        <v>92</v>
      </c>
      <c r="H129" s="64" t="s">
        <v>7</v>
      </c>
      <c r="I129" s="9"/>
      <c r="J129" s="3">
        <v>1000</v>
      </c>
      <c r="L129" s="3" t="s">
        <v>25</v>
      </c>
      <c r="M129" s="51">
        <v>3.0000000000000001E-3</v>
      </c>
      <c r="N129" s="51">
        <v>2.3300000000000001E-2</v>
      </c>
      <c r="O129" s="51">
        <v>2.6599999999999999E-2</v>
      </c>
      <c r="P129" s="51">
        <v>0</v>
      </c>
      <c r="Q129" s="75">
        <v>0</v>
      </c>
      <c r="T129" s="9"/>
      <c r="U129" s="9"/>
      <c r="V129" s="9"/>
      <c r="W129" s="9"/>
    </row>
    <row r="130" spans="1:23">
      <c r="A130" s="6" t="s">
        <v>86</v>
      </c>
      <c r="B130" s="6" t="s">
        <v>116</v>
      </c>
      <c r="C130" s="122" t="s">
        <v>146</v>
      </c>
      <c r="D130" s="125" t="s">
        <v>187</v>
      </c>
      <c r="E130" s="4" t="s">
        <v>192</v>
      </c>
      <c r="F130" s="47" t="s">
        <v>91</v>
      </c>
      <c r="G130" s="46" t="s">
        <v>92</v>
      </c>
      <c r="H130" s="64" t="s">
        <v>7</v>
      </c>
      <c r="I130" s="9"/>
      <c r="J130" s="3">
        <v>1000</v>
      </c>
      <c r="L130" s="3" t="s">
        <v>25</v>
      </c>
      <c r="M130" s="51">
        <v>1E-3</v>
      </c>
      <c r="N130" s="51">
        <v>0.02</v>
      </c>
      <c r="O130" s="51">
        <v>0.03</v>
      </c>
      <c r="P130" s="51">
        <v>0</v>
      </c>
      <c r="Q130" s="75">
        <v>0</v>
      </c>
      <c r="T130" s="9"/>
      <c r="U130" s="9"/>
      <c r="V130" s="9"/>
      <c r="W130" s="9"/>
    </row>
    <row r="131" spans="1:23">
      <c r="A131" s="6" t="s">
        <v>86</v>
      </c>
      <c r="B131" s="6" t="s">
        <v>116</v>
      </c>
      <c r="C131" s="122" t="s">
        <v>146</v>
      </c>
      <c r="D131" s="125" t="s">
        <v>187</v>
      </c>
      <c r="E131" s="4" t="s">
        <v>64</v>
      </c>
      <c r="F131" s="47" t="s">
        <v>91</v>
      </c>
      <c r="G131" s="46" t="s">
        <v>92</v>
      </c>
      <c r="H131" s="64" t="s">
        <v>7</v>
      </c>
      <c r="I131" s="9"/>
      <c r="J131" s="3">
        <v>1000</v>
      </c>
      <c r="L131" s="3" t="s">
        <v>25</v>
      </c>
      <c r="M131" s="51">
        <v>1E-3</v>
      </c>
      <c r="N131" s="51">
        <v>1.3299999999999999E-2</v>
      </c>
      <c r="O131" s="51">
        <v>2.3300000000000001E-2</v>
      </c>
      <c r="P131" s="51">
        <v>0</v>
      </c>
      <c r="Q131" s="75">
        <v>0</v>
      </c>
      <c r="T131" s="9"/>
      <c r="U131" s="9"/>
      <c r="V131" s="9"/>
      <c r="W131" s="9"/>
    </row>
    <row r="132" spans="1:23">
      <c r="A132" s="6" t="s">
        <v>86</v>
      </c>
      <c r="B132" s="6" t="s">
        <v>188</v>
      </c>
      <c r="C132" s="122" t="s">
        <v>146</v>
      </c>
      <c r="D132" s="125" t="s">
        <v>189</v>
      </c>
      <c r="E132" s="4" t="s">
        <v>193</v>
      </c>
      <c r="F132" s="47" t="s">
        <v>91</v>
      </c>
      <c r="G132" s="46" t="s">
        <v>92</v>
      </c>
      <c r="H132" s="64" t="s">
        <v>7</v>
      </c>
      <c r="I132" s="9"/>
      <c r="J132" s="3">
        <v>1000</v>
      </c>
      <c r="L132" s="3" t="s">
        <v>25</v>
      </c>
      <c r="M132" s="51">
        <v>2E-3</v>
      </c>
      <c r="N132" s="51">
        <v>2.3300000000000001E-2</v>
      </c>
      <c r="O132" s="51">
        <v>6.3299999999999995E-2</v>
      </c>
      <c r="P132" s="51">
        <v>0</v>
      </c>
      <c r="Q132" s="75">
        <v>0</v>
      </c>
      <c r="T132" s="9"/>
      <c r="U132" s="9"/>
      <c r="V132" s="9"/>
      <c r="W132" s="9"/>
    </row>
    <row r="133" spans="1:23">
      <c r="A133" s="6" t="s">
        <v>86</v>
      </c>
      <c r="B133" s="6" t="s">
        <v>188</v>
      </c>
      <c r="C133" s="122" t="s">
        <v>146</v>
      </c>
      <c r="D133" s="125" t="s">
        <v>189</v>
      </c>
      <c r="E133" s="4" t="s">
        <v>194</v>
      </c>
      <c r="F133" s="47" t="s">
        <v>91</v>
      </c>
      <c r="G133" s="46" t="s">
        <v>92</v>
      </c>
      <c r="H133" s="64" t="s">
        <v>7</v>
      </c>
      <c r="I133" s="9"/>
      <c r="J133" s="3">
        <v>1000</v>
      </c>
      <c r="L133" s="3" t="s">
        <v>25</v>
      </c>
      <c r="M133" s="51">
        <v>1E-3</v>
      </c>
      <c r="N133" s="51">
        <v>0.02</v>
      </c>
      <c r="O133" s="51">
        <v>0.04</v>
      </c>
      <c r="P133" s="51">
        <v>0</v>
      </c>
      <c r="Q133" s="75">
        <v>0</v>
      </c>
      <c r="T133" s="9"/>
      <c r="U133" s="9"/>
      <c r="V133" s="9"/>
      <c r="W133" s="9"/>
    </row>
    <row r="134" spans="1:23">
      <c r="A134" s="6" t="s">
        <v>86</v>
      </c>
      <c r="B134" s="6" t="s">
        <v>188</v>
      </c>
      <c r="C134" s="122" t="s">
        <v>146</v>
      </c>
      <c r="D134" s="125" t="s">
        <v>189</v>
      </c>
      <c r="E134" s="4" t="s">
        <v>195</v>
      </c>
      <c r="F134" s="47" t="s">
        <v>91</v>
      </c>
      <c r="G134" s="46" t="s">
        <v>92</v>
      </c>
      <c r="H134" s="64" t="s">
        <v>7</v>
      </c>
      <c r="I134" s="9"/>
      <c r="J134" s="3">
        <v>1000</v>
      </c>
      <c r="L134" s="3" t="s">
        <v>25</v>
      </c>
      <c r="M134" s="51">
        <v>1E-3</v>
      </c>
      <c r="N134" s="51">
        <v>0.02</v>
      </c>
      <c r="O134" s="51">
        <v>4.6600000000000003E-2</v>
      </c>
      <c r="P134" s="51">
        <v>0</v>
      </c>
      <c r="Q134" s="75">
        <v>0</v>
      </c>
      <c r="T134" s="9"/>
      <c r="U134" s="9"/>
      <c r="V134" s="9"/>
      <c r="W134" s="9"/>
    </row>
    <row r="135" spans="1:23">
      <c r="A135" s="6" t="s">
        <v>86</v>
      </c>
      <c r="B135" s="6" t="s">
        <v>188</v>
      </c>
      <c r="C135" s="122" t="s">
        <v>146</v>
      </c>
      <c r="D135" s="125" t="s">
        <v>189</v>
      </c>
      <c r="E135" s="4" t="s">
        <v>72</v>
      </c>
      <c r="F135" s="47" t="s">
        <v>91</v>
      </c>
      <c r="G135" s="46" t="s">
        <v>92</v>
      </c>
      <c r="H135" s="64" t="s">
        <v>7</v>
      </c>
      <c r="I135" s="9"/>
      <c r="J135" s="3">
        <v>1000</v>
      </c>
      <c r="L135" s="3" t="s">
        <v>25</v>
      </c>
      <c r="M135" s="51">
        <v>2E-3</v>
      </c>
      <c r="N135" s="51">
        <v>2.6599999999999999E-2</v>
      </c>
      <c r="O135" s="51">
        <v>3.6600000000000001E-2</v>
      </c>
      <c r="P135" s="51">
        <v>0</v>
      </c>
      <c r="Q135" s="75">
        <v>0</v>
      </c>
      <c r="T135" s="9"/>
      <c r="U135" s="9"/>
      <c r="V135" s="9"/>
      <c r="W135" s="9"/>
    </row>
    <row r="136" spans="1:23">
      <c r="A136" s="6" t="s">
        <v>86</v>
      </c>
      <c r="B136" s="6" t="s">
        <v>188</v>
      </c>
      <c r="C136" s="122" t="s">
        <v>146</v>
      </c>
      <c r="D136" s="125" t="s">
        <v>189</v>
      </c>
      <c r="E136" s="4" t="s">
        <v>65</v>
      </c>
      <c r="F136" s="47" t="s">
        <v>91</v>
      </c>
      <c r="G136" s="46" t="s">
        <v>92</v>
      </c>
      <c r="H136" s="64" t="s">
        <v>7</v>
      </c>
      <c r="I136" s="9"/>
      <c r="J136" s="3">
        <v>1000</v>
      </c>
      <c r="L136" s="3" t="s">
        <v>25</v>
      </c>
      <c r="M136" s="51">
        <v>1E-3</v>
      </c>
      <c r="N136" s="51">
        <v>0.02</v>
      </c>
      <c r="O136" s="51">
        <v>0.04</v>
      </c>
      <c r="P136" s="51">
        <v>0</v>
      </c>
      <c r="Q136" s="75">
        <v>0</v>
      </c>
      <c r="T136" s="9"/>
      <c r="U136" s="9"/>
      <c r="V136" s="9"/>
      <c r="W136" s="9"/>
    </row>
    <row r="137" spans="1:23">
      <c r="A137" s="6" t="s">
        <v>86</v>
      </c>
      <c r="B137" s="6" t="s">
        <v>188</v>
      </c>
      <c r="C137" s="122" t="s">
        <v>146</v>
      </c>
      <c r="D137" s="125" t="s">
        <v>189</v>
      </c>
      <c r="E137" s="4" t="s">
        <v>196</v>
      </c>
      <c r="F137" s="47" t="s">
        <v>91</v>
      </c>
      <c r="G137" s="46" t="s">
        <v>92</v>
      </c>
      <c r="H137" s="64" t="s">
        <v>7</v>
      </c>
      <c r="I137" s="9"/>
      <c r="J137" s="3">
        <v>1000</v>
      </c>
      <c r="L137" s="3" t="s">
        <v>25</v>
      </c>
      <c r="M137" s="51">
        <v>3.0000000000000001E-3</v>
      </c>
      <c r="N137" s="51">
        <v>0.02</v>
      </c>
      <c r="O137" s="51">
        <v>4.6600000000000003E-2</v>
      </c>
      <c r="P137" s="51">
        <v>0</v>
      </c>
      <c r="Q137" s="75">
        <v>0</v>
      </c>
      <c r="T137" s="9"/>
      <c r="U137" s="9"/>
      <c r="V137" s="9"/>
      <c r="W137" s="9"/>
    </row>
    <row r="138" spans="1:23">
      <c r="A138" s="6" t="s">
        <v>86</v>
      </c>
      <c r="B138" s="6" t="s">
        <v>188</v>
      </c>
      <c r="C138" s="122" t="s">
        <v>146</v>
      </c>
      <c r="D138" s="125" t="s">
        <v>189</v>
      </c>
      <c r="E138" s="4" t="s">
        <v>197</v>
      </c>
      <c r="F138" s="47" t="s">
        <v>91</v>
      </c>
      <c r="G138" s="46" t="s">
        <v>92</v>
      </c>
      <c r="H138" s="64" t="s">
        <v>7</v>
      </c>
      <c r="I138" s="9"/>
      <c r="J138" s="3">
        <v>1000</v>
      </c>
      <c r="L138" s="3" t="s">
        <v>25</v>
      </c>
      <c r="M138" s="51">
        <v>1E-3</v>
      </c>
      <c r="N138" s="51">
        <v>2.6599999999999999E-2</v>
      </c>
      <c r="O138" s="51">
        <v>4.6600000000000003E-2</v>
      </c>
      <c r="P138" s="51">
        <v>0</v>
      </c>
      <c r="Q138" s="75">
        <v>0</v>
      </c>
      <c r="T138" s="9"/>
      <c r="U138" s="9"/>
      <c r="V138" s="9"/>
      <c r="W138" s="9"/>
    </row>
    <row r="139" spans="1:23">
      <c r="A139" s="6" t="s">
        <v>86</v>
      </c>
      <c r="B139" s="6" t="s">
        <v>188</v>
      </c>
      <c r="C139" s="122" t="s">
        <v>146</v>
      </c>
      <c r="D139" s="125" t="s">
        <v>189</v>
      </c>
      <c r="E139" s="4" t="s">
        <v>198</v>
      </c>
      <c r="F139" s="47" t="s">
        <v>91</v>
      </c>
      <c r="G139" s="46" t="s">
        <v>92</v>
      </c>
      <c r="H139" s="64" t="s">
        <v>7</v>
      </c>
      <c r="I139" s="9"/>
      <c r="J139" s="3">
        <v>1000</v>
      </c>
      <c r="L139" s="3" t="s">
        <v>25</v>
      </c>
      <c r="M139" s="51">
        <v>1E-3</v>
      </c>
      <c r="N139" s="51">
        <v>2.3300000000000001E-2</v>
      </c>
      <c r="O139" s="51">
        <v>5.6599999999999998E-2</v>
      </c>
      <c r="P139" s="51">
        <v>0</v>
      </c>
      <c r="Q139" s="75">
        <v>0</v>
      </c>
      <c r="T139" s="9"/>
      <c r="U139" s="9"/>
      <c r="V139" s="9"/>
      <c r="W139" s="9"/>
    </row>
    <row r="140" spans="1:23">
      <c r="A140" s="6" t="s">
        <v>86</v>
      </c>
      <c r="B140" s="6" t="s">
        <v>188</v>
      </c>
      <c r="C140" s="122" t="s">
        <v>146</v>
      </c>
      <c r="D140" s="125" t="s">
        <v>189</v>
      </c>
      <c r="E140" s="4" t="s">
        <v>66</v>
      </c>
      <c r="F140" s="47" t="s">
        <v>91</v>
      </c>
      <c r="G140" s="46" t="s">
        <v>92</v>
      </c>
      <c r="H140" s="64" t="s">
        <v>7</v>
      </c>
      <c r="I140" s="9"/>
      <c r="J140" s="3">
        <v>1000</v>
      </c>
      <c r="L140" s="3" t="s">
        <v>25</v>
      </c>
      <c r="M140" s="51">
        <v>2E-3</v>
      </c>
      <c r="N140" s="51">
        <v>2.6599999999999999E-2</v>
      </c>
      <c r="O140" s="51">
        <v>2.6599999999999999E-2</v>
      </c>
      <c r="P140" s="51">
        <v>0</v>
      </c>
      <c r="Q140" s="75">
        <v>0</v>
      </c>
      <c r="T140" s="9"/>
      <c r="U140" s="9"/>
      <c r="V140" s="9"/>
      <c r="W140" s="9"/>
    </row>
    <row r="141" spans="1:23">
      <c r="A141" s="6" t="s">
        <v>86</v>
      </c>
      <c r="B141" s="6" t="s">
        <v>188</v>
      </c>
      <c r="C141" s="122" t="s">
        <v>146</v>
      </c>
      <c r="D141" s="125" t="s">
        <v>189</v>
      </c>
      <c r="E141" s="4" t="s">
        <v>199</v>
      </c>
      <c r="F141" s="47" t="s">
        <v>91</v>
      </c>
      <c r="G141" s="46" t="s">
        <v>92</v>
      </c>
      <c r="H141" s="64" t="s">
        <v>7</v>
      </c>
      <c r="I141" s="9"/>
      <c r="J141" s="3">
        <v>1000</v>
      </c>
      <c r="L141" s="3" t="s">
        <v>25</v>
      </c>
      <c r="M141" s="51">
        <v>1E-3</v>
      </c>
      <c r="N141" s="51">
        <v>2.3300000000000001E-2</v>
      </c>
      <c r="O141" s="51">
        <v>0.03</v>
      </c>
      <c r="P141" s="51">
        <v>0</v>
      </c>
      <c r="Q141" s="75">
        <v>0</v>
      </c>
      <c r="T141" s="9"/>
      <c r="U141" s="9"/>
      <c r="V141" s="9"/>
      <c r="W141" s="9"/>
    </row>
    <row r="142" spans="1:23">
      <c r="A142" s="6" t="s">
        <v>86</v>
      </c>
      <c r="B142" s="6" t="s">
        <v>85</v>
      </c>
      <c r="C142" s="122" t="s">
        <v>146</v>
      </c>
      <c r="D142" s="125" t="s">
        <v>189</v>
      </c>
      <c r="E142" s="4" t="s">
        <v>67</v>
      </c>
      <c r="F142" s="47" t="s">
        <v>91</v>
      </c>
      <c r="G142" s="46" t="s">
        <v>92</v>
      </c>
      <c r="H142" s="64" t="s">
        <v>7</v>
      </c>
      <c r="I142" s="9"/>
      <c r="J142" s="3">
        <v>1000</v>
      </c>
      <c r="L142" s="3" t="s">
        <v>25</v>
      </c>
      <c r="M142" s="51">
        <v>1E-3</v>
      </c>
      <c r="N142" s="51">
        <v>2.3300000000000001E-2</v>
      </c>
      <c r="O142" s="51">
        <v>3.6600000000000001E-2</v>
      </c>
      <c r="P142" s="51">
        <v>0</v>
      </c>
      <c r="Q142" s="75">
        <v>0</v>
      </c>
      <c r="T142" s="9"/>
      <c r="U142" s="9"/>
      <c r="V142" s="9"/>
      <c r="W142" s="9"/>
    </row>
    <row r="143" spans="1:23">
      <c r="A143" s="6" t="s">
        <v>86</v>
      </c>
      <c r="B143" s="6" t="s">
        <v>85</v>
      </c>
      <c r="C143" s="122" t="s">
        <v>146</v>
      </c>
      <c r="D143" s="125" t="s">
        <v>189</v>
      </c>
      <c r="E143" s="4" t="s">
        <v>68</v>
      </c>
      <c r="F143" s="47" t="s">
        <v>91</v>
      </c>
      <c r="G143" s="46" t="s">
        <v>92</v>
      </c>
      <c r="H143" s="64" t="s">
        <v>7</v>
      </c>
      <c r="I143" s="9"/>
      <c r="J143" s="3">
        <v>1000</v>
      </c>
      <c r="L143" s="3" t="s">
        <v>25</v>
      </c>
      <c r="M143" s="51">
        <v>3.0000000000000001E-3</v>
      </c>
      <c r="N143" s="51">
        <v>2.6599999999999999E-2</v>
      </c>
      <c r="O143" s="51">
        <v>4.3299999999999998E-2</v>
      </c>
      <c r="P143" s="51">
        <v>0</v>
      </c>
      <c r="Q143" s="75">
        <v>0</v>
      </c>
      <c r="T143" s="9"/>
      <c r="U143" s="9"/>
      <c r="V143" s="9"/>
      <c r="W143" s="9"/>
    </row>
    <row r="144" spans="1:23">
      <c r="A144" s="6" t="s">
        <v>86</v>
      </c>
      <c r="B144" s="6" t="s">
        <v>114</v>
      </c>
      <c r="C144" s="122" t="s">
        <v>146</v>
      </c>
      <c r="D144" s="125" t="s">
        <v>190</v>
      </c>
      <c r="E144" s="4" t="s">
        <v>14</v>
      </c>
      <c r="F144" s="47" t="s">
        <v>91</v>
      </c>
      <c r="G144" s="46" t="s">
        <v>92</v>
      </c>
      <c r="H144" s="64" t="s">
        <v>7</v>
      </c>
      <c r="I144" s="9"/>
      <c r="J144" s="3">
        <v>1000</v>
      </c>
      <c r="L144" s="3" t="s">
        <v>25</v>
      </c>
      <c r="M144" s="51">
        <v>0</v>
      </c>
      <c r="N144" s="51">
        <v>0.02</v>
      </c>
      <c r="O144" s="51">
        <v>0.06</v>
      </c>
      <c r="P144" s="51">
        <v>0</v>
      </c>
      <c r="Q144" s="75">
        <v>0</v>
      </c>
      <c r="T144" s="9"/>
      <c r="U144" s="9"/>
      <c r="V144" s="9"/>
      <c r="W144" s="9"/>
    </row>
    <row r="145" spans="1:23">
      <c r="A145" s="6" t="s">
        <v>86</v>
      </c>
      <c r="B145" s="6" t="s">
        <v>114</v>
      </c>
      <c r="C145" s="122" t="s">
        <v>146</v>
      </c>
      <c r="D145" s="125" t="s">
        <v>190</v>
      </c>
      <c r="E145" s="4" t="s">
        <v>42</v>
      </c>
      <c r="F145" s="47" t="s">
        <v>91</v>
      </c>
      <c r="G145" s="46" t="s">
        <v>92</v>
      </c>
      <c r="H145" s="64" t="s">
        <v>7</v>
      </c>
      <c r="I145" s="9"/>
      <c r="J145" s="3">
        <v>1000</v>
      </c>
      <c r="L145" s="3" t="s">
        <v>25</v>
      </c>
      <c r="M145" s="51">
        <v>1E-3</v>
      </c>
      <c r="N145" s="51">
        <v>0.02</v>
      </c>
      <c r="O145" s="51">
        <v>9.6600000000000005E-2</v>
      </c>
      <c r="P145" s="51">
        <v>0</v>
      </c>
      <c r="Q145" s="75">
        <v>0</v>
      </c>
      <c r="T145" s="9"/>
      <c r="U145" s="9"/>
      <c r="V145" s="9"/>
      <c r="W145" s="9"/>
    </row>
    <row r="146" spans="1:23">
      <c r="A146" s="6" t="s">
        <v>86</v>
      </c>
      <c r="B146" s="6" t="s">
        <v>114</v>
      </c>
      <c r="C146" s="122" t="s">
        <v>146</v>
      </c>
      <c r="D146" s="125" t="s">
        <v>190</v>
      </c>
      <c r="E146" s="4" t="s">
        <v>43</v>
      </c>
      <c r="F146" s="47" t="s">
        <v>91</v>
      </c>
      <c r="G146" s="46" t="s">
        <v>92</v>
      </c>
      <c r="H146" s="64" t="s">
        <v>7</v>
      </c>
      <c r="I146" s="9"/>
      <c r="J146" s="3">
        <v>1000</v>
      </c>
      <c r="L146" s="3" t="s">
        <v>25</v>
      </c>
      <c r="M146" s="51">
        <v>2E-3</v>
      </c>
      <c r="N146" s="51">
        <v>3.3300000000000003E-2</v>
      </c>
      <c r="O146" s="51">
        <v>0.12659999999999999</v>
      </c>
      <c r="P146" s="51">
        <v>0</v>
      </c>
      <c r="Q146" s="75">
        <v>0</v>
      </c>
      <c r="T146" s="9"/>
      <c r="U146" s="9"/>
      <c r="V146" s="9"/>
      <c r="W146" s="9"/>
    </row>
    <row r="147" spans="1:23">
      <c r="A147" s="6" t="s">
        <v>86</v>
      </c>
      <c r="B147" s="6" t="s">
        <v>114</v>
      </c>
      <c r="C147" s="122" t="s">
        <v>146</v>
      </c>
      <c r="D147" s="125" t="s">
        <v>190</v>
      </c>
      <c r="E147" s="4" t="s">
        <v>44</v>
      </c>
      <c r="F147" s="47" t="s">
        <v>91</v>
      </c>
      <c r="G147" s="46" t="s">
        <v>92</v>
      </c>
      <c r="H147" s="64" t="s">
        <v>7</v>
      </c>
      <c r="I147" s="9"/>
      <c r="J147" s="3">
        <v>1000</v>
      </c>
      <c r="L147" s="3" t="s">
        <v>25</v>
      </c>
      <c r="M147" s="51">
        <v>1E-3</v>
      </c>
      <c r="N147" s="51">
        <v>2.6599999999999999E-2</v>
      </c>
      <c r="O147" s="51">
        <v>0.1</v>
      </c>
      <c r="P147" s="51">
        <v>0</v>
      </c>
      <c r="Q147" s="75">
        <v>0</v>
      </c>
      <c r="T147" s="9"/>
      <c r="U147" s="9"/>
      <c r="V147" s="9"/>
      <c r="W147" s="9"/>
    </row>
    <row r="148" spans="1:23">
      <c r="A148" s="6" t="s">
        <v>86</v>
      </c>
      <c r="B148" s="6" t="s">
        <v>114</v>
      </c>
      <c r="C148" s="122" t="s">
        <v>146</v>
      </c>
      <c r="D148" s="125" t="s">
        <v>190</v>
      </c>
      <c r="E148" s="4" t="s">
        <v>45</v>
      </c>
      <c r="F148" s="47" t="s">
        <v>91</v>
      </c>
      <c r="G148" s="46" t="s">
        <v>92</v>
      </c>
      <c r="H148" s="64" t="s">
        <v>7</v>
      </c>
      <c r="I148" s="9"/>
      <c r="J148" s="3">
        <v>1000</v>
      </c>
      <c r="L148" s="3" t="s">
        <v>25</v>
      </c>
      <c r="M148" s="51">
        <v>2E-3</v>
      </c>
      <c r="N148" s="51">
        <v>2.3300000000000001E-2</v>
      </c>
      <c r="O148" s="51">
        <v>0.08</v>
      </c>
      <c r="P148" s="51">
        <v>0</v>
      </c>
      <c r="Q148" s="75">
        <v>0</v>
      </c>
      <c r="T148" s="9"/>
      <c r="U148" s="9"/>
      <c r="V148" s="9"/>
      <c r="W148" s="9"/>
    </row>
    <row r="149" spans="1:23">
      <c r="A149" s="6" t="s">
        <v>86</v>
      </c>
      <c r="B149" s="6" t="s">
        <v>114</v>
      </c>
      <c r="C149" s="122" t="s">
        <v>146</v>
      </c>
      <c r="D149" s="125" t="s">
        <v>190</v>
      </c>
      <c r="E149" s="4" t="s">
        <v>46</v>
      </c>
      <c r="F149" s="47" t="s">
        <v>91</v>
      </c>
      <c r="G149" s="46" t="s">
        <v>92</v>
      </c>
      <c r="H149" s="64" t="s">
        <v>7</v>
      </c>
      <c r="I149" s="9"/>
      <c r="J149" s="3">
        <v>1000</v>
      </c>
      <c r="L149" s="3" t="s">
        <v>25</v>
      </c>
      <c r="M149" s="51">
        <v>0</v>
      </c>
      <c r="N149" s="51">
        <v>0.02</v>
      </c>
      <c r="O149" s="51">
        <v>0.14330000000000001</v>
      </c>
      <c r="P149" s="51">
        <v>0</v>
      </c>
      <c r="Q149" s="75">
        <v>0</v>
      </c>
      <c r="T149" s="9"/>
      <c r="U149" s="9"/>
      <c r="V149" s="9"/>
      <c r="W149" s="9"/>
    </row>
    <row r="150" spans="1:23">
      <c r="A150" s="6" t="s">
        <v>86</v>
      </c>
      <c r="B150" s="6" t="s">
        <v>114</v>
      </c>
      <c r="C150" s="122" t="s">
        <v>146</v>
      </c>
      <c r="D150" s="125" t="s">
        <v>190</v>
      </c>
      <c r="E150" s="4" t="s">
        <v>47</v>
      </c>
      <c r="F150" s="47" t="s">
        <v>91</v>
      </c>
      <c r="G150" s="46" t="s">
        <v>92</v>
      </c>
      <c r="H150" s="64" t="s">
        <v>7</v>
      </c>
      <c r="I150" s="9"/>
      <c r="J150" s="3">
        <v>1000</v>
      </c>
      <c r="L150" s="3" t="s">
        <v>25</v>
      </c>
      <c r="M150" s="51">
        <v>0</v>
      </c>
      <c r="N150" s="51">
        <v>2.3300000000000001E-2</v>
      </c>
      <c r="O150" s="51">
        <v>0.1133</v>
      </c>
      <c r="P150" s="51">
        <v>0</v>
      </c>
      <c r="Q150" s="75">
        <v>0</v>
      </c>
      <c r="T150" s="9"/>
      <c r="U150" s="9"/>
      <c r="V150" s="9"/>
      <c r="W150" s="9"/>
    </row>
    <row r="151" spans="1:23">
      <c r="A151" s="6" t="s">
        <v>86</v>
      </c>
      <c r="B151" s="6" t="s">
        <v>114</v>
      </c>
      <c r="C151" s="122" t="s">
        <v>146</v>
      </c>
      <c r="D151" s="125" t="s">
        <v>190</v>
      </c>
      <c r="E151" s="4" t="s">
        <v>48</v>
      </c>
      <c r="F151" s="47" t="s">
        <v>91</v>
      </c>
      <c r="G151" s="46" t="s">
        <v>92</v>
      </c>
      <c r="H151" s="64" t="s">
        <v>7</v>
      </c>
      <c r="I151" s="9"/>
      <c r="J151" s="3">
        <v>1000</v>
      </c>
      <c r="L151" s="3" t="s">
        <v>25</v>
      </c>
      <c r="M151" s="51">
        <v>2E-3</v>
      </c>
      <c r="N151" s="51">
        <v>0.03</v>
      </c>
      <c r="O151" s="51">
        <v>9.3299999999999994E-2</v>
      </c>
      <c r="P151" s="51">
        <v>0</v>
      </c>
      <c r="Q151" s="75">
        <v>0</v>
      </c>
      <c r="T151" s="9"/>
      <c r="U151" s="9"/>
      <c r="V151" s="9"/>
      <c r="W151" s="9"/>
    </row>
    <row r="152" spans="1:23">
      <c r="A152" s="6" t="s">
        <v>86</v>
      </c>
      <c r="B152" s="6" t="s">
        <v>114</v>
      </c>
      <c r="C152" s="122" t="s">
        <v>146</v>
      </c>
      <c r="D152" s="125" t="s">
        <v>190</v>
      </c>
      <c r="E152" s="4" t="s">
        <v>57</v>
      </c>
      <c r="F152" s="47" t="s">
        <v>91</v>
      </c>
      <c r="G152" s="46" t="s">
        <v>92</v>
      </c>
      <c r="H152" s="64" t="s">
        <v>7</v>
      </c>
      <c r="I152" s="9"/>
      <c r="J152" s="3">
        <v>1000</v>
      </c>
      <c r="L152" s="3" t="s">
        <v>25</v>
      </c>
      <c r="M152" s="51">
        <v>0</v>
      </c>
      <c r="N152" s="51">
        <v>0.02</v>
      </c>
      <c r="O152" s="51">
        <v>3.3300000000000003E-2</v>
      </c>
      <c r="P152" s="51">
        <v>0</v>
      </c>
      <c r="Q152" s="75">
        <v>0</v>
      </c>
      <c r="T152" s="9"/>
      <c r="U152" s="9"/>
      <c r="V152" s="9"/>
      <c r="W152" s="9"/>
    </row>
    <row r="153" spans="1:23">
      <c r="A153" s="6" t="s">
        <v>86</v>
      </c>
      <c r="B153" s="6" t="s">
        <v>114</v>
      </c>
      <c r="C153" s="122" t="s">
        <v>146</v>
      </c>
      <c r="D153" s="125" t="s">
        <v>190</v>
      </c>
      <c r="E153" s="4" t="s">
        <v>58</v>
      </c>
      <c r="F153" s="47" t="s">
        <v>91</v>
      </c>
      <c r="G153" s="46" t="s">
        <v>92</v>
      </c>
      <c r="H153" s="64" t="s">
        <v>7</v>
      </c>
      <c r="I153" s="9"/>
      <c r="J153" s="3">
        <v>1000</v>
      </c>
      <c r="L153" s="3" t="s">
        <v>25</v>
      </c>
      <c r="M153" s="51">
        <v>0</v>
      </c>
      <c r="N153" s="51">
        <v>0.02</v>
      </c>
      <c r="O153" s="51">
        <v>4.3299999999999998E-2</v>
      </c>
      <c r="P153" s="51">
        <v>0</v>
      </c>
      <c r="Q153" s="75">
        <v>0</v>
      </c>
      <c r="T153" s="9"/>
      <c r="U153" s="9"/>
      <c r="V153" s="9"/>
      <c r="W153" s="9"/>
    </row>
    <row r="154" spans="1:23">
      <c r="A154" s="6" t="s">
        <v>86</v>
      </c>
      <c r="B154" s="6" t="s">
        <v>114</v>
      </c>
      <c r="C154" s="122" t="s">
        <v>146</v>
      </c>
      <c r="D154" s="125" t="s">
        <v>190</v>
      </c>
      <c r="E154" s="4" t="s">
        <v>59</v>
      </c>
      <c r="F154" s="47" t="s">
        <v>91</v>
      </c>
      <c r="G154" s="46" t="s">
        <v>92</v>
      </c>
      <c r="H154" s="64" t="s">
        <v>7</v>
      </c>
      <c r="I154" s="9"/>
      <c r="J154" s="3">
        <v>1000</v>
      </c>
      <c r="L154" s="3" t="s">
        <v>25</v>
      </c>
      <c r="M154" s="51">
        <v>1E-3</v>
      </c>
      <c r="N154" s="51">
        <v>2.3300000000000001E-2</v>
      </c>
      <c r="O154" s="51">
        <v>0.05</v>
      </c>
      <c r="P154" s="51">
        <v>0</v>
      </c>
      <c r="Q154" s="75">
        <v>0</v>
      </c>
      <c r="T154" s="9"/>
      <c r="U154" s="9"/>
      <c r="V154" s="9"/>
      <c r="W154" s="9"/>
    </row>
    <row r="155" spans="1:23">
      <c r="A155" s="6" t="s">
        <v>86</v>
      </c>
      <c r="B155" s="6" t="s">
        <v>114</v>
      </c>
      <c r="C155" s="122" t="s">
        <v>146</v>
      </c>
      <c r="D155" s="125" t="s">
        <v>190</v>
      </c>
      <c r="E155" s="4" t="s">
        <v>61</v>
      </c>
      <c r="F155" s="47" t="s">
        <v>91</v>
      </c>
      <c r="G155" s="46" t="s">
        <v>92</v>
      </c>
      <c r="H155" s="64" t="s">
        <v>7</v>
      </c>
      <c r="I155" s="9"/>
      <c r="J155" s="3">
        <v>1000</v>
      </c>
      <c r="L155" s="3" t="s">
        <v>25</v>
      </c>
      <c r="M155" s="51">
        <v>1E-3</v>
      </c>
      <c r="N155" s="51">
        <v>1.66E-2</v>
      </c>
      <c r="O155" s="51">
        <v>3.6600000000000001E-2</v>
      </c>
      <c r="P155" s="51">
        <v>0</v>
      </c>
      <c r="Q155" s="75">
        <v>0</v>
      </c>
      <c r="T155" s="9"/>
      <c r="U155" s="9"/>
      <c r="V155" s="9"/>
      <c r="W155" s="9"/>
    </row>
    <row r="156" spans="1:23">
      <c r="A156" s="6" t="s">
        <v>86</v>
      </c>
      <c r="B156" s="6" t="s">
        <v>114</v>
      </c>
      <c r="C156" s="122" t="s">
        <v>146</v>
      </c>
      <c r="D156" s="125" t="s">
        <v>190</v>
      </c>
      <c r="E156" s="4" t="s">
        <v>191</v>
      </c>
      <c r="F156" s="47" t="s">
        <v>91</v>
      </c>
      <c r="G156" s="46" t="s">
        <v>92</v>
      </c>
      <c r="H156" s="64" t="s">
        <v>7</v>
      </c>
      <c r="I156" s="9"/>
      <c r="J156" s="3">
        <v>1000</v>
      </c>
      <c r="L156" s="3" t="s">
        <v>25</v>
      </c>
      <c r="M156" s="51">
        <v>1E-3</v>
      </c>
      <c r="N156" s="51">
        <v>0.02</v>
      </c>
      <c r="O156" s="51">
        <v>3.3300000000000003E-2</v>
      </c>
      <c r="P156" s="51">
        <v>0</v>
      </c>
      <c r="Q156" s="75">
        <v>0</v>
      </c>
      <c r="T156" s="9"/>
      <c r="U156" s="9"/>
      <c r="V156" s="9"/>
      <c r="W156" s="9"/>
    </row>
    <row r="157" spans="1:23">
      <c r="A157" s="6" t="s">
        <v>86</v>
      </c>
      <c r="B157" s="6" t="s">
        <v>114</v>
      </c>
      <c r="C157" s="122" t="s">
        <v>146</v>
      </c>
      <c r="D157" s="125" t="s">
        <v>190</v>
      </c>
      <c r="E157" s="4" t="s">
        <v>71</v>
      </c>
      <c r="F157" s="47" t="s">
        <v>91</v>
      </c>
      <c r="G157" s="46" t="s">
        <v>92</v>
      </c>
      <c r="H157" s="64" t="s">
        <v>7</v>
      </c>
      <c r="I157" s="9"/>
      <c r="J157" s="3">
        <v>1000</v>
      </c>
      <c r="L157" s="3" t="s">
        <v>25</v>
      </c>
      <c r="M157" s="51">
        <v>0</v>
      </c>
      <c r="N157" s="51">
        <v>1.66E-2</v>
      </c>
      <c r="O157" s="51">
        <v>3.3300000000000003E-2</v>
      </c>
      <c r="P157" s="51">
        <v>0</v>
      </c>
      <c r="Q157" s="75">
        <v>0</v>
      </c>
      <c r="T157" s="9"/>
      <c r="U157" s="9"/>
      <c r="V157" s="9"/>
      <c r="W157" s="9"/>
    </row>
    <row r="158" spans="1:23">
      <c r="A158" s="6" t="s">
        <v>163</v>
      </c>
      <c r="B158" s="6" t="s">
        <v>164</v>
      </c>
      <c r="C158" s="122" t="s">
        <v>146</v>
      </c>
      <c r="D158" s="125" t="s">
        <v>190</v>
      </c>
      <c r="E158" s="128" t="s">
        <v>15</v>
      </c>
      <c r="F158" s="47" t="s">
        <v>91</v>
      </c>
      <c r="G158" s="128" t="s">
        <v>8</v>
      </c>
      <c r="H158" s="9" t="s">
        <v>122</v>
      </c>
      <c r="I158" s="9"/>
      <c r="J158" s="138">
        <v>1000</v>
      </c>
      <c r="L158" s="3" t="s">
        <v>25</v>
      </c>
      <c r="M158" s="51">
        <v>0.05</v>
      </c>
      <c r="N158" s="51">
        <v>0</v>
      </c>
      <c r="O158" s="51">
        <v>0</v>
      </c>
      <c r="P158" s="51">
        <v>0</v>
      </c>
      <c r="Q158" s="75">
        <v>0.01</v>
      </c>
      <c r="T158" s="9"/>
      <c r="U158" s="9"/>
      <c r="V158" s="9"/>
      <c r="W158" s="9"/>
    </row>
    <row r="159" spans="1:23">
      <c r="A159" s="6" t="s">
        <v>163</v>
      </c>
      <c r="B159" s="6" t="s">
        <v>164</v>
      </c>
      <c r="C159" s="122" t="s">
        <v>146</v>
      </c>
      <c r="D159" s="125" t="s">
        <v>190</v>
      </c>
      <c r="E159" s="128" t="s">
        <v>13</v>
      </c>
      <c r="F159" s="47" t="s">
        <v>91</v>
      </c>
      <c r="G159" s="128" t="s">
        <v>8</v>
      </c>
      <c r="H159" s="9" t="s">
        <v>122</v>
      </c>
      <c r="I159" s="9"/>
      <c r="J159" s="138">
        <v>1000</v>
      </c>
      <c r="L159" s="3" t="s">
        <v>25</v>
      </c>
      <c r="M159" s="51">
        <v>5.2999999999999999E-2</v>
      </c>
      <c r="N159" s="51">
        <v>0</v>
      </c>
      <c r="O159" s="51">
        <v>0</v>
      </c>
      <c r="P159" s="51">
        <v>0</v>
      </c>
      <c r="Q159" s="75">
        <v>7.0000000000000001E-3</v>
      </c>
      <c r="T159" s="9"/>
      <c r="U159" s="9"/>
      <c r="V159" s="9"/>
      <c r="W159" s="9"/>
    </row>
    <row r="160" spans="1:23">
      <c r="A160" s="6" t="s">
        <v>163</v>
      </c>
      <c r="B160" s="6" t="s">
        <v>164</v>
      </c>
      <c r="C160" s="122" t="s">
        <v>146</v>
      </c>
      <c r="D160" s="125" t="s">
        <v>190</v>
      </c>
      <c r="E160" s="128" t="s">
        <v>14</v>
      </c>
      <c r="F160" s="47" t="s">
        <v>91</v>
      </c>
      <c r="G160" s="128" t="s">
        <v>8</v>
      </c>
      <c r="H160" s="9" t="s">
        <v>122</v>
      </c>
      <c r="I160" s="9"/>
      <c r="J160" s="138">
        <v>567</v>
      </c>
      <c r="L160" s="3" t="s">
        <v>25</v>
      </c>
      <c r="M160" s="51">
        <v>3.4000000000000002E-2</v>
      </c>
      <c r="N160" s="51">
        <v>0</v>
      </c>
      <c r="O160" s="51">
        <v>0</v>
      </c>
      <c r="P160" s="51">
        <v>0</v>
      </c>
      <c r="Q160" s="75">
        <v>5.0000000000000001E-3</v>
      </c>
      <c r="T160" s="9"/>
      <c r="U160" s="9"/>
      <c r="V160" s="9"/>
      <c r="W160" s="9"/>
    </row>
    <row r="161" spans="1:23">
      <c r="A161" s="6">
        <v>2026</v>
      </c>
      <c r="B161" s="6">
        <v>14</v>
      </c>
      <c r="C161" s="65" t="s">
        <v>167</v>
      </c>
      <c r="D161" s="133" t="s">
        <v>200</v>
      </c>
      <c r="E161" s="64" t="s">
        <v>15</v>
      </c>
      <c r="F161" s="47" t="s">
        <v>99</v>
      </c>
      <c r="G161" s="46" t="s">
        <v>92</v>
      </c>
      <c r="H161" s="64" t="s">
        <v>4</v>
      </c>
      <c r="I161" s="9"/>
      <c r="J161" s="134">
        <v>1000</v>
      </c>
      <c r="L161" s="3" t="s">
        <v>22</v>
      </c>
      <c r="M161" s="49">
        <v>0</v>
      </c>
      <c r="N161" s="51">
        <v>1.3299999999999999E-2</v>
      </c>
      <c r="O161" s="51">
        <v>3.6600000000000001E-2</v>
      </c>
      <c r="P161" s="49">
        <v>0</v>
      </c>
      <c r="Q161" s="49">
        <v>0</v>
      </c>
      <c r="T161" s="9"/>
      <c r="U161" s="9"/>
      <c r="V161" s="9"/>
      <c r="W161" s="9"/>
    </row>
    <row r="162" spans="1:23">
      <c r="A162" s="6">
        <v>2026</v>
      </c>
      <c r="B162" s="6">
        <v>14</v>
      </c>
      <c r="C162" s="65" t="s">
        <v>167</v>
      </c>
      <c r="D162" s="133" t="s">
        <v>200</v>
      </c>
      <c r="E162" s="64" t="s">
        <v>15</v>
      </c>
      <c r="F162" s="47" t="s">
        <v>99</v>
      </c>
      <c r="G162" s="46" t="s">
        <v>92</v>
      </c>
      <c r="H162" s="64" t="s">
        <v>6</v>
      </c>
      <c r="I162" s="9"/>
      <c r="J162" s="3">
        <v>1000</v>
      </c>
      <c r="L162" s="3" t="s">
        <v>22</v>
      </c>
      <c r="M162" s="51">
        <v>0</v>
      </c>
      <c r="N162" s="51">
        <v>0.01</v>
      </c>
      <c r="O162" s="51">
        <v>0.04</v>
      </c>
      <c r="P162" s="51">
        <v>0</v>
      </c>
      <c r="Q162" s="49">
        <v>0</v>
      </c>
      <c r="T162" s="9"/>
      <c r="U162" s="9"/>
      <c r="V162" s="9"/>
      <c r="W162" s="9"/>
    </row>
    <row r="163" spans="1:23">
      <c r="A163" s="6">
        <v>2026</v>
      </c>
      <c r="B163" s="6">
        <v>14</v>
      </c>
      <c r="C163" s="65" t="s">
        <v>167</v>
      </c>
      <c r="D163" s="133" t="s">
        <v>200</v>
      </c>
      <c r="E163" s="64" t="s">
        <v>13</v>
      </c>
      <c r="F163" s="47" t="s">
        <v>99</v>
      </c>
      <c r="G163" s="46" t="s">
        <v>92</v>
      </c>
      <c r="H163" s="64" t="s">
        <v>6</v>
      </c>
      <c r="I163" s="9"/>
      <c r="J163" s="3">
        <v>1000</v>
      </c>
      <c r="L163" s="3" t="s">
        <v>22</v>
      </c>
      <c r="M163" s="51">
        <v>0</v>
      </c>
      <c r="N163" s="51">
        <v>0.01</v>
      </c>
      <c r="O163" s="51">
        <v>3.3300000000000003E-2</v>
      </c>
      <c r="P163" s="51">
        <v>0</v>
      </c>
      <c r="Q163" s="49">
        <v>0</v>
      </c>
      <c r="T163" s="9"/>
      <c r="U163" s="9"/>
      <c r="V163" s="9"/>
      <c r="W163" s="9"/>
    </row>
    <row r="164" spans="1:23">
      <c r="A164" s="6">
        <v>2026</v>
      </c>
      <c r="B164" s="6">
        <v>14</v>
      </c>
      <c r="C164" s="65" t="s">
        <v>167</v>
      </c>
      <c r="D164" s="133" t="s">
        <v>200</v>
      </c>
      <c r="E164" s="64" t="s">
        <v>14</v>
      </c>
      <c r="F164" s="47" t="s">
        <v>99</v>
      </c>
      <c r="G164" s="46" t="s">
        <v>92</v>
      </c>
      <c r="H164" s="64" t="s">
        <v>6</v>
      </c>
      <c r="I164" s="9"/>
      <c r="J164" s="3">
        <v>1000</v>
      </c>
      <c r="L164" s="3" t="s">
        <v>22</v>
      </c>
      <c r="M164" s="51">
        <v>0</v>
      </c>
      <c r="N164" s="51">
        <v>1.3299999999999999E-2</v>
      </c>
      <c r="O164" s="51">
        <v>4.3299999999999998E-2</v>
      </c>
      <c r="P164" s="51">
        <v>0</v>
      </c>
      <c r="Q164" s="49">
        <v>0</v>
      </c>
      <c r="T164" s="9"/>
      <c r="U164" s="9"/>
      <c r="V164" s="9"/>
      <c r="W164" s="9"/>
    </row>
    <row r="165" spans="1:23">
      <c r="A165" s="6">
        <v>2026</v>
      </c>
      <c r="B165" s="6">
        <v>14</v>
      </c>
      <c r="C165" s="65" t="s">
        <v>167</v>
      </c>
      <c r="D165" s="133" t="s">
        <v>200</v>
      </c>
      <c r="E165" s="64" t="s">
        <v>40</v>
      </c>
      <c r="F165" s="47" t="s">
        <v>99</v>
      </c>
      <c r="G165" s="46" t="s">
        <v>92</v>
      </c>
      <c r="H165" s="64" t="s">
        <v>6</v>
      </c>
      <c r="I165" s="9"/>
      <c r="J165" s="3">
        <v>1000</v>
      </c>
      <c r="L165" s="3" t="s">
        <v>22</v>
      </c>
      <c r="M165" s="51">
        <v>0</v>
      </c>
      <c r="N165" s="51">
        <v>0.02</v>
      </c>
      <c r="O165" s="51">
        <v>4.3299999999999998E-2</v>
      </c>
      <c r="P165" s="51">
        <v>0</v>
      </c>
      <c r="Q165" s="49">
        <v>0</v>
      </c>
      <c r="T165" s="9"/>
      <c r="U165" s="9"/>
      <c r="V165" s="9"/>
      <c r="W165" s="9"/>
    </row>
    <row r="166" spans="1:23">
      <c r="A166" s="6">
        <v>2026</v>
      </c>
      <c r="B166" s="6">
        <v>14</v>
      </c>
      <c r="C166" s="65" t="s">
        <v>167</v>
      </c>
      <c r="D166" s="133" t="s">
        <v>200</v>
      </c>
      <c r="E166" s="64" t="s">
        <v>15</v>
      </c>
      <c r="F166" s="47" t="s">
        <v>99</v>
      </c>
      <c r="G166" s="46" t="s">
        <v>92</v>
      </c>
      <c r="H166" s="64" t="s">
        <v>7</v>
      </c>
      <c r="I166" s="9"/>
      <c r="J166" s="45">
        <v>1000</v>
      </c>
      <c r="L166" s="3" t="s">
        <v>22</v>
      </c>
      <c r="M166" s="51">
        <v>0</v>
      </c>
      <c r="N166" s="51">
        <v>3.3E-3</v>
      </c>
      <c r="O166" s="51">
        <v>3.6600000000000001E-2</v>
      </c>
      <c r="P166" s="51">
        <v>0</v>
      </c>
      <c r="Q166" s="49">
        <v>0</v>
      </c>
      <c r="T166" s="9"/>
      <c r="U166" s="9"/>
      <c r="V166" s="9"/>
      <c r="W166" s="9"/>
    </row>
    <row r="167" spans="1:23">
      <c r="A167" s="6">
        <v>2026</v>
      </c>
      <c r="B167" s="6">
        <v>14</v>
      </c>
      <c r="C167" s="65" t="s">
        <v>167</v>
      </c>
      <c r="D167" s="133" t="s">
        <v>200</v>
      </c>
      <c r="E167" s="64" t="s">
        <v>13</v>
      </c>
      <c r="F167" s="47" t="s">
        <v>99</v>
      </c>
      <c r="G167" s="46" t="s">
        <v>92</v>
      </c>
      <c r="H167" s="64" t="s">
        <v>7</v>
      </c>
      <c r="I167" s="9"/>
      <c r="J167" s="143">
        <v>1000</v>
      </c>
      <c r="L167" s="3" t="s">
        <v>22</v>
      </c>
      <c r="M167" s="51">
        <v>0</v>
      </c>
      <c r="N167" s="51">
        <v>6.6E-3</v>
      </c>
      <c r="O167" s="51">
        <v>2.6599999999999999E-2</v>
      </c>
      <c r="P167" s="51">
        <v>0</v>
      </c>
      <c r="Q167" s="49">
        <v>0</v>
      </c>
      <c r="T167" s="9"/>
      <c r="U167" s="9"/>
      <c r="V167" s="9"/>
      <c r="W167" s="9"/>
    </row>
    <row r="168" spans="1:23">
      <c r="A168" s="6">
        <v>2026</v>
      </c>
      <c r="B168" s="6">
        <v>14</v>
      </c>
      <c r="C168" s="65" t="s">
        <v>167</v>
      </c>
      <c r="D168" s="133" t="s">
        <v>200</v>
      </c>
      <c r="E168" s="64" t="s">
        <v>14</v>
      </c>
      <c r="F168" s="47" t="s">
        <v>99</v>
      </c>
      <c r="G168" s="46" t="s">
        <v>92</v>
      </c>
      <c r="H168" s="64" t="s">
        <v>7</v>
      </c>
      <c r="I168" s="9"/>
      <c r="J168" s="45">
        <v>1000</v>
      </c>
      <c r="L168" s="3" t="s">
        <v>22</v>
      </c>
      <c r="M168" s="51">
        <v>0</v>
      </c>
      <c r="N168" s="51">
        <v>1.3299999999999999E-2</v>
      </c>
      <c r="O168" s="51">
        <v>5.6599999999999998E-2</v>
      </c>
      <c r="P168" s="51">
        <v>0</v>
      </c>
      <c r="Q168" s="49">
        <v>0</v>
      </c>
      <c r="T168" s="9"/>
      <c r="U168" s="9"/>
      <c r="V168" s="9"/>
      <c r="W168" s="9"/>
    </row>
    <row r="169" spans="1:23">
      <c r="A169" s="6">
        <v>2026</v>
      </c>
      <c r="B169" s="6">
        <v>14</v>
      </c>
      <c r="C169" s="65" t="s">
        <v>167</v>
      </c>
      <c r="D169" s="133" t="s">
        <v>200</v>
      </c>
      <c r="E169" s="64" t="s">
        <v>40</v>
      </c>
      <c r="F169" s="47" t="s">
        <v>99</v>
      </c>
      <c r="G169" s="46" t="s">
        <v>92</v>
      </c>
      <c r="H169" s="64" t="s">
        <v>7</v>
      </c>
      <c r="I169" s="9"/>
      <c r="J169" s="45">
        <v>1000</v>
      </c>
      <c r="L169" s="3" t="s">
        <v>22</v>
      </c>
      <c r="M169" s="51">
        <v>1E-3</v>
      </c>
      <c r="N169" s="51">
        <v>0.02</v>
      </c>
      <c r="O169" s="51">
        <v>0.06</v>
      </c>
      <c r="P169" s="51">
        <v>0</v>
      </c>
      <c r="Q169" s="49">
        <v>0</v>
      </c>
      <c r="T169" s="9"/>
      <c r="U169" s="9"/>
      <c r="V169" s="9"/>
      <c r="W169" s="9"/>
    </row>
    <row r="170" spans="1:23">
      <c r="I170" s="13"/>
    </row>
    <row r="171" spans="1:23">
      <c r="I171" s="13"/>
    </row>
    <row r="172" spans="1:23">
      <c r="I172" s="13"/>
    </row>
    <row r="173" spans="1:23">
      <c r="I173" s="13"/>
    </row>
    <row r="174" spans="1:23">
      <c r="I174" s="13"/>
    </row>
    <row r="175" spans="1:23">
      <c r="I175" s="13"/>
    </row>
    <row r="176" spans="1:23">
      <c r="I176" s="13"/>
    </row>
    <row r="177" spans="9:25">
      <c r="I177" s="13"/>
    </row>
    <row r="178" spans="9:25">
      <c r="I178" s="13"/>
    </row>
    <row r="179" spans="9:25">
      <c r="I179" s="13"/>
    </row>
    <row r="180" spans="9:25">
      <c r="I180" s="13"/>
    </row>
    <row r="181" spans="9:25">
      <c r="I181" s="13"/>
    </row>
    <row r="182" spans="9:25">
      <c r="I182" s="13"/>
    </row>
    <row r="183" spans="9:25">
      <c r="I183" s="13"/>
    </row>
    <row r="184" spans="9:25">
      <c r="I184" s="13"/>
    </row>
    <row r="185" spans="9:25">
      <c r="I185" s="13"/>
      <c r="Y185">
        <v>1000</v>
      </c>
    </row>
    <row r="186" spans="9:25">
      <c r="I186" s="13"/>
      <c r="Y186">
        <v>1000</v>
      </c>
    </row>
    <row r="187" spans="9:25">
      <c r="I187" s="13"/>
      <c r="Y187">
        <v>1000</v>
      </c>
    </row>
    <row r="188" spans="9:25">
      <c r="I188" s="13"/>
      <c r="Y188">
        <v>1000</v>
      </c>
    </row>
    <row r="189" spans="9:25">
      <c r="I189" s="13"/>
    </row>
    <row r="190" spans="9:25">
      <c r="I190" s="13"/>
    </row>
    <row r="191" spans="9:25">
      <c r="I191" s="13"/>
    </row>
    <row r="192" spans="9:25">
      <c r="I192" s="13"/>
    </row>
    <row r="193" spans="9:25">
      <c r="I193" s="13"/>
      <c r="Y193">
        <v>1000</v>
      </c>
    </row>
    <row r="194" spans="9:25">
      <c r="I194" s="13"/>
      <c r="Y194">
        <v>1000</v>
      </c>
    </row>
    <row r="195" spans="9:25">
      <c r="I195" s="13"/>
    </row>
    <row r="196" spans="9:25">
      <c r="I196" s="13"/>
    </row>
    <row r="197" spans="9:25">
      <c r="I197" s="13"/>
    </row>
    <row r="198" spans="9:25">
      <c r="I198" s="13"/>
    </row>
    <row r="199" spans="9:25">
      <c r="I199" s="13"/>
      <c r="Y199">
        <v>1000</v>
      </c>
    </row>
    <row r="200" spans="9:25">
      <c r="I200" s="13"/>
      <c r="Y200">
        <v>1000</v>
      </c>
    </row>
    <row r="201" spans="9:25">
      <c r="I201" s="13"/>
    </row>
    <row r="202" spans="9:25">
      <c r="I202" s="13"/>
    </row>
    <row r="203" spans="9:25">
      <c r="I203" s="13"/>
    </row>
    <row r="204" spans="9:25">
      <c r="I204" s="13"/>
    </row>
    <row r="205" spans="9:25">
      <c r="I205" s="13"/>
    </row>
    <row r="206" spans="9:25">
      <c r="I206" s="13"/>
    </row>
    <row r="207" spans="9:25">
      <c r="I207" s="13"/>
    </row>
    <row r="208" spans="9:25">
      <c r="I208" s="13"/>
    </row>
    <row r="209" spans="9:25">
      <c r="I209" s="13"/>
    </row>
    <row r="210" spans="9:25">
      <c r="I210" s="13"/>
    </row>
    <row r="211" spans="9:25">
      <c r="I211" s="13"/>
    </row>
    <row r="212" spans="9:25">
      <c r="I212" s="13"/>
    </row>
    <row r="213" spans="9:25">
      <c r="I213" s="13"/>
      <c r="Y213">
        <v>1000</v>
      </c>
    </row>
    <row r="214" spans="9:25">
      <c r="I214" s="13"/>
    </row>
    <row r="215" spans="9:25">
      <c r="Q215" s="24"/>
    </row>
    <row r="216" spans="9:25">
      <c r="Q216" s="24"/>
    </row>
    <row r="217" spans="9:25">
      <c r="Q217" s="24"/>
    </row>
    <row r="218" spans="9:25">
      <c r="Q218" s="24"/>
    </row>
    <row r="219" spans="9:25">
      <c r="Q219" s="24"/>
      <c r="Y219">
        <v>1000</v>
      </c>
    </row>
    <row r="220" spans="9:25">
      <c r="Q220" s="24"/>
      <c r="Y220">
        <v>1000</v>
      </c>
    </row>
    <row r="221" spans="9:25">
      <c r="Q221" s="24"/>
      <c r="Y221">
        <v>1000</v>
      </c>
    </row>
    <row r="222" spans="9:25">
      <c r="Q222" s="24"/>
    </row>
    <row r="223" spans="9:25">
      <c r="Q223" s="24"/>
    </row>
    <row r="224" spans="9:25">
      <c r="Q224" s="24"/>
    </row>
    <row r="225" spans="17:25">
      <c r="Q225" s="24"/>
    </row>
    <row r="226" spans="17:25">
      <c r="Q226" s="24"/>
    </row>
    <row r="227" spans="17:25">
      <c r="Q227" s="24"/>
    </row>
    <row r="228" spans="17:25">
      <c r="Q228" s="24"/>
    </row>
    <row r="229" spans="17:25">
      <c r="Q229" s="24"/>
    </row>
    <row r="230" spans="17:25">
      <c r="Q230" s="24"/>
    </row>
    <row r="231" spans="17:25">
      <c r="Q231" s="24"/>
    </row>
    <row r="232" spans="17:25">
      <c r="Q232" s="24"/>
    </row>
    <row r="233" spans="17:25">
      <c r="Q233" s="24"/>
      <c r="Y233">
        <v>1000</v>
      </c>
    </row>
    <row r="234" spans="17:25">
      <c r="Q234" s="24"/>
    </row>
    <row r="235" spans="17:25">
      <c r="Q235" s="24"/>
    </row>
    <row r="236" spans="17:25">
      <c r="Q236" s="24"/>
      <c r="Y236">
        <v>1000</v>
      </c>
    </row>
    <row r="237" spans="17:25">
      <c r="Q237" s="24"/>
    </row>
    <row r="238" spans="17:25">
      <c r="Q238" s="24"/>
    </row>
    <row r="239" spans="17:25">
      <c r="Q239" s="24"/>
      <c r="Y239">
        <v>1000</v>
      </c>
    </row>
    <row r="240" spans="17:25">
      <c r="Q240" s="24"/>
      <c r="Y240">
        <v>1000</v>
      </c>
    </row>
    <row r="241" spans="17:17">
      <c r="Q241" s="24"/>
    </row>
    <row r="242" spans="17:17">
      <c r="Q242" s="24"/>
    </row>
    <row r="243" spans="17:17">
      <c r="Q243" s="24"/>
    </row>
    <row r="244" spans="17:17">
      <c r="Q244" s="24"/>
    </row>
    <row r="245" spans="17:17">
      <c r="Q245" s="24"/>
    </row>
    <row r="246" spans="17:17">
      <c r="Q246" s="24"/>
    </row>
    <row r="247" spans="17:17">
      <c r="Q247" s="24"/>
    </row>
    <row r="248" spans="17:17">
      <c r="Q248" s="24"/>
    </row>
    <row r="249" spans="17:17">
      <c r="Q249" s="24"/>
    </row>
    <row r="250" spans="17:17">
      <c r="Q250" s="24"/>
    </row>
    <row r="251" spans="17:17">
      <c r="Q251" s="24"/>
    </row>
  </sheetData>
  <phoneticPr fontId="10" type="noConversion"/>
  <conditionalFormatting sqref="R170:R960">
    <cfRule type="cellIs" dxfId="13" priority="3" operator="equal">
      <formula>"ESAURITO"</formula>
    </cfRule>
    <cfRule type="cellIs" dxfId="12" priority="4" operator="equal">
      <formula>"DISPONIBILE"</formula>
    </cfRule>
  </conditionalFormatting>
  <conditionalFormatting sqref="S2:S169">
    <cfRule type="cellIs" dxfId="11" priority="1" operator="equal">
      <formula>"ASSEGNATO"</formula>
    </cfRule>
    <cfRule type="cellIs" dxfId="10" priority="2" operator="equal">
      <formula>"DISPONIBILE"</formula>
    </cfRule>
  </conditionalFormatting>
  <dataValidations count="1">
    <dataValidation type="list" allowBlank="1" showInputMessage="1" showErrorMessage="1" sqref="S2:S9 S11:S1047980" xr:uid="{8D575651-AE3A-416B-A15D-DD1B8EBAA2B8}">
      <formula1>ContrattiAperti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C0D7753-4BDE-48B8-B049-2A9661F239E2}">
          <x14:formula1>
            <xm:f>GUIDA_USO!$N$99:$N$100</xm:f>
          </x14:formula1>
          <xm:sqref>I10</xm:sqref>
        </x14:dataValidation>
        <x14:dataValidation type="list" allowBlank="1" showInputMessage="1" showErrorMessage="1" xr:uid="{E2D3055A-6B7A-4BD0-A8CB-3525BF6651EC}">
          <x14:formula1>
            <xm:f>GUIDA_USO!$L$99:$L$101</xm:f>
          </x14:formula1>
          <xm:sqref>G10</xm:sqref>
        </x14:dataValidation>
        <x14:dataValidation type="list" allowBlank="1" showInputMessage="1" showErrorMessage="1" xr:uid="{92E3473F-C27A-4051-946B-D954E5E8EA6E}">
          <x14:formula1>
            <xm:f>GUIDA_USO!$K$99:$K$102</xm:f>
          </x14:formula1>
          <xm:sqref>F10</xm:sqref>
        </x14:dataValidation>
        <x14:dataValidation type="list" allowBlank="1" showInputMessage="1" showErrorMessage="1" xr:uid="{3F9116A6-C911-4716-8924-B4B8FF5D8CA6}">
          <x14:formula1>
            <xm:f>GUIDA_USO!$M$99:$M$108</xm:f>
          </x14:formula1>
          <xm:sqref>H10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2">
    <tabColor rgb="FF002060"/>
  </sheetPr>
  <dimension ref="A1:W994"/>
  <sheetViews>
    <sheetView zoomScale="120" zoomScaleNormal="120" workbookViewId="0">
      <pane ySplit="1" topLeftCell="A12" activePane="bottomLeft" state="frozen"/>
      <selection pane="bottomLeft" sqref="A1:W169"/>
    </sheetView>
  </sheetViews>
  <sheetFormatPr baseColWidth="10" defaultColWidth="8.83203125" defaultRowHeight="15"/>
  <cols>
    <col min="1" max="1" width="7.83203125" style="9" bestFit="1" customWidth="1"/>
    <col min="2" max="2" width="5.5" style="9" bestFit="1" customWidth="1"/>
    <col min="3" max="3" width="12.6640625" style="9" bestFit="1" customWidth="1"/>
    <col min="4" max="4" width="13.83203125" style="9" bestFit="1" customWidth="1"/>
    <col min="5" max="5" width="13.1640625" style="9" bestFit="1" customWidth="1"/>
    <col min="6" max="6" width="16.1640625" style="15" bestFit="1" customWidth="1"/>
    <col min="7" max="7" width="12.5" style="9" customWidth="1"/>
    <col min="8" max="8" width="13.5" style="15" bestFit="1" customWidth="1"/>
    <col min="9" max="9" width="12.5" style="15" customWidth="1"/>
    <col min="10" max="10" width="7.1640625" style="29" bestFit="1" customWidth="1"/>
    <col min="11" max="11" width="5.83203125" style="29" bestFit="1" customWidth="1"/>
    <col min="12" max="12" width="7.83203125" style="30" bestFit="1" customWidth="1"/>
    <col min="13" max="13" width="10.5" style="9" bestFit="1" customWidth="1"/>
    <col min="14" max="14" width="8.5" style="9" bestFit="1" customWidth="1"/>
    <col min="15" max="18" width="7.5" style="9" bestFit="1" customWidth="1"/>
    <col min="19" max="19" width="12.33203125" style="9" bestFit="1" customWidth="1"/>
    <col min="20" max="20" width="9.83203125" style="10" bestFit="1" customWidth="1"/>
    <col min="21" max="21" width="10.83203125" style="9" bestFit="1" customWidth="1"/>
    <col min="22" max="22" width="13.1640625" style="9" hidden="1" customWidth="1"/>
    <col min="23" max="23" width="12.83203125" style="9" hidden="1" customWidth="1"/>
  </cols>
  <sheetData>
    <row r="1" s="103" customFormat="1"/>
    <row r="170" spans="6:23">
      <c r="F170" s="9"/>
      <c r="G170" s="15"/>
      <c r="I170" s="13"/>
      <c r="N170" s="23"/>
      <c r="O170" s="23"/>
      <c r="P170" s="23"/>
      <c r="Q170" s="23"/>
      <c r="R170" s="23"/>
      <c r="V170" s="67"/>
      <c r="W170" s="10"/>
    </row>
    <row r="171" spans="6:23">
      <c r="F171" s="9"/>
      <c r="G171" s="15"/>
      <c r="I171" s="13"/>
      <c r="N171" s="23"/>
      <c r="O171" s="23"/>
      <c r="P171" s="23"/>
      <c r="Q171" s="23"/>
      <c r="R171" s="23"/>
      <c r="V171" s="67"/>
      <c r="W171" s="10"/>
    </row>
    <row r="172" spans="6:23">
      <c r="F172" s="9"/>
      <c r="G172" s="15"/>
      <c r="I172" s="13"/>
      <c r="N172" s="23"/>
      <c r="O172" s="23"/>
      <c r="P172" s="23"/>
      <c r="Q172" s="23"/>
      <c r="R172" s="23"/>
      <c r="V172" s="67"/>
      <c r="W172" s="10"/>
    </row>
    <row r="173" spans="6:23">
      <c r="F173" s="9"/>
      <c r="G173" s="15"/>
      <c r="I173" s="13"/>
      <c r="N173" s="23"/>
      <c r="O173" s="23"/>
      <c r="P173" s="23"/>
      <c r="Q173" s="23"/>
      <c r="R173" s="23"/>
      <c r="V173" s="67"/>
      <c r="W173" s="10"/>
    </row>
    <row r="174" spans="6:23">
      <c r="F174" s="9"/>
      <c r="G174" s="15"/>
      <c r="I174" s="13"/>
      <c r="N174" s="23"/>
      <c r="O174" s="23"/>
      <c r="P174" s="23"/>
      <c r="Q174" s="23"/>
      <c r="R174" s="23"/>
      <c r="V174" s="67"/>
      <c r="W174" s="10"/>
    </row>
    <row r="175" spans="6:23">
      <c r="F175" s="9"/>
      <c r="G175" s="15"/>
      <c r="I175" s="13"/>
      <c r="N175" s="23"/>
      <c r="O175" s="23"/>
      <c r="P175" s="23"/>
      <c r="Q175" s="23"/>
      <c r="R175" s="23"/>
      <c r="V175" s="67"/>
      <c r="W175" s="10"/>
    </row>
    <row r="176" spans="6:23">
      <c r="F176" s="9"/>
      <c r="G176" s="15"/>
      <c r="I176" s="13"/>
      <c r="N176" s="23"/>
      <c r="O176" s="23"/>
      <c r="P176" s="23"/>
      <c r="Q176" s="23"/>
      <c r="R176" s="23"/>
      <c r="V176" s="67"/>
      <c r="W176" s="10"/>
    </row>
    <row r="177" spans="6:23">
      <c r="F177" s="9"/>
      <c r="G177" s="15"/>
      <c r="I177" s="13"/>
      <c r="N177" s="23"/>
      <c r="O177" s="23"/>
      <c r="P177" s="23"/>
      <c r="Q177" s="23"/>
      <c r="R177" s="23"/>
      <c r="V177" s="67"/>
      <c r="W177" s="10"/>
    </row>
    <row r="178" spans="6:23">
      <c r="F178" s="9"/>
      <c r="G178" s="15"/>
      <c r="I178" s="13"/>
      <c r="N178" s="23"/>
      <c r="O178" s="23"/>
      <c r="P178" s="23"/>
      <c r="Q178" s="23"/>
      <c r="R178" s="23"/>
      <c r="V178" s="67"/>
      <c r="W178" s="10"/>
    </row>
    <row r="179" spans="6:23">
      <c r="F179" s="9"/>
      <c r="G179" s="15"/>
      <c r="I179" s="13"/>
      <c r="N179" s="23"/>
      <c r="O179" s="23"/>
      <c r="P179" s="23"/>
      <c r="Q179" s="23"/>
      <c r="R179" s="23"/>
      <c r="V179" s="67"/>
      <c r="W179" s="10"/>
    </row>
    <row r="180" spans="6:23">
      <c r="F180" s="9"/>
      <c r="G180" s="15"/>
      <c r="I180" s="13"/>
      <c r="N180" s="23"/>
      <c r="O180" s="23"/>
      <c r="P180" s="23"/>
      <c r="Q180" s="23"/>
      <c r="R180" s="23"/>
      <c r="V180" s="67"/>
      <c r="W180" s="10"/>
    </row>
    <row r="181" spans="6:23">
      <c r="F181" s="9"/>
      <c r="G181" s="15"/>
      <c r="I181" s="13"/>
      <c r="N181" s="23"/>
      <c r="O181" s="23"/>
      <c r="P181" s="23"/>
      <c r="Q181" s="23"/>
      <c r="R181" s="23"/>
      <c r="V181" s="67"/>
      <c r="W181" s="10"/>
    </row>
    <row r="182" spans="6:23">
      <c r="F182" s="9"/>
      <c r="G182" s="15"/>
      <c r="I182" s="13"/>
      <c r="N182" s="23"/>
      <c r="O182" s="23"/>
      <c r="P182" s="23"/>
      <c r="Q182" s="23"/>
      <c r="R182" s="23"/>
      <c r="V182" s="67"/>
      <c r="W182" s="10"/>
    </row>
    <row r="183" spans="6:23">
      <c r="F183" s="9"/>
      <c r="G183" s="15"/>
      <c r="I183" s="13"/>
      <c r="N183" s="23"/>
      <c r="O183" s="23"/>
      <c r="P183" s="23"/>
      <c r="Q183" s="23"/>
      <c r="R183" s="23"/>
      <c r="V183" s="67"/>
      <c r="W183" s="10"/>
    </row>
    <row r="184" spans="6:23">
      <c r="F184" s="9"/>
      <c r="G184" s="15"/>
      <c r="I184" s="13"/>
      <c r="N184" s="23"/>
      <c r="O184" s="23"/>
      <c r="P184" s="23"/>
      <c r="Q184" s="23"/>
      <c r="R184" s="23"/>
      <c r="V184" s="67"/>
      <c r="W184" s="10"/>
    </row>
    <row r="185" spans="6:23">
      <c r="F185" s="9"/>
      <c r="G185" s="15"/>
      <c r="I185" s="13"/>
      <c r="N185" s="23"/>
      <c r="O185" s="23"/>
      <c r="P185" s="23"/>
      <c r="Q185" s="23"/>
      <c r="R185" s="23"/>
      <c r="V185" s="67"/>
      <c r="W185" s="10"/>
    </row>
    <row r="186" spans="6:23">
      <c r="F186" s="9"/>
      <c r="G186" s="15"/>
      <c r="I186" s="13"/>
      <c r="N186" s="23"/>
      <c r="O186" s="23"/>
      <c r="P186" s="23"/>
      <c r="Q186" s="23"/>
      <c r="R186" s="23"/>
      <c r="V186" s="67"/>
      <c r="W186" s="10"/>
    </row>
    <row r="187" spans="6:23">
      <c r="F187" s="9"/>
      <c r="G187" s="15"/>
      <c r="I187" s="13"/>
      <c r="N187" s="23"/>
      <c r="O187" s="23"/>
      <c r="P187" s="23"/>
      <c r="Q187" s="23"/>
      <c r="R187" s="23"/>
      <c r="V187" s="67"/>
      <c r="W187" s="10"/>
    </row>
    <row r="188" spans="6:23">
      <c r="F188" s="9"/>
      <c r="G188" s="15"/>
      <c r="I188" s="13"/>
      <c r="N188" s="23"/>
      <c r="O188" s="23"/>
      <c r="P188" s="23"/>
      <c r="Q188" s="23"/>
      <c r="R188" s="23"/>
      <c r="V188" s="67"/>
      <c r="W188" s="10"/>
    </row>
    <row r="189" spans="6:23">
      <c r="F189" s="9"/>
      <c r="G189" s="15"/>
      <c r="I189" s="13"/>
      <c r="N189" s="23"/>
      <c r="O189" s="23"/>
      <c r="P189" s="23"/>
      <c r="Q189" s="23"/>
      <c r="R189" s="23"/>
      <c r="V189" s="67"/>
      <c r="W189" s="10"/>
    </row>
    <row r="190" spans="6:23">
      <c r="F190" s="9"/>
      <c r="G190" s="15"/>
      <c r="I190" s="13"/>
      <c r="N190" s="23"/>
      <c r="O190" s="23"/>
      <c r="P190" s="23"/>
      <c r="Q190" s="23"/>
      <c r="R190" s="23"/>
      <c r="V190" s="67"/>
      <c r="W190" s="10"/>
    </row>
    <row r="191" spans="6:23">
      <c r="F191" s="9"/>
      <c r="G191" s="15"/>
      <c r="I191" s="13"/>
      <c r="N191" s="23"/>
      <c r="O191" s="23"/>
      <c r="P191" s="23"/>
      <c r="Q191" s="23"/>
      <c r="R191" s="23"/>
      <c r="V191" s="67"/>
      <c r="W191" s="10"/>
    </row>
    <row r="192" spans="6:23">
      <c r="F192" s="9"/>
      <c r="G192" s="15"/>
      <c r="I192" s="13"/>
      <c r="N192" s="23"/>
      <c r="O192" s="23"/>
      <c r="P192" s="23"/>
      <c r="Q192" s="23"/>
      <c r="R192" s="23"/>
      <c r="V192" s="67"/>
      <c r="W192" s="10"/>
    </row>
    <row r="193" spans="6:23">
      <c r="F193" s="9"/>
      <c r="G193" s="15"/>
      <c r="I193" s="13"/>
      <c r="N193" s="23"/>
      <c r="O193" s="23"/>
      <c r="P193" s="23"/>
      <c r="Q193" s="23"/>
      <c r="R193" s="23"/>
      <c r="V193" s="67"/>
      <c r="W193" s="10"/>
    </row>
    <row r="194" spans="6:23">
      <c r="F194" s="9"/>
      <c r="G194" s="15"/>
      <c r="I194" s="13"/>
      <c r="N194" s="23"/>
      <c r="O194" s="23"/>
      <c r="P194" s="23"/>
      <c r="Q194" s="23"/>
      <c r="R194" s="23"/>
      <c r="V194" s="67"/>
      <c r="W194" s="10"/>
    </row>
    <row r="195" spans="6:23">
      <c r="F195" s="9"/>
      <c r="G195" s="15"/>
      <c r="I195" s="13"/>
      <c r="N195" s="23"/>
      <c r="O195" s="23"/>
      <c r="P195" s="23"/>
      <c r="Q195" s="23"/>
      <c r="R195" s="23"/>
      <c r="V195" s="67"/>
      <c r="W195" s="10"/>
    </row>
    <row r="196" spans="6:23">
      <c r="F196" s="9"/>
      <c r="G196" s="15"/>
      <c r="I196" s="13"/>
      <c r="N196" s="23"/>
      <c r="O196" s="23"/>
      <c r="P196" s="23"/>
      <c r="Q196" s="23"/>
      <c r="R196" s="23"/>
      <c r="V196" s="67"/>
      <c r="W196" s="10"/>
    </row>
    <row r="197" spans="6:23">
      <c r="F197" s="9"/>
      <c r="G197" s="15"/>
      <c r="I197" s="13"/>
      <c r="N197" s="23"/>
      <c r="O197" s="23"/>
      <c r="P197" s="23"/>
      <c r="Q197" s="23"/>
      <c r="R197" s="23"/>
      <c r="V197" s="67"/>
      <c r="W197" s="10"/>
    </row>
    <row r="198" spans="6:23">
      <c r="F198" s="9"/>
      <c r="G198" s="15"/>
      <c r="I198" s="13"/>
      <c r="N198" s="23"/>
      <c r="O198" s="23"/>
      <c r="P198" s="23"/>
      <c r="Q198" s="23"/>
      <c r="R198" s="23"/>
      <c r="V198" s="67"/>
      <c r="W198" s="10"/>
    </row>
    <row r="199" spans="6:23">
      <c r="F199" s="9"/>
      <c r="G199" s="15"/>
      <c r="I199" s="13"/>
      <c r="N199" s="23"/>
      <c r="O199" s="23"/>
      <c r="P199" s="23"/>
      <c r="Q199" s="23"/>
      <c r="R199" s="23"/>
      <c r="V199" s="67"/>
      <c r="W199" s="10"/>
    </row>
    <row r="200" spans="6:23">
      <c r="F200" s="9"/>
      <c r="G200" s="15"/>
      <c r="I200" s="13"/>
      <c r="N200" s="23"/>
      <c r="O200" s="23"/>
      <c r="P200" s="23"/>
      <c r="Q200" s="23"/>
      <c r="R200" s="23"/>
      <c r="V200" s="67"/>
      <c r="W200" s="10"/>
    </row>
    <row r="201" spans="6:23">
      <c r="F201" s="9"/>
      <c r="G201" s="15"/>
      <c r="I201" s="13"/>
      <c r="N201" s="23"/>
      <c r="O201" s="23"/>
      <c r="P201" s="23"/>
      <c r="Q201" s="23"/>
      <c r="R201" s="23"/>
      <c r="V201" s="67"/>
      <c r="W201" s="10"/>
    </row>
    <row r="202" spans="6:23">
      <c r="F202" s="9"/>
      <c r="G202" s="15"/>
      <c r="I202" s="13"/>
      <c r="N202" s="23"/>
      <c r="O202" s="23"/>
      <c r="P202" s="23"/>
      <c r="Q202" s="23"/>
      <c r="R202" s="23"/>
      <c r="V202" s="67"/>
      <c r="W202" s="10"/>
    </row>
    <row r="203" spans="6:23">
      <c r="F203" s="9"/>
      <c r="G203" s="15"/>
      <c r="I203" s="13"/>
      <c r="N203" s="23"/>
      <c r="O203" s="23"/>
      <c r="P203" s="23"/>
      <c r="Q203" s="23"/>
      <c r="R203" s="23"/>
      <c r="V203" s="67"/>
      <c r="W203" s="10"/>
    </row>
    <row r="204" spans="6:23">
      <c r="F204" s="9"/>
      <c r="G204" s="15"/>
      <c r="I204" s="13"/>
      <c r="N204" s="23"/>
      <c r="O204" s="23"/>
      <c r="P204" s="23"/>
      <c r="Q204" s="23"/>
      <c r="R204" s="23"/>
      <c r="V204" s="67"/>
      <c r="W204" s="10"/>
    </row>
    <row r="205" spans="6:23">
      <c r="F205" s="9"/>
      <c r="G205" s="15"/>
      <c r="I205" s="13"/>
      <c r="N205" s="23"/>
      <c r="O205" s="23"/>
      <c r="P205" s="23"/>
      <c r="Q205" s="23"/>
      <c r="R205" s="23"/>
      <c r="V205" s="67"/>
      <c r="W205" s="10"/>
    </row>
    <row r="206" spans="6:23">
      <c r="F206" s="9"/>
      <c r="G206" s="15"/>
      <c r="I206" s="13"/>
      <c r="N206" s="23"/>
      <c r="O206" s="23"/>
      <c r="P206" s="23"/>
      <c r="Q206" s="23"/>
      <c r="R206" s="23"/>
      <c r="V206" s="67"/>
      <c r="W206" s="10"/>
    </row>
    <row r="207" spans="6:23">
      <c r="F207" s="9"/>
      <c r="G207" s="15"/>
      <c r="I207" s="13"/>
      <c r="N207" s="23"/>
      <c r="O207" s="23"/>
      <c r="P207" s="23"/>
      <c r="Q207" s="23"/>
      <c r="R207" s="23"/>
      <c r="V207" s="67"/>
      <c r="W207" s="10"/>
    </row>
    <row r="208" spans="6:23">
      <c r="F208" s="9"/>
      <c r="G208" s="15"/>
      <c r="I208" s="13"/>
      <c r="N208" s="23"/>
      <c r="O208" s="23"/>
      <c r="P208" s="23"/>
      <c r="Q208" s="23"/>
      <c r="R208" s="23"/>
      <c r="V208" s="67"/>
      <c r="W208" s="10"/>
    </row>
    <row r="209" spans="6:23">
      <c r="F209" s="9"/>
      <c r="G209" s="15"/>
      <c r="I209" s="13"/>
      <c r="N209" s="23"/>
      <c r="O209" s="23"/>
      <c r="P209" s="23"/>
      <c r="Q209" s="23"/>
      <c r="R209" s="23"/>
      <c r="V209" s="67"/>
      <c r="W209" s="10"/>
    </row>
    <row r="210" spans="6:23">
      <c r="F210" s="9"/>
      <c r="G210" s="15"/>
      <c r="I210" s="13"/>
      <c r="N210" s="23"/>
      <c r="O210" s="23"/>
      <c r="P210" s="23"/>
      <c r="Q210" s="23"/>
      <c r="R210" s="23"/>
      <c r="V210" s="67"/>
      <c r="W210" s="10"/>
    </row>
    <row r="211" spans="6:23">
      <c r="F211" s="9"/>
      <c r="G211" s="15"/>
      <c r="I211" s="13"/>
      <c r="N211" s="23"/>
      <c r="O211" s="23"/>
      <c r="P211" s="23"/>
      <c r="Q211" s="23"/>
      <c r="R211" s="23"/>
      <c r="V211" s="67"/>
      <c r="W211" s="10"/>
    </row>
    <row r="212" spans="6:23">
      <c r="F212" s="9"/>
      <c r="G212" s="15"/>
      <c r="I212" s="13"/>
      <c r="N212" s="23"/>
      <c r="O212" s="23"/>
      <c r="P212" s="23"/>
      <c r="Q212" s="23"/>
      <c r="R212" s="23"/>
      <c r="V212" s="67"/>
      <c r="W212" s="10"/>
    </row>
    <row r="213" spans="6:23">
      <c r="F213" s="9"/>
      <c r="G213" s="15"/>
      <c r="I213" s="13"/>
      <c r="N213" s="23"/>
      <c r="O213" s="23"/>
      <c r="P213" s="23"/>
      <c r="Q213" s="23"/>
      <c r="R213" s="23"/>
      <c r="V213" s="67"/>
      <c r="W213" s="10"/>
    </row>
    <row r="214" spans="6:23">
      <c r="F214" s="9"/>
      <c r="G214" s="15"/>
      <c r="I214" s="13"/>
      <c r="N214" s="23"/>
      <c r="O214" s="23"/>
      <c r="P214" s="23"/>
      <c r="Q214" s="23"/>
      <c r="R214" s="23"/>
      <c r="V214" s="67"/>
      <c r="W214" s="10"/>
    </row>
    <row r="215" spans="6:23">
      <c r="F215" s="9"/>
      <c r="G215" s="15"/>
      <c r="I215" s="13"/>
      <c r="N215" s="23"/>
      <c r="O215" s="23"/>
      <c r="P215" s="23"/>
      <c r="Q215" s="23"/>
      <c r="R215" s="23"/>
      <c r="V215" s="67"/>
      <c r="W215" s="10"/>
    </row>
    <row r="216" spans="6:23">
      <c r="F216" s="9"/>
      <c r="G216" s="15"/>
      <c r="I216" s="13"/>
      <c r="N216" s="23"/>
      <c r="O216" s="23"/>
      <c r="P216" s="23"/>
      <c r="Q216" s="23"/>
      <c r="R216" s="23"/>
      <c r="V216" s="67"/>
      <c r="W216" s="10"/>
    </row>
    <row r="217" spans="6:23">
      <c r="F217" s="9"/>
      <c r="G217" s="15"/>
      <c r="I217" s="13"/>
      <c r="N217" s="23"/>
      <c r="O217" s="23"/>
      <c r="P217" s="23"/>
      <c r="Q217" s="23"/>
      <c r="R217" s="23"/>
      <c r="V217" s="67"/>
      <c r="W217" s="10"/>
    </row>
    <row r="218" spans="6:23">
      <c r="F218" s="9"/>
      <c r="G218" s="15"/>
      <c r="I218" s="13"/>
      <c r="N218" s="23"/>
      <c r="O218" s="23"/>
      <c r="P218" s="23"/>
      <c r="Q218" s="23"/>
      <c r="R218" s="23"/>
      <c r="V218" s="67"/>
      <c r="W218" s="10"/>
    </row>
    <row r="219" spans="6:23">
      <c r="F219" s="9"/>
      <c r="G219" s="15"/>
      <c r="I219" s="13"/>
      <c r="N219" s="23"/>
      <c r="O219" s="23"/>
      <c r="P219" s="23"/>
      <c r="Q219" s="23"/>
      <c r="R219" s="23"/>
      <c r="V219" s="67"/>
      <c r="W219" s="10"/>
    </row>
    <row r="220" spans="6:23">
      <c r="F220" s="9"/>
      <c r="G220" s="15"/>
      <c r="I220" s="13"/>
      <c r="N220" s="23"/>
      <c r="O220" s="23"/>
      <c r="P220" s="23"/>
      <c r="Q220" s="23"/>
      <c r="R220" s="23"/>
      <c r="V220" s="67"/>
      <c r="W220" s="10"/>
    </row>
    <row r="221" spans="6:23">
      <c r="F221" s="9"/>
      <c r="G221" s="15"/>
      <c r="I221" s="13"/>
      <c r="N221" s="23"/>
      <c r="O221" s="23"/>
      <c r="P221" s="23"/>
      <c r="Q221" s="23"/>
      <c r="R221" s="23"/>
      <c r="V221" s="67"/>
      <c r="W221" s="10"/>
    </row>
    <row r="222" spans="6:23">
      <c r="F222" s="9"/>
      <c r="G222" s="15"/>
      <c r="I222" s="13"/>
      <c r="N222" s="23"/>
      <c r="O222" s="23"/>
      <c r="P222" s="23"/>
      <c r="Q222" s="23"/>
      <c r="R222" s="23"/>
      <c r="V222" s="67"/>
      <c r="W222" s="10"/>
    </row>
    <row r="223" spans="6:23">
      <c r="F223" s="9"/>
      <c r="G223" s="15"/>
      <c r="N223" s="23"/>
      <c r="O223" s="23"/>
      <c r="P223" s="23"/>
      <c r="Q223" s="23"/>
      <c r="R223" s="23"/>
      <c r="V223" s="67"/>
      <c r="W223" s="10"/>
    </row>
    <row r="224" spans="6:23">
      <c r="F224" s="9"/>
      <c r="G224" s="15"/>
      <c r="N224" s="23"/>
      <c r="O224" s="23"/>
      <c r="P224" s="23"/>
      <c r="Q224" s="23"/>
      <c r="R224" s="23"/>
      <c r="V224" s="67"/>
      <c r="W224" s="10"/>
    </row>
    <row r="225" spans="6:23">
      <c r="F225" s="9"/>
      <c r="G225" s="15"/>
      <c r="N225" s="23"/>
      <c r="O225" s="23"/>
      <c r="P225" s="23"/>
      <c r="Q225" s="23"/>
      <c r="R225" s="23"/>
      <c r="V225" s="67"/>
      <c r="W225" s="10"/>
    </row>
    <row r="226" spans="6:23">
      <c r="F226" s="9"/>
      <c r="G226" s="15"/>
      <c r="N226" s="23"/>
      <c r="O226" s="23"/>
      <c r="P226" s="23"/>
      <c r="Q226" s="23"/>
      <c r="R226" s="23"/>
      <c r="V226" s="67"/>
      <c r="W226" s="10"/>
    </row>
    <row r="227" spans="6:23">
      <c r="F227" s="9"/>
      <c r="G227" s="15"/>
      <c r="N227" s="23"/>
      <c r="O227" s="23"/>
      <c r="P227" s="23"/>
      <c r="Q227" s="23"/>
      <c r="R227" s="23"/>
      <c r="V227" s="67"/>
      <c r="W227" s="10"/>
    </row>
    <row r="228" spans="6:23">
      <c r="F228" s="9"/>
      <c r="G228" s="15"/>
      <c r="N228" s="23"/>
      <c r="O228" s="23"/>
      <c r="P228" s="23"/>
      <c r="Q228" s="23"/>
      <c r="R228" s="23"/>
      <c r="V228" s="67"/>
      <c r="W228" s="10"/>
    </row>
    <row r="229" spans="6:23">
      <c r="F229" s="9"/>
      <c r="G229" s="15"/>
      <c r="N229" s="23"/>
      <c r="O229" s="23"/>
      <c r="P229" s="23"/>
      <c r="Q229" s="23"/>
      <c r="R229" s="23"/>
      <c r="V229" s="67"/>
      <c r="W229" s="10"/>
    </row>
    <row r="230" spans="6:23">
      <c r="F230" s="9"/>
      <c r="G230" s="15"/>
      <c r="N230" s="23"/>
      <c r="O230" s="23"/>
      <c r="P230" s="23"/>
      <c r="Q230" s="23"/>
      <c r="R230" s="23"/>
      <c r="V230" s="67"/>
      <c r="W230" s="10"/>
    </row>
    <row r="231" spans="6:23">
      <c r="F231" s="9"/>
      <c r="G231" s="15"/>
      <c r="N231" s="23"/>
      <c r="O231" s="23"/>
      <c r="P231" s="23"/>
      <c r="Q231" s="23"/>
      <c r="R231" s="23"/>
      <c r="V231" s="67"/>
      <c r="W231" s="10"/>
    </row>
    <row r="232" spans="6:23">
      <c r="F232" s="9"/>
      <c r="G232" s="15"/>
      <c r="N232" s="23"/>
      <c r="O232" s="23"/>
      <c r="P232" s="23"/>
      <c r="Q232" s="23"/>
      <c r="R232" s="23"/>
      <c r="V232" s="67"/>
      <c r="W232" s="10"/>
    </row>
    <row r="233" spans="6:23">
      <c r="F233" s="9"/>
      <c r="G233" s="15"/>
      <c r="N233" s="23"/>
      <c r="O233" s="23"/>
      <c r="P233" s="23"/>
      <c r="Q233" s="23"/>
      <c r="R233" s="23"/>
      <c r="V233" s="67"/>
      <c r="W233" s="10"/>
    </row>
    <row r="234" spans="6:23">
      <c r="F234" s="9"/>
      <c r="G234" s="15"/>
      <c r="N234" s="23"/>
      <c r="O234" s="23"/>
      <c r="P234" s="23"/>
      <c r="Q234" s="23"/>
      <c r="R234" s="23"/>
      <c r="V234" s="67"/>
      <c r="W234" s="10"/>
    </row>
    <row r="235" spans="6:23">
      <c r="F235" s="9"/>
      <c r="G235" s="15"/>
      <c r="N235" s="23"/>
      <c r="O235" s="23"/>
      <c r="P235" s="23"/>
      <c r="Q235" s="23"/>
      <c r="R235" s="23"/>
      <c r="V235" s="67"/>
      <c r="W235" s="10"/>
    </row>
    <row r="236" spans="6:23">
      <c r="F236" s="9"/>
      <c r="G236" s="15"/>
      <c r="N236" s="23"/>
      <c r="O236" s="23"/>
      <c r="P236" s="23"/>
      <c r="Q236" s="23"/>
      <c r="R236" s="23"/>
      <c r="V236" s="67"/>
      <c r="W236" s="10"/>
    </row>
    <row r="237" spans="6:23">
      <c r="F237" s="9"/>
      <c r="G237" s="15"/>
      <c r="N237" s="23"/>
      <c r="O237" s="23"/>
      <c r="P237" s="23"/>
      <c r="Q237" s="23"/>
      <c r="R237" s="23"/>
      <c r="V237" s="67"/>
      <c r="W237" s="10"/>
    </row>
    <row r="238" spans="6:23">
      <c r="F238" s="9"/>
      <c r="G238" s="15"/>
      <c r="N238" s="23"/>
      <c r="O238" s="23"/>
      <c r="P238" s="23"/>
      <c r="Q238" s="23"/>
      <c r="R238" s="23"/>
      <c r="V238" s="67"/>
      <c r="W238" s="10"/>
    </row>
    <row r="239" spans="6:23">
      <c r="F239" s="9"/>
      <c r="G239" s="15"/>
      <c r="N239" s="23"/>
      <c r="O239" s="23"/>
      <c r="P239" s="23"/>
      <c r="Q239" s="23"/>
      <c r="R239" s="23"/>
      <c r="V239" s="67"/>
      <c r="W239" s="10"/>
    </row>
    <row r="240" spans="6:23">
      <c r="F240" s="9"/>
      <c r="G240" s="15"/>
      <c r="N240" s="23"/>
      <c r="O240" s="23"/>
      <c r="P240" s="23"/>
      <c r="Q240" s="23"/>
      <c r="R240" s="23"/>
      <c r="V240" s="67"/>
      <c r="W240" s="10"/>
    </row>
    <row r="241" spans="6:23">
      <c r="F241" s="9"/>
      <c r="G241" s="15"/>
      <c r="N241" s="23"/>
      <c r="O241" s="23"/>
      <c r="P241" s="23"/>
      <c r="Q241" s="23"/>
      <c r="R241" s="23"/>
      <c r="V241" s="67"/>
      <c r="W241" s="10"/>
    </row>
    <row r="242" spans="6:23">
      <c r="F242" s="9"/>
      <c r="G242" s="15"/>
      <c r="N242" s="23"/>
      <c r="O242" s="23"/>
      <c r="P242" s="23"/>
      <c r="Q242" s="23"/>
      <c r="R242" s="23"/>
      <c r="V242" s="67"/>
      <c r="W242" s="10"/>
    </row>
    <row r="243" spans="6:23">
      <c r="F243" s="9"/>
      <c r="G243" s="15"/>
      <c r="N243" s="23"/>
      <c r="O243" s="23"/>
      <c r="P243" s="23"/>
      <c r="Q243" s="23"/>
      <c r="R243" s="23"/>
      <c r="V243" s="67"/>
      <c r="W243" s="10"/>
    </row>
    <row r="244" spans="6:23">
      <c r="F244" s="9"/>
      <c r="G244" s="15"/>
      <c r="N244" s="23"/>
      <c r="O244" s="23"/>
      <c r="P244" s="23"/>
      <c r="Q244" s="23"/>
      <c r="R244" s="23"/>
      <c r="V244" s="67"/>
      <c r="W244" s="10"/>
    </row>
    <row r="245" spans="6:23">
      <c r="F245" s="9"/>
      <c r="G245" s="15"/>
      <c r="N245" s="23"/>
      <c r="O245" s="23"/>
      <c r="P245" s="23"/>
      <c r="Q245" s="23"/>
      <c r="R245" s="23"/>
      <c r="V245" s="67"/>
      <c r="W245" s="10"/>
    </row>
    <row r="246" spans="6:23">
      <c r="F246" s="9"/>
      <c r="G246" s="15"/>
      <c r="N246" s="23"/>
      <c r="O246" s="23"/>
      <c r="P246" s="23"/>
      <c r="Q246" s="23"/>
      <c r="R246" s="23"/>
      <c r="V246" s="67"/>
      <c r="W246" s="10"/>
    </row>
    <row r="247" spans="6:23">
      <c r="G247" s="15"/>
      <c r="N247" s="23"/>
      <c r="O247" s="23"/>
      <c r="P247" s="23"/>
      <c r="Q247" s="23"/>
      <c r="R247" s="23"/>
      <c r="V247" s="67"/>
      <c r="W247" s="10"/>
    </row>
    <row r="248" spans="6:23">
      <c r="G248" s="15"/>
      <c r="N248" s="23"/>
      <c r="O248" s="23"/>
      <c r="P248" s="23"/>
      <c r="Q248" s="23"/>
      <c r="R248" s="23"/>
      <c r="V248" s="67"/>
      <c r="W248" s="10"/>
    </row>
    <row r="249" spans="6:23">
      <c r="G249" s="15"/>
      <c r="N249" s="23"/>
      <c r="O249" s="23"/>
      <c r="P249" s="23"/>
      <c r="Q249" s="23"/>
      <c r="R249" s="23"/>
      <c r="V249" s="67"/>
      <c r="W249" s="10"/>
    </row>
    <row r="250" spans="6:23">
      <c r="G250" s="15"/>
      <c r="N250" s="23"/>
      <c r="O250" s="23"/>
      <c r="P250" s="23"/>
      <c r="Q250" s="23"/>
      <c r="R250" s="23"/>
      <c r="V250" s="67"/>
      <c r="W250" s="10"/>
    </row>
    <row r="251" spans="6:23">
      <c r="G251" s="15"/>
      <c r="N251" s="23"/>
      <c r="O251" s="23"/>
      <c r="P251" s="23"/>
      <c r="Q251" s="23"/>
      <c r="R251" s="23"/>
      <c r="V251" s="67"/>
      <c r="W251" s="10"/>
    </row>
    <row r="252" spans="6:23">
      <c r="G252" s="15"/>
      <c r="N252" s="23"/>
      <c r="O252" s="23"/>
      <c r="P252" s="23"/>
      <c r="Q252" s="23"/>
      <c r="R252" s="23"/>
      <c r="V252" s="67"/>
      <c r="W252" s="10"/>
    </row>
    <row r="253" spans="6:23">
      <c r="G253" s="15"/>
      <c r="N253" s="23"/>
      <c r="O253" s="23"/>
      <c r="P253" s="23"/>
      <c r="Q253" s="23"/>
      <c r="R253" s="23"/>
      <c r="V253" s="67"/>
      <c r="W253" s="10"/>
    </row>
    <row r="254" spans="6:23">
      <c r="G254" s="15"/>
      <c r="N254" s="23"/>
      <c r="O254" s="23"/>
      <c r="P254" s="23"/>
      <c r="Q254" s="23"/>
      <c r="R254" s="23"/>
      <c r="V254" s="67"/>
      <c r="W254" s="10"/>
    </row>
    <row r="255" spans="6:23">
      <c r="G255" s="15"/>
      <c r="N255" s="23"/>
      <c r="O255" s="23"/>
      <c r="P255" s="23"/>
      <c r="Q255" s="23"/>
      <c r="R255" s="23"/>
      <c r="V255" s="67"/>
      <c r="W255" s="10"/>
    </row>
    <row r="256" spans="6:23">
      <c r="G256" s="15"/>
      <c r="N256" s="23"/>
      <c r="O256" s="23"/>
      <c r="P256" s="23"/>
      <c r="Q256" s="23"/>
      <c r="R256" s="23"/>
      <c r="V256" s="67"/>
      <c r="W256" s="10"/>
    </row>
    <row r="257" spans="7:23">
      <c r="G257" s="15"/>
      <c r="N257" s="23"/>
      <c r="O257" s="23"/>
      <c r="P257" s="23"/>
      <c r="Q257" s="23"/>
      <c r="R257" s="23"/>
      <c r="V257" s="67"/>
      <c r="W257" s="10"/>
    </row>
    <row r="258" spans="7:23">
      <c r="G258" s="15"/>
      <c r="N258" s="23"/>
      <c r="O258" s="23"/>
      <c r="P258" s="23"/>
      <c r="Q258" s="23"/>
      <c r="R258" s="23"/>
      <c r="V258" s="67"/>
      <c r="W258" s="10"/>
    </row>
    <row r="259" spans="7:23">
      <c r="G259" s="15"/>
      <c r="N259" s="23"/>
      <c r="O259" s="23"/>
      <c r="P259" s="23"/>
      <c r="Q259" s="23"/>
      <c r="R259" s="23"/>
      <c r="V259" s="67"/>
      <c r="W259" s="10"/>
    </row>
    <row r="260" spans="7:23">
      <c r="G260" s="15"/>
      <c r="N260" s="23"/>
      <c r="O260" s="23"/>
      <c r="P260" s="23"/>
      <c r="Q260" s="23"/>
      <c r="R260" s="23"/>
      <c r="V260" s="67"/>
      <c r="W260" s="10"/>
    </row>
    <row r="261" spans="7:23">
      <c r="G261" s="15"/>
      <c r="N261" s="23"/>
      <c r="O261" s="23"/>
      <c r="P261" s="23"/>
      <c r="Q261" s="23"/>
      <c r="R261" s="23"/>
      <c r="V261" s="67"/>
      <c r="W261" s="10"/>
    </row>
    <row r="262" spans="7:23">
      <c r="G262" s="15"/>
      <c r="N262" s="23"/>
      <c r="O262" s="23"/>
      <c r="P262" s="23"/>
      <c r="Q262" s="23"/>
      <c r="R262" s="23"/>
      <c r="V262" s="67"/>
      <c r="W262" s="10"/>
    </row>
    <row r="263" spans="7:23">
      <c r="G263" s="15"/>
      <c r="N263" s="23"/>
      <c r="O263" s="23"/>
      <c r="P263" s="23"/>
      <c r="Q263" s="23"/>
      <c r="R263" s="23"/>
      <c r="V263" s="67"/>
      <c r="W263" s="10"/>
    </row>
    <row r="264" spans="7:23">
      <c r="G264" s="15"/>
      <c r="N264" s="23"/>
      <c r="O264" s="23"/>
      <c r="P264" s="23"/>
      <c r="Q264" s="23"/>
      <c r="R264" s="23"/>
      <c r="V264" s="67"/>
      <c r="W264" s="10"/>
    </row>
    <row r="265" spans="7:23">
      <c r="G265" s="15"/>
      <c r="N265" s="23"/>
      <c r="O265" s="23"/>
      <c r="P265" s="23"/>
      <c r="Q265" s="23"/>
      <c r="R265" s="23"/>
      <c r="V265" s="67"/>
      <c r="W265" s="10"/>
    </row>
    <row r="266" spans="7:23">
      <c r="G266" s="15"/>
      <c r="N266" s="23"/>
      <c r="O266" s="23"/>
      <c r="P266" s="23"/>
      <c r="Q266" s="23"/>
      <c r="R266" s="23"/>
      <c r="V266" s="67"/>
      <c r="W266" s="10"/>
    </row>
    <row r="267" spans="7:23">
      <c r="G267" s="15"/>
      <c r="N267" s="23"/>
      <c r="O267" s="23"/>
      <c r="P267" s="23"/>
      <c r="Q267" s="23"/>
      <c r="R267" s="23"/>
      <c r="V267" s="67"/>
      <c r="W267" s="10"/>
    </row>
    <row r="268" spans="7:23">
      <c r="G268" s="15"/>
      <c r="N268" s="23"/>
      <c r="O268" s="23"/>
      <c r="P268" s="23"/>
      <c r="Q268" s="23"/>
      <c r="R268" s="23"/>
      <c r="V268" s="67"/>
      <c r="W268" s="10"/>
    </row>
    <row r="269" spans="7:23">
      <c r="G269" s="15"/>
      <c r="N269" s="23"/>
      <c r="O269" s="23"/>
      <c r="P269" s="23"/>
      <c r="Q269" s="23"/>
      <c r="R269" s="23"/>
      <c r="V269" s="67"/>
      <c r="W269" s="10"/>
    </row>
    <row r="270" spans="7:23">
      <c r="G270" s="15"/>
      <c r="N270" s="23"/>
      <c r="O270" s="23"/>
      <c r="P270" s="23"/>
      <c r="Q270" s="23"/>
      <c r="R270" s="23"/>
      <c r="V270" s="67"/>
      <c r="W270" s="10"/>
    </row>
    <row r="271" spans="7:23">
      <c r="G271" s="15"/>
      <c r="N271" s="23"/>
      <c r="O271" s="23"/>
      <c r="P271" s="23"/>
      <c r="Q271" s="23"/>
      <c r="R271" s="23"/>
      <c r="V271" s="67"/>
      <c r="W271" s="10"/>
    </row>
    <row r="272" spans="7:23">
      <c r="G272" s="15"/>
      <c r="N272" s="23"/>
      <c r="O272" s="23"/>
      <c r="P272" s="23"/>
      <c r="Q272" s="23"/>
      <c r="R272" s="23"/>
      <c r="V272" s="67"/>
      <c r="W272" s="10"/>
    </row>
    <row r="273" spans="7:23">
      <c r="G273" s="15"/>
      <c r="N273" s="23"/>
      <c r="O273" s="23"/>
      <c r="P273" s="23"/>
      <c r="Q273" s="23"/>
      <c r="R273" s="23"/>
      <c r="V273" s="67"/>
      <c r="W273" s="10"/>
    </row>
    <row r="274" spans="7:23">
      <c r="G274" s="15"/>
      <c r="N274" s="23"/>
      <c r="O274" s="23"/>
      <c r="P274" s="23"/>
      <c r="Q274" s="23"/>
      <c r="R274" s="23"/>
      <c r="V274" s="67"/>
      <c r="W274" s="10"/>
    </row>
    <row r="275" spans="7:23">
      <c r="G275" s="15"/>
      <c r="N275" s="23"/>
      <c r="O275" s="23"/>
      <c r="P275" s="23"/>
      <c r="Q275" s="23"/>
      <c r="R275" s="23"/>
      <c r="V275" s="67"/>
      <c r="W275" s="10"/>
    </row>
    <row r="276" spans="7:23">
      <c r="G276" s="15"/>
      <c r="N276" s="23"/>
      <c r="O276" s="23"/>
      <c r="P276" s="23"/>
      <c r="Q276" s="23"/>
      <c r="R276" s="23"/>
      <c r="V276" s="67"/>
      <c r="W276" s="10"/>
    </row>
    <row r="277" spans="7:23">
      <c r="G277" s="15"/>
      <c r="N277" s="23"/>
      <c r="O277" s="23"/>
      <c r="P277" s="23"/>
      <c r="Q277" s="23"/>
      <c r="R277" s="23"/>
      <c r="V277" s="67"/>
      <c r="W277" s="10"/>
    </row>
    <row r="278" spans="7:23">
      <c r="G278" s="15"/>
      <c r="N278" s="23"/>
      <c r="O278" s="23"/>
      <c r="P278" s="23"/>
      <c r="Q278" s="23"/>
      <c r="R278" s="23"/>
      <c r="V278" s="67"/>
      <c r="W278" s="10"/>
    </row>
    <row r="279" spans="7:23">
      <c r="G279" s="15"/>
      <c r="N279" s="23"/>
      <c r="O279" s="23"/>
      <c r="P279" s="23"/>
      <c r="Q279" s="23"/>
      <c r="R279" s="23"/>
      <c r="V279" s="67"/>
      <c r="W279" s="10"/>
    </row>
    <row r="280" spans="7:23">
      <c r="G280" s="15"/>
      <c r="N280" s="23"/>
      <c r="O280" s="23"/>
      <c r="P280" s="23"/>
      <c r="Q280" s="23"/>
      <c r="R280" s="23"/>
      <c r="V280" s="67"/>
      <c r="W280" s="10"/>
    </row>
    <row r="281" spans="7:23">
      <c r="G281" s="15"/>
      <c r="N281" s="23"/>
      <c r="O281" s="23"/>
      <c r="P281" s="23"/>
      <c r="Q281" s="23"/>
      <c r="R281" s="23"/>
      <c r="V281" s="67"/>
      <c r="W281" s="10"/>
    </row>
    <row r="282" spans="7:23">
      <c r="G282" s="15"/>
      <c r="N282" s="23"/>
      <c r="O282" s="23"/>
      <c r="P282" s="23"/>
      <c r="Q282" s="23"/>
      <c r="R282" s="23"/>
      <c r="V282" s="67"/>
      <c r="W282" s="10"/>
    </row>
    <row r="283" spans="7:23">
      <c r="G283" s="15"/>
      <c r="N283" s="23"/>
      <c r="O283" s="23"/>
      <c r="P283" s="23"/>
      <c r="Q283" s="23"/>
      <c r="R283" s="23"/>
      <c r="V283" s="67"/>
      <c r="W283" s="10"/>
    </row>
    <row r="284" spans="7:23">
      <c r="G284" s="15"/>
      <c r="N284" s="23"/>
      <c r="O284" s="23"/>
      <c r="P284" s="23"/>
      <c r="Q284" s="23"/>
      <c r="R284" s="23"/>
      <c r="V284" s="67"/>
      <c r="W284" s="10"/>
    </row>
    <row r="285" spans="7:23">
      <c r="G285" s="15"/>
      <c r="N285" s="23"/>
      <c r="O285" s="23"/>
      <c r="P285" s="23"/>
      <c r="Q285" s="23"/>
      <c r="R285" s="23"/>
      <c r="V285" s="67"/>
      <c r="W285" s="10"/>
    </row>
    <row r="286" spans="7:23">
      <c r="G286" s="15"/>
      <c r="N286" s="23"/>
      <c r="O286" s="23"/>
      <c r="P286" s="23"/>
      <c r="Q286" s="23"/>
      <c r="R286" s="23"/>
      <c r="W286" s="10"/>
    </row>
    <row r="287" spans="7:23">
      <c r="G287" s="15"/>
      <c r="N287" s="23"/>
      <c r="O287" s="23"/>
      <c r="P287" s="23"/>
      <c r="Q287" s="23"/>
      <c r="R287" s="23"/>
      <c r="W287" s="10"/>
    </row>
    <row r="288" spans="7:23">
      <c r="G288" s="15"/>
      <c r="N288" s="23"/>
      <c r="O288" s="23"/>
      <c r="P288" s="23"/>
      <c r="Q288" s="23"/>
      <c r="R288" s="23"/>
      <c r="W288" s="10"/>
    </row>
    <row r="289" spans="7:23">
      <c r="G289" s="15"/>
      <c r="N289" s="23"/>
      <c r="O289" s="23"/>
      <c r="P289" s="23"/>
      <c r="Q289" s="23"/>
      <c r="R289" s="23"/>
      <c r="W289" s="10"/>
    </row>
    <row r="290" spans="7:23">
      <c r="W290" s="10"/>
    </row>
    <row r="291" spans="7:23">
      <c r="W291" s="10"/>
    </row>
    <row r="292" spans="7:23">
      <c r="W292" s="10"/>
    </row>
    <row r="293" spans="7:23">
      <c r="W293" s="10"/>
    </row>
    <row r="294" spans="7:23">
      <c r="W294" s="10"/>
    </row>
    <row r="295" spans="7:23">
      <c r="W295" s="10"/>
    </row>
    <row r="296" spans="7:23">
      <c r="W296" s="10"/>
    </row>
    <row r="297" spans="7:23">
      <c r="W297" s="10"/>
    </row>
    <row r="298" spans="7:23">
      <c r="W298" s="10"/>
    </row>
    <row r="299" spans="7:23">
      <c r="W299" s="10"/>
    </row>
    <row r="300" spans="7:23">
      <c r="W300" s="10"/>
    </row>
    <row r="301" spans="7:23">
      <c r="W301" s="10"/>
    </row>
    <row r="302" spans="7:23">
      <c r="W302" s="10"/>
    </row>
    <row r="303" spans="7:23">
      <c r="W303" s="10"/>
    </row>
    <row r="304" spans="7:23">
      <c r="W304" s="10"/>
    </row>
    <row r="305" spans="23:23">
      <c r="W305" s="10"/>
    </row>
    <row r="306" spans="23:23">
      <c r="W306" s="10"/>
    </row>
    <row r="307" spans="23:23">
      <c r="W307" s="10"/>
    </row>
    <row r="308" spans="23:23">
      <c r="W308" s="10"/>
    </row>
    <row r="309" spans="23:23">
      <c r="W309" s="10"/>
    </row>
    <row r="310" spans="23:23">
      <c r="W310" s="10"/>
    </row>
    <row r="311" spans="23:23">
      <c r="W311" s="10"/>
    </row>
    <row r="312" spans="23:23">
      <c r="W312" s="10"/>
    </row>
    <row r="313" spans="23:23">
      <c r="W313" s="10"/>
    </row>
    <row r="314" spans="23:23">
      <c r="W314" s="10"/>
    </row>
    <row r="315" spans="23:23">
      <c r="W315" s="10"/>
    </row>
    <row r="316" spans="23:23">
      <c r="W316" s="10"/>
    </row>
    <row r="317" spans="23:23">
      <c r="W317" s="10"/>
    </row>
    <row r="318" spans="23:23">
      <c r="W318" s="10"/>
    </row>
    <row r="319" spans="23:23">
      <c r="W319" s="10"/>
    </row>
    <row r="320" spans="23:23">
      <c r="W320" s="10"/>
    </row>
    <row r="321" spans="23:23">
      <c r="W321" s="10"/>
    </row>
    <row r="322" spans="23:23">
      <c r="W322" s="10"/>
    </row>
    <row r="323" spans="23:23">
      <c r="W323" s="10"/>
    </row>
    <row r="324" spans="23:23">
      <c r="W324" s="10"/>
    </row>
    <row r="325" spans="23:23">
      <c r="W325" s="10"/>
    </row>
    <row r="326" spans="23:23">
      <c r="W326" s="10"/>
    </row>
    <row r="327" spans="23:23">
      <c r="W327" s="10"/>
    </row>
    <row r="328" spans="23:23">
      <c r="W328" s="10"/>
    </row>
    <row r="329" spans="23:23">
      <c r="W329" s="10"/>
    </row>
    <row r="330" spans="23:23">
      <c r="W330" s="10"/>
    </row>
    <row r="331" spans="23:23">
      <c r="W331" s="10"/>
    </row>
    <row r="332" spans="23:23">
      <c r="W332" s="10"/>
    </row>
    <row r="333" spans="23:23">
      <c r="W333" s="10"/>
    </row>
    <row r="334" spans="23:23">
      <c r="W334" s="10"/>
    </row>
    <row r="335" spans="23:23">
      <c r="W335" s="10"/>
    </row>
    <row r="336" spans="23:23">
      <c r="W336" s="10"/>
    </row>
    <row r="337" spans="23:23">
      <c r="W337" s="10"/>
    </row>
    <row r="338" spans="23:23">
      <c r="W338" s="10"/>
    </row>
    <row r="339" spans="23:23">
      <c r="W339" s="10"/>
    </row>
    <row r="340" spans="23:23">
      <c r="W340" s="10"/>
    </row>
    <row r="341" spans="23:23">
      <c r="W341" s="10"/>
    </row>
    <row r="342" spans="23:23">
      <c r="W342" s="10"/>
    </row>
    <row r="343" spans="23:23">
      <c r="W343" s="10"/>
    </row>
    <row r="344" spans="23:23">
      <c r="W344" s="10"/>
    </row>
    <row r="345" spans="23:23">
      <c r="W345" s="10"/>
    </row>
    <row r="346" spans="23:23">
      <c r="W346" s="10"/>
    </row>
    <row r="347" spans="23:23">
      <c r="W347" s="10"/>
    </row>
    <row r="348" spans="23:23">
      <c r="W348" s="10"/>
    </row>
    <row r="349" spans="23:23">
      <c r="W349" s="10"/>
    </row>
    <row r="350" spans="23:23">
      <c r="W350" s="10"/>
    </row>
    <row r="351" spans="23:23">
      <c r="W351" s="10"/>
    </row>
    <row r="352" spans="23:23">
      <c r="W352" s="10"/>
    </row>
    <row r="353" spans="23:23">
      <c r="W353" s="10"/>
    </row>
    <row r="354" spans="23:23">
      <c r="W354" s="10"/>
    </row>
    <row r="355" spans="23:23">
      <c r="W355" s="10"/>
    </row>
    <row r="356" spans="23:23">
      <c r="W356" s="10"/>
    </row>
    <row r="357" spans="23:23">
      <c r="W357" s="10"/>
    </row>
    <row r="358" spans="23:23">
      <c r="W358" s="10"/>
    </row>
    <row r="359" spans="23:23">
      <c r="W359" s="10"/>
    </row>
    <row r="360" spans="23:23">
      <c r="W360" s="10"/>
    </row>
    <row r="361" spans="23:23">
      <c r="W361" s="10"/>
    </row>
    <row r="362" spans="23:23">
      <c r="W362" s="10"/>
    </row>
    <row r="363" spans="23:23">
      <c r="W363" s="10"/>
    </row>
    <row r="364" spans="23:23">
      <c r="W364" s="10"/>
    </row>
    <row r="365" spans="23:23">
      <c r="W365" s="10"/>
    </row>
    <row r="366" spans="23:23">
      <c r="W366" s="10"/>
    </row>
    <row r="367" spans="23:23">
      <c r="W367" s="10"/>
    </row>
    <row r="368" spans="23:23">
      <c r="W368" s="10"/>
    </row>
    <row r="369" spans="23:23">
      <c r="W369" s="10"/>
    </row>
    <row r="370" spans="23:23">
      <c r="W370" s="10"/>
    </row>
    <row r="371" spans="23:23">
      <c r="W371" s="10"/>
    </row>
    <row r="372" spans="23:23">
      <c r="W372" s="10"/>
    </row>
    <row r="373" spans="23:23">
      <c r="W373" s="10"/>
    </row>
    <row r="374" spans="23:23">
      <c r="W374" s="10"/>
    </row>
    <row r="375" spans="23:23">
      <c r="W375" s="10"/>
    </row>
    <row r="376" spans="23:23">
      <c r="W376" s="10"/>
    </row>
    <row r="377" spans="23:23">
      <c r="W377" s="10"/>
    </row>
    <row r="378" spans="23:23">
      <c r="W378" s="10"/>
    </row>
    <row r="379" spans="23:23">
      <c r="W379" s="10"/>
    </row>
    <row r="380" spans="23:23">
      <c r="W380" s="10"/>
    </row>
    <row r="381" spans="23:23">
      <c r="W381" s="10"/>
    </row>
    <row r="382" spans="23:23">
      <c r="W382" s="10"/>
    </row>
    <row r="383" spans="23:23">
      <c r="W383" s="10"/>
    </row>
    <row r="384" spans="23:23">
      <c r="W384" s="10"/>
    </row>
    <row r="385" spans="23:23">
      <c r="W385" s="10"/>
    </row>
    <row r="386" spans="23:23">
      <c r="W386" s="10"/>
    </row>
    <row r="387" spans="23:23">
      <c r="W387" s="10"/>
    </row>
    <row r="388" spans="23:23">
      <c r="W388" s="10"/>
    </row>
    <row r="389" spans="23:23">
      <c r="W389" s="10"/>
    </row>
    <row r="390" spans="23:23">
      <c r="W390" s="10"/>
    </row>
    <row r="391" spans="23:23">
      <c r="W391" s="10"/>
    </row>
    <row r="392" spans="23:23">
      <c r="W392" s="10"/>
    </row>
    <row r="393" spans="23:23">
      <c r="W393" s="10"/>
    </row>
    <row r="394" spans="23:23">
      <c r="W394" s="10"/>
    </row>
    <row r="395" spans="23:23">
      <c r="W395" s="10"/>
    </row>
    <row r="396" spans="23:23">
      <c r="W396" s="10"/>
    </row>
    <row r="397" spans="23:23">
      <c r="W397" s="10"/>
    </row>
    <row r="398" spans="23:23">
      <c r="W398" s="10"/>
    </row>
    <row r="399" spans="23:23">
      <c r="W399" s="10"/>
    </row>
    <row r="400" spans="23:23">
      <c r="W400" s="10"/>
    </row>
    <row r="401" spans="23:23">
      <c r="W401" s="10"/>
    </row>
    <row r="402" spans="23:23">
      <c r="W402" s="10"/>
    </row>
    <row r="403" spans="23:23">
      <c r="W403" s="10"/>
    </row>
    <row r="404" spans="23:23">
      <c r="W404" s="10"/>
    </row>
    <row r="405" spans="23:23">
      <c r="W405" s="10"/>
    </row>
    <row r="406" spans="23:23">
      <c r="W406" s="10"/>
    </row>
    <row r="407" spans="23:23">
      <c r="W407" s="10"/>
    </row>
    <row r="408" spans="23:23">
      <c r="W408" s="10"/>
    </row>
    <row r="409" spans="23:23">
      <c r="W409" s="10"/>
    </row>
    <row r="410" spans="23:23">
      <c r="W410" s="10"/>
    </row>
    <row r="411" spans="23:23">
      <c r="W411" s="10"/>
    </row>
    <row r="412" spans="23:23">
      <c r="W412" s="10"/>
    </row>
    <row r="413" spans="23:23">
      <c r="W413" s="10"/>
    </row>
    <row r="414" spans="23:23">
      <c r="W414" s="10"/>
    </row>
    <row r="415" spans="23:23">
      <c r="W415" s="10"/>
    </row>
    <row r="416" spans="23:23">
      <c r="W416" s="10"/>
    </row>
    <row r="417" spans="23:23">
      <c r="W417" s="10"/>
    </row>
    <row r="418" spans="23:23">
      <c r="W418" s="10"/>
    </row>
    <row r="419" spans="23:23">
      <c r="W419" s="10"/>
    </row>
    <row r="420" spans="23:23">
      <c r="W420" s="10"/>
    </row>
    <row r="421" spans="23:23">
      <c r="W421" s="10"/>
    </row>
    <row r="422" spans="23:23">
      <c r="W422" s="10"/>
    </row>
    <row r="423" spans="23:23">
      <c r="W423" s="10"/>
    </row>
    <row r="424" spans="23:23">
      <c r="W424" s="10"/>
    </row>
    <row r="425" spans="23:23">
      <c r="W425" s="10"/>
    </row>
    <row r="426" spans="23:23">
      <c r="W426" s="10"/>
    </row>
    <row r="427" spans="23:23">
      <c r="W427" s="10"/>
    </row>
    <row r="428" spans="23:23">
      <c r="W428" s="10"/>
    </row>
    <row r="429" spans="23:23">
      <c r="W429" s="10"/>
    </row>
    <row r="430" spans="23:23">
      <c r="W430" s="10"/>
    </row>
    <row r="431" spans="23:23">
      <c r="W431" s="10"/>
    </row>
    <row r="432" spans="23:23">
      <c r="W432" s="10"/>
    </row>
    <row r="433" spans="23:23">
      <c r="W433" s="10"/>
    </row>
    <row r="434" spans="23:23">
      <c r="W434" s="10"/>
    </row>
    <row r="435" spans="23:23">
      <c r="W435" s="10"/>
    </row>
    <row r="436" spans="23:23">
      <c r="W436" s="10"/>
    </row>
    <row r="437" spans="23:23">
      <c r="W437" s="10"/>
    </row>
    <row r="438" spans="23:23">
      <c r="W438" s="10"/>
    </row>
    <row r="439" spans="23:23">
      <c r="W439" s="10"/>
    </row>
    <row r="440" spans="23:23">
      <c r="W440" s="10"/>
    </row>
    <row r="441" spans="23:23">
      <c r="W441" s="10"/>
    </row>
    <row r="442" spans="23:23">
      <c r="W442" s="10"/>
    </row>
    <row r="443" spans="23:23">
      <c r="W443" s="10"/>
    </row>
    <row r="444" spans="23:23">
      <c r="W444" s="10"/>
    </row>
    <row r="445" spans="23:23">
      <c r="W445" s="10"/>
    </row>
    <row r="446" spans="23:23">
      <c r="W446" s="10"/>
    </row>
    <row r="447" spans="23:23">
      <c r="W447" s="10"/>
    </row>
    <row r="448" spans="23:23">
      <c r="W448" s="10"/>
    </row>
    <row r="449" spans="23:23">
      <c r="W449" s="10"/>
    </row>
    <row r="450" spans="23:23">
      <c r="W450" s="10"/>
    </row>
    <row r="451" spans="23:23">
      <c r="W451" s="10"/>
    </row>
    <row r="452" spans="23:23">
      <c r="W452" s="10"/>
    </row>
    <row r="453" spans="23:23">
      <c r="W453" s="10"/>
    </row>
    <row r="454" spans="23:23">
      <c r="W454" s="10"/>
    </row>
    <row r="455" spans="23:23">
      <c r="W455" s="10"/>
    </row>
    <row r="456" spans="23:23">
      <c r="W456" s="10"/>
    </row>
    <row r="457" spans="23:23">
      <c r="W457" s="10"/>
    </row>
    <row r="458" spans="23:23">
      <c r="W458" s="10"/>
    </row>
    <row r="459" spans="23:23">
      <c r="W459" s="10"/>
    </row>
    <row r="460" spans="23:23">
      <c r="W460" s="10"/>
    </row>
    <row r="461" spans="23:23">
      <c r="W461" s="10"/>
    </row>
    <row r="462" spans="23:23">
      <c r="W462" s="10"/>
    </row>
    <row r="463" spans="23:23">
      <c r="W463" s="10"/>
    </row>
    <row r="464" spans="23:23">
      <c r="W464" s="10"/>
    </row>
    <row r="465" spans="23:23">
      <c r="W465" s="10"/>
    </row>
    <row r="466" spans="23:23">
      <c r="W466" s="10"/>
    </row>
    <row r="467" spans="23:23">
      <c r="W467" s="10"/>
    </row>
    <row r="468" spans="23:23">
      <c r="W468" s="10"/>
    </row>
    <row r="469" spans="23:23">
      <c r="W469" s="10"/>
    </row>
    <row r="470" spans="23:23">
      <c r="W470" s="10"/>
    </row>
    <row r="471" spans="23:23">
      <c r="W471" s="10"/>
    </row>
    <row r="472" spans="23:23">
      <c r="W472" s="10"/>
    </row>
    <row r="473" spans="23:23">
      <c r="W473" s="10"/>
    </row>
    <row r="474" spans="23:23">
      <c r="W474" s="10"/>
    </row>
    <row r="475" spans="23:23">
      <c r="W475" s="10"/>
    </row>
    <row r="476" spans="23:23">
      <c r="W476" s="10"/>
    </row>
    <row r="477" spans="23:23">
      <c r="W477" s="10"/>
    </row>
    <row r="478" spans="23:23">
      <c r="W478" s="10"/>
    </row>
    <row r="479" spans="23:23">
      <c r="W479" s="10"/>
    </row>
    <row r="480" spans="23:23">
      <c r="W480" s="10"/>
    </row>
    <row r="481" spans="23:23">
      <c r="W481" s="10"/>
    </row>
    <row r="482" spans="23:23">
      <c r="W482" s="10"/>
    </row>
    <row r="483" spans="23:23">
      <c r="W483" s="10"/>
    </row>
    <row r="484" spans="23:23">
      <c r="W484" s="10"/>
    </row>
    <row r="485" spans="23:23">
      <c r="W485" s="10"/>
    </row>
    <row r="486" spans="23:23">
      <c r="W486" s="10"/>
    </row>
    <row r="487" spans="23:23">
      <c r="W487" s="10"/>
    </row>
    <row r="488" spans="23:23">
      <c r="W488" s="10"/>
    </row>
    <row r="489" spans="23:23">
      <c r="W489" s="10"/>
    </row>
    <row r="490" spans="23:23">
      <c r="W490" s="10"/>
    </row>
    <row r="491" spans="23:23">
      <c r="W491" s="10"/>
    </row>
    <row r="492" spans="23:23">
      <c r="W492" s="10"/>
    </row>
    <row r="493" spans="23:23">
      <c r="W493" s="10"/>
    </row>
    <row r="494" spans="23:23">
      <c r="W494" s="10"/>
    </row>
    <row r="495" spans="23:23">
      <c r="W495" s="10"/>
    </row>
    <row r="496" spans="23:23">
      <c r="W496" s="10"/>
    </row>
    <row r="497" spans="23:23">
      <c r="W497" s="10"/>
    </row>
    <row r="498" spans="23:23">
      <c r="W498" s="10"/>
    </row>
    <row r="499" spans="23:23">
      <c r="W499" s="10"/>
    </row>
    <row r="500" spans="23:23">
      <c r="W500" s="10"/>
    </row>
    <row r="501" spans="23:23">
      <c r="W501" s="10"/>
    </row>
    <row r="502" spans="23:23">
      <c r="W502" s="10"/>
    </row>
    <row r="503" spans="23:23">
      <c r="W503" s="10"/>
    </row>
    <row r="504" spans="23:23">
      <c r="W504" s="10"/>
    </row>
    <row r="505" spans="23:23">
      <c r="W505" s="10"/>
    </row>
    <row r="506" spans="23:23">
      <c r="W506" s="10"/>
    </row>
    <row r="507" spans="23:23">
      <c r="W507" s="10"/>
    </row>
    <row r="508" spans="23:23">
      <c r="W508" s="10"/>
    </row>
    <row r="509" spans="23:23">
      <c r="W509" s="10"/>
    </row>
    <row r="510" spans="23:23">
      <c r="W510" s="10"/>
    </row>
    <row r="511" spans="23:23">
      <c r="W511" s="10"/>
    </row>
    <row r="512" spans="23:23">
      <c r="W512" s="10"/>
    </row>
    <row r="513" spans="23:23">
      <c r="W513" s="10"/>
    </row>
    <row r="514" spans="23:23">
      <c r="W514" s="10"/>
    </row>
    <row r="515" spans="23:23">
      <c r="W515" s="10"/>
    </row>
    <row r="516" spans="23:23">
      <c r="W516" s="10"/>
    </row>
    <row r="517" spans="23:23">
      <c r="W517" s="10"/>
    </row>
    <row r="518" spans="23:23">
      <c r="W518" s="10"/>
    </row>
    <row r="519" spans="23:23">
      <c r="W519" s="10"/>
    </row>
    <row r="520" spans="23:23">
      <c r="W520" s="10"/>
    </row>
    <row r="521" spans="23:23">
      <c r="W521" s="10"/>
    </row>
    <row r="522" spans="23:23">
      <c r="W522" s="10"/>
    </row>
    <row r="523" spans="23:23">
      <c r="W523" s="10"/>
    </row>
    <row r="524" spans="23:23">
      <c r="W524" s="10"/>
    </row>
    <row r="525" spans="23:23">
      <c r="W525" s="10"/>
    </row>
    <row r="526" spans="23:23">
      <c r="W526" s="10"/>
    </row>
    <row r="527" spans="23:23">
      <c r="W527" s="10"/>
    </row>
    <row r="528" spans="23:23">
      <c r="W528" s="10"/>
    </row>
    <row r="529" spans="23:23">
      <c r="W529" s="10"/>
    </row>
    <row r="530" spans="23:23">
      <c r="W530" s="10"/>
    </row>
    <row r="531" spans="23:23">
      <c r="W531" s="10"/>
    </row>
    <row r="532" spans="23:23">
      <c r="W532" s="10"/>
    </row>
    <row r="533" spans="23:23">
      <c r="W533" s="10"/>
    </row>
    <row r="534" spans="23:23">
      <c r="W534" s="10"/>
    </row>
    <row r="535" spans="23:23">
      <c r="W535" s="10"/>
    </row>
    <row r="536" spans="23:23">
      <c r="W536" s="10"/>
    </row>
    <row r="537" spans="23:23">
      <c r="W537" s="10"/>
    </row>
    <row r="538" spans="23:23">
      <c r="W538" s="10"/>
    </row>
    <row r="539" spans="23:23">
      <c r="W539" s="10"/>
    </row>
    <row r="540" spans="23:23">
      <c r="W540" s="10"/>
    </row>
    <row r="541" spans="23:23">
      <c r="W541" s="10"/>
    </row>
    <row r="542" spans="23:23">
      <c r="W542" s="10"/>
    </row>
    <row r="543" spans="23:23">
      <c r="W543" s="10"/>
    </row>
    <row r="544" spans="23:23">
      <c r="W544" s="10"/>
    </row>
    <row r="545" spans="23:23">
      <c r="W545" s="10"/>
    </row>
    <row r="546" spans="23:23">
      <c r="W546" s="10"/>
    </row>
    <row r="547" spans="23:23">
      <c r="W547" s="10"/>
    </row>
    <row r="548" spans="23:23">
      <c r="W548" s="10"/>
    </row>
    <row r="549" spans="23:23">
      <c r="W549" s="10"/>
    </row>
    <row r="550" spans="23:23">
      <c r="W550" s="10"/>
    </row>
    <row r="551" spans="23:23">
      <c r="W551" s="10"/>
    </row>
    <row r="552" spans="23:23">
      <c r="W552" s="10"/>
    </row>
    <row r="553" spans="23:23">
      <c r="W553" s="10"/>
    </row>
    <row r="554" spans="23:23">
      <c r="W554" s="10"/>
    </row>
    <row r="555" spans="23:23">
      <c r="W555" s="10"/>
    </row>
    <row r="556" spans="23:23">
      <c r="W556" s="10"/>
    </row>
    <row r="557" spans="23:23">
      <c r="W557" s="10"/>
    </row>
    <row r="558" spans="23:23">
      <c r="W558" s="10"/>
    </row>
    <row r="559" spans="23:23">
      <c r="W559" s="10"/>
    </row>
    <row r="560" spans="23:23">
      <c r="W560" s="10"/>
    </row>
    <row r="561" spans="23:23">
      <c r="W561" s="10"/>
    </row>
    <row r="562" spans="23:23">
      <c r="W562" s="10"/>
    </row>
    <row r="563" spans="23:23">
      <c r="W563" s="10"/>
    </row>
    <row r="564" spans="23:23">
      <c r="W564" s="10"/>
    </row>
    <row r="565" spans="23:23">
      <c r="W565" s="10"/>
    </row>
    <row r="566" spans="23:23">
      <c r="W566" s="10"/>
    </row>
    <row r="567" spans="23:23">
      <c r="W567" s="10"/>
    </row>
    <row r="568" spans="23:23">
      <c r="W568" s="10"/>
    </row>
    <row r="569" spans="23:23">
      <c r="W569" s="10"/>
    </row>
    <row r="570" spans="23:23">
      <c r="W570" s="10"/>
    </row>
    <row r="571" spans="23:23">
      <c r="W571" s="10"/>
    </row>
    <row r="572" spans="23:23">
      <c r="W572" s="10"/>
    </row>
    <row r="573" spans="23:23">
      <c r="W573" s="10"/>
    </row>
    <row r="574" spans="23:23">
      <c r="W574" s="10"/>
    </row>
    <row r="575" spans="23:23">
      <c r="W575" s="10"/>
    </row>
    <row r="576" spans="23:23">
      <c r="W576" s="10"/>
    </row>
    <row r="577" spans="23:23">
      <c r="W577" s="10"/>
    </row>
    <row r="578" spans="23:23">
      <c r="W578" s="10"/>
    </row>
    <row r="579" spans="23:23">
      <c r="W579" s="10"/>
    </row>
    <row r="580" spans="23:23">
      <c r="W580" s="10"/>
    </row>
    <row r="581" spans="23:23">
      <c r="W581" s="10"/>
    </row>
    <row r="582" spans="23:23">
      <c r="W582" s="10"/>
    </row>
    <row r="583" spans="23:23">
      <c r="W583" s="10"/>
    </row>
    <row r="584" spans="23:23">
      <c r="W584" s="10"/>
    </row>
    <row r="585" spans="23:23">
      <c r="W585" s="10"/>
    </row>
    <row r="586" spans="23:23">
      <c r="W586" s="10"/>
    </row>
    <row r="587" spans="23:23">
      <c r="W587" s="10"/>
    </row>
    <row r="588" spans="23:23">
      <c r="W588" s="10"/>
    </row>
    <row r="589" spans="23:23">
      <c r="W589" s="10"/>
    </row>
    <row r="590" spans="23:23">
      <c r="W590" s="10"/>
    </row>
    <row r="591" spans="23:23">
      <c r="W591" s="10"/>
    </row>
    <row r="592" spans="23:23">
      <c r="W592" s="10"/>
    </row>
    <row r="593" spans="23:23">
      <c r="W593" s="10"/>
    </row>
    <row r="594" spans="23:23">
      <c r="W594" s="10"/>
    </row>
    <row r="595" spans="23:23">
      <c r="W595" s="10"/>
    </row>
    <row r="596" spans="23:23">
      <c r="W596" s="10"/>
    </row>
    <row r="597" spans="23:23">
      <c r="W597" s="10"/>
    </row>
    <row r="598" spans="23:23">
      <c r="W598" s="10"/>
    </row>
    <row r="599" spans="23:23">
      <c r="W599" s="10"/>
    </row>
    <row r="600" spans="23:23">
      <c r="W600" s="10"/>
    </row>
    <row r="601" spans="23:23">
      <c r="W601" s="10"/>
    </row>
    <row r="602" spans="23:23">
      <c r="W602" s="10"/>
    </row>
    <row r="603" spans="23:23">
      <c r="W603" s="10"/>
    </row>
    <row r="604" spans="23:23">
      <c r="W604" s="10"/>
    </row>
    <row r="605" spans="23:23">
      <c r="W605" s="10"/>
    </row>
    <row r="606" spans="23:23">
      <c r="W606" s="10"/>
    </row>
    <row r="607" spans="23:23">
      <c r="W607" s="10"/>
    </row>
    <row r="608" spans="23:23">
      <c r="W608" s="10"/>
    </row>
    <row r="609" spans="23:23">
      <c r="W609" s="10"/>
    </row>
    <row r="610" spans="23:23">
      <c r="W610" s="10"/>
    </row>
    <row r="611" spans="23:23">
      <c r="W611" s="10"/>
    </row>
    <row r="612" spans="23:23">
      <c r="W612" s="10"/>
    </row>
    <row r="613" spans="23:23">
      <c r="W613" s="10"/>
    </row>
    <row r="614" spans="23:23">
      <c r="W614" s="10"/>
    </row>
    <row r="615" spans="23:23">
      <c r="W615" s="10"/>
    </row>
    <row r="616" spans="23:23">
      <c r="W616" s="10"/>
    </row>
    <row r="617" spans="23:23">
      <c r="W617" s="10"/>
    </row>
    <row r="618" spans="23:23">
      <c r="W618" s="10"/>
    </row>
    <row r="619" spans="23:23">
      <c r="W619" s="10"/>
    </row>
    <row r="620" spans="23:23">
      <c r="W620" s="10"/>
    </row>
    <row r="621" spans="23:23">
      <c r="W621" s="10"/>
    </row>
    <row r="622" spans="23:23">
      <c r="W622" s="10"/>
    </row>
    <row r="623" spans="23:23">
      <c r="W623" s="10"/>
    </row>
    <row r="624" spans="23:23">
      <c r="W624" s="10"/>
    </row>
    <row r="625" spans="23:23">
      <c r="W625" s="10"/>
    </row>
    <row r="626" spans="23:23">
      <c r="W626" s="10"/>
    </row>
    <row r="627" spans="23:23">
      <c r="W627" s="10"/>
    </row>
    <row r="628" spans="23:23">
      <c r="W628" s="10"/>
    </row>
    <row r="629" spans="23:23">
      <c r="W629" s="10"/>
    </row>
    <row r="630" spans="23:23">
      <c r="W630" s="10"/>
    </row>
    <row r="631" spans="23:23">
      <c r="W631" s="10"/>
    </row>
    <row r="632" spans="23:23">
      <c r="W632" s="10"/>
    </row>
    <row r="633" spans="23:23">
      <c r="W633" s="10"/>
    </row>
    <row r="634" spans="23:23">
      <c r="W634" s="10"/>
    </row>
    <row r="635" spans="23:23">
      <c r="W635" s="10"/>
    </row>
    <row r="636" spans="23:23">
      <c r="W636" s="10"/>
    </row>
    <row r="637" spans="23:23">
      <c r="W637" s="10"/>
    </row>
    <row r="638" spans="23:23">
      <c r="W638" s="10"/>
    </row>
    <row r="639" spans="23:23">
      <c r="W639" s="10"/>
    </row>
    <row r="640" spans="23:23">
      <c r="W640" s="10"/>
    </row>
    <row r="641" spans="23:23">
      <c r="W641" s="10"/>
    </row>
    <row r="642" spans="23:23">
      <c r="W642" s="10"/>
    </row>
    <row r="643" spans="23:23">
      <c r="W643" s="10"/>
    </row>
    <row r="644" spans="23:23">
      <c r="W644" s="10"/>
    </row>
    <row r="645" spans="23:23">
      <c r="W645" s="10"/>
    </row>
    <row r="646" spans="23:23">
      <c r="W646" s="10"/>
    </row>
    <row r="647" spans="23:23">
      <c r="W647" s="10"/>
    </row>
    <row r="648" spans="23:23">
      <c r="W648" s="10"/>
    </row>
    <row r="649" spans="23:23">
      <c r="W649" s="10"/>
    </row>
    <row r="650" spans="23:23">
      <c r="W650" s="10"/>
    </row>
    <row r="651" spans="23:23">
      <c r="W651" s="10"/>
    </row>
    <row r="652" spans="23:23">
      <c r="W652" s="10"/>
    </row>
    <row r="653" spans="23:23">
      <c r="W653" s="10"/>
    </row>
    <row r="654" spans="23:23">
      <c r="W654" s="10"/>
    </row>
    <row r="655" spans="23:23">
      <c r="W655" s="10"/>
    </row>
    <row r="656" spans="23:23">
      <c r="W656" s="10"/>
    </row>
    <row r="657" spans="23:23">
      <c r="W657" s="10"/>
    </row>
    <row r="658" spans="23:23">
      <c r="W658" s="10"/>
    </row>
    <row r="659" spans="23:23">
      <c r="W659" s="10"/>
    </row>
    <row r="660" spans="23:23">
      <c r="W660" s="10"/>
    </row>
    <row r="661" spans="23:23">
      <c r="W661" s="10"/>
    </row>
    <row r="662" spans="23:23">
      <c r="W662" s="10"/>
    </row>
    <row r="663" spans="23:23">
      <c r="W663" s="10"/>
    </row>
    <row r="664" spans="23:23">
      <c r="W664" s="10"/>
    </row>
    <row r="665" spans="23:23">
      <c r="W665" s="10"/>
    </row>
    <row r="666" spans="23:23">
      <c r="W666" s="10"/>
    </row>
    <row r="667" spans="23:23">
      <c r="W667" s="10"/>
    </row>
    <row r="668" spans="23:23">
      <c r="W668" s="10"/>
    </row>
    <row r="669" spans="23:23">
      <c r="W669" s="10"/>
    </row>
    <row r="670" spans="23:23">
      <c r="W670" s="10"/>
    </row>
    <row r="671" spans="23:23">
      <c r="W671" s="10"/>
    </row>
    <row r="672" spans="23:23">
      <c r="W672" s="10"/>
    </row>
    <row r="673" spans="23:23">
      <c r="W673" s="10"/>
    </row>
    <row r="674" spans="23:23">
      <c r="W674" s="10"/>
    </row>
    <row r="675" spans="23:23">
      <c r="W675" s="10"/>
    </row>
    <row r="676" spans="23:23">
      <c r="W676" s="10"/>
    </row>
    <row r="677" spans="23:23">
      <c r="W677" s="10"/>
    </row>
    <row r="678" spans="23:23">
      <c r="W678" s="10"/>
    </row>
    <row r="679" spans="23:23">
      <c r="W679" s="10"/>
    </row>
    <row r="680" spans="23:23">
      <c r="W680" s="10"/>
    </row>
    <row r="681" spans="23:23">
      <c r="W681" s="10"/>
    </row>
    <row r="682" spans="23:23">
      <c r="W682" s="10"/>
    </row>
    <row r="683" spans="23:23">
      <c r="W683" s="10"/>
    </row>
    <row r="684" spans="23:23">
      <c r="W684" s="10"/>
    </row>
    <row r="685" spans="23:23">
      <c r="W685" s="10"/>
    </row>
    <row r="686" spans="23:23">
      <c r="W686" s="10"/>
    </row>
    <row r="687" spans="23:23">
      <c r="W687" s="10"/>
    </row>
    <row r="688" spans="23:23">
      <c r="W688" s="10"/>
    </row>
    <row r="689" spans="23:23">
      <c r="W689" s="10"/>
    </row>
    <row r="690" spans="23:23">
      <c r="W690" s="10"/>
    </row>
    <row r="691" spans="23:23">
      <c r="W691" s="10"/>
    </row>
    <row r="692" spans="23:23">
      <c r="W692" s="10"/>
    </row>
    <row r="693" spans="23:23">
      <c r="W693" s="10"/>
    </row>
    <row r="694" spans="23:23">
      <c r="W694" s="10"/>
    </row>
    <row r="695" spans="23:23">
      <c r="W695" s="10"/>
    </row>
    <row r="696" spans="23:23">
      <c r="W696" s="10"/>
    </row>
    <row r="697" spans="23:23">
      <c r="W697" s="10"/>
    </row>
    <row r="698" spans="23:23">
      <c r="W698" s="10"/>
    </row>
    <row r="699" spans="23:23">
      <c r="W699" s="10"/>
    </row>
    <row r="700" spans="23:23">
      <c r="W700" s="10"/>
    </row>
    <row r="701" spans="23:23">
      <c r="W701" s="10"/>
    </row>
    <row r="702" spans="23:23">
      <c r="W702" s="10"/>
    </row>
    <row r="703" spans="23:23">
      <c r="W703" s="10"/>
    </row>
    <row r="704" spans="23:23">
      <c r="W704" s="10"/>
    </row>
    <row r="705" spans="23:23">
      <c r="W705" s="10"/>
    </row>
    <row r="706" spans="23:23">
      <c r="W706" s="10"/>
    </row>
    <row r="707" spans="23:23">
      <c r="W707" s="10"/>
    </row>
    <row r="708" spans="23:23">
      <c r="W708" s="10"/>
    </row>
    <row r="709" spans="23:23">
      <c r="W709" s="10"/>
    </row>
    <row r="710" spans="23:23">
      <c r="W710" s="10"/>
    </row>
    <row r="711" spans="23:23">
      <c r="W711" s="10"/>
    </row>
    <row r="712" spans="23:23">
      <c r="W712" s="10"/>
    </row>
    <row r="713" spans="23:23">
      <c r="W713" s="10"/>
    </row>
    <row r="714" spans="23:23">
      <c r="W714" s="10"/>
    </row>
    <row r="715" spans="23:23">
      <c r="W715" s="10"/>
    </row>
    <row r="716" spans="23:23">
      <c r="W716" s="10"/>
    </row>
    <row r="717" spans="23:23">
      <c r="W717" s="10"/>
    </row>
    <row r="718" spans="23:23">
      <c r="W718" s="10"/>
    </row>
    <row r="719" spans="23:23">
      <c r="W719" s="10"/>
    </row>
    <row r="720" spans="23:23">
      <c r="W720" s="10"/>
    </row>
    <row r="721" spans="23:23">
      <c r="W721" s="10"/>
    </row>
    <row r="722" spans="23:23">
      <c r="W722" s="10"/>
    </row>
    <row r="723" spans="23:23">
      <c r="W723" s="10"/>
    </row>
    <row r="724" spans="23:23">
      <c r="W724" s="10"/>
    </row>
    <row r="725" spans="23:23">
      <c r="W725" s="10"/>
    </row>
    <row r="726" spans="23:23">
      <c r="W726" s="10"/>
    </row>
    <row r="727" spans="23:23">
      <c r="W727" s="10"/>
    </row>
    <row r="728" spans="23:23">
      <c r="W728" s="10"/>
    </row>
    <row r="729" spans="23:23">
      <c r="W729" s="10"/>
    </row>
    <row r="730" spans="23:23">
      <c r="W730" s="10"/>
    </row>
    <row r="731" spans="23:23">
      <c r="W731" s="10"/>
    </row>
    <row r="732" spans="23:23">
      <c r="W732" s="10"/>
    </row>
    <row r="733" spans="23:23">
      <c r="W733" s="10"/>
    </row>
    <row r="734" spans="23:23">
      <c r="W734" s="10"/>
    </row>
    <row r="735" spans="23:23">
      <c r="W735" s="10"/>
    </row>
    <row r="736" spans="23:23">
      <c r="W736" s="10"/>
    </row>
    <row r="737" spans="23:23">
      <c r="W737" s="10"/>
    </row>
    <row r="738" spans="23:23">
      <c r="W738" s="10"/>
    </row>
    <row r="739" spans="23:23">
      <c r="W739" s="10"/>
    </row>
    <row r="740" spans="23:23">
      <c r="W740" s="10"/>
    </row>
    <row r="741" spans="23:23">
      <c r="W741" s="10"/>
    </row>
    <row r="742" spans="23:23">
      <c r="W742" s="10"/>
    </row>
    <row r="743" spans="23:23">
      <c r="W743" s="10"/>
    </row>
    <row r="744" spans="23:23">
      <c r="W744" s="10"/>
    </row>
    <row r="745" spans="23:23">
      <c r="W745" s="10"/>
    </row>
    <row r="746" spans="23:23">
      <c r="W746" s="10"/>
    </row>
    <row r="747" spans="23:23">
      <c r="W747" s="10"/>
    </row>
    <row r="748" spans="23:23">
      <c r="W748" s="10"/>
    </row>
    <row r="749" spans="23:23">
      <c r="W749" s="10"/>
    </row>
    <row r="750" spans="23:23">
      <c r="W750" s="10"/>
    </row>
    <row r="751" spans="23:23">
      <c r="W751" s="10"/>
    </row>
    <row r="752" spans="23:23">
      <c r="W752" s="10"/>
    </row>
    <row r="753" spans="23:23">
      <c r="W753" s="10"/>
    </row>
    <row r="754" spans="23:23">
      <c r="W754" s="10"/>
    </row>
    <row r="755" spans="23:23">
      <c r="W755" s="10"/>
    </row>
    <row r="756" spans="23:23">
      <c r="W756" s="10"/>
    </row>
    <row r="757" spans="23:23">
      <c r="W757" s="10"/>
    </row>
    <row r="758" spans="23:23">
      <c r="W758" s="10"/>
    </row>
    <row r="759" spans="23:23">
      <c r="W759" s="10"/>
    </row>
    <row r="760" spans="23:23">
      <c r="W760" s="10"/>
    </row>
    <row r="761" spans="23:23">
      <c r="W761" s="10"/>
    </row>
    <row r="762" spans="23:23">
      <c r="W762" s="10"/>
    </row>
    <row r="763" spans="23:23">
      <c r="W763" s="10"/>
    </row>
    <row r="764" spans="23:23">
      <c r="W764" s="10"/>
    </row>
    <row r="765" spans="23:23">
      <c r="W765" s="10"/>
    </row>
    <row r="766" spans="23:23">
      <c r="W766" s="10"/>
    </row>
    <row r="767" spans="23:23">
      <c r="W767" s="10"/>
    </row>
    <row r="768" spans="23:23">
      <c r="W768" s="10"/>
    </row>
    <row r="769" spans="23:23">
      <c r="W769" s="10"/>
    </row>
    <row r="770" spans="23:23">
      <c r="W770" s="10"/>
    </row>
    <row r="771" spans="23:23">
      <c r="W771" s="10"/>
    </row>
    <row r="772" spans="23:23">
      <c r="W772" s="10"/>
    </row>
    <row r="773" spans="23:23">
      <c r="W773" s="10"/>
    </row>
    <row r="774" spans="23:23">
      <c r="W774" s="10"/>
    </row>
    <row r="775" spans="23:23">
      <c r="W775" s="10"/>
    </row>
    <row r="776" spans="23:23">
      <c r="W776" s="10"/>
    </row>
    <row r="777" spans="23:23">
      <c r="W777" s="10"/>
    </row>
    <row r="778" spans="23:23">
      <c r="W778" s="10"/>
    </row>
    <row r="779" spans="23:23">
      <c r="W779" s="10"/>
    </row>
    <row r="780" spans="23:23">
      <c r="W780" s="10"/>
    </row>
    <row r="781" spans="23:23">
      <c r="W781" s="10"/>
    </row>
    <row r="782" spans="23:23">
      <c r="W782" s="10"/>
    </row>
    <row r="783" spans="23:23">
      <c r="W783" s="10"/>
    </row>
    <row r="784" spans="23:23">
      <c r="W784" s="10"/>
    </row>
    <row r="785" spans="23:23">
      <c r="W785" s="10"/>
    </row>
    <row r="786" spans="23:23">
      <c r="W786" s="10"/>
    </row>
    <row r="787" spans="23:23">
      <c r="W787" s="10"/>
    </row>
    <row r="788" spans="23:23">
      <c r="W788" s="10"/>
    </row>
    <row r="789" spans="23:23">
      <c r="W789" s="10"/>
    </row>
    <row r="790" spans="23:23">
      <c r="W790" s="10"/>
    </row>
    <row r="791" spans="23:23">
      <c r="W791" s="10"/>
    </row>
    <row r="792" spans="23:23">
      <c r="W792" s="10"/>
    </row>
    <row r="793" spans="23:23">
      <c r="W793" s="10"/>
    </row>
    <row r="794" spans="23:23">
      <c r="W794" s="10"/>
    </row>
    <row r="795" spans="23:23">
      <c r="W795" s="10"/>
    </row>
    <row r="796" spans="23:23">
      <c r="W796" s="10"/>
    </row>
    <row r="797" spans="23:23">
      <c r="W797" s="10"/>
    </row>
    <row r="798" spans="23:23">
      <c r="W798" s="10"/>
    </row>
    <row r="799" spans="23:23">
      <c r="W799" s="10"/>
    </row>
    <row r="800" spans="23:23">
      <c r="W800" s="10"/>
    </row>
    <row r="801" spans="23:23">
      <c r="W801" s="10"/>
    </row>
    <row r="802" spans="23:23">
      <c r="W802" s="10"/>
    </row>
    <row r="803" spans="23:23">
      <c r="W803" s="10"/>
    </row>
    <row r="804" spans="23:23">
      <c r="W804" s="10"/>
    </row>
    <row r="805" spans="23:23">
      <c r="W805" s="10"/>
    </row>
    <row r="806" spans="23:23">
      <c r="W806" s="10"/>
    </row>
    <row r="807" spans="23:23">
      <c r="W807" s="10"/>
    </row>
    <row r="808" spans="23:23">
      <c r="W808" s="10"/>
    </row>
    <row r="809" spans="23:23">
      <c r="W809" s="10"/>
    </row>
    <row r="810" spans="23:23">
      <c r="W810" s="10"/>
    </row>
    <row r="811" spans="23:23">
      <c r="W811" s="10"/>
    </row>
    <row r="812" spans="23:23">
      <c r="W812" s="10"/>
    </row>
    <row r="813" spans="23:23">
      <c r="W813" s="10"/>
    </row>
    <row r="814" spans="23:23">
      <c r="W814" s="10"/>
    </row>
    <row r="815" spans="23:23">
      <c r="W815" s="10"/>
    </row>
    <row r="816" spans="23:23">
      <c r="W816" s="10"/>
    </row>
    <row r="817" spans="23:23">
      <c r="W817" s="10"/>
    </row>
    <row r="818" spans="23:23">
      <c r="W818" s="10"/>
    </row>
    <row r="819" spans="23:23">
      <c r="W819" s="10"/>
    </row>
    <row r="820" spans="23:23">
      <c r="W820" s="10"/>
    </row>
    <row r="821" spans="23:23">
      <c r="W821" s="10"/>
    </row>
    <row r="822" spans="23:23">
      <c r="W822" s="10"/>
    </row>
    <row r="823" spans="23:23">
      <c r="W823" s="10"/>
    </row>
    <row r="824" spans="23:23">
      <c r="W824" s="10"/>
    </row>
    <row r="825" spans="23:23">
      <c r="W825" s="10"/>
    </row>
    <row r="826" spans="23:23">
      <c r="W826" s="10"/>
    </row>
    <row r="827" spans="23:23">
      <c r="W827" s="10"/>
    </row>
    <row r="828" spans="23:23">
      <c r="W828" s="10"/>
    </row>
    <row r="829" spans="23:23">
      <c r="W829" s="10"/>
    </row>
    <row r="830" spans="23:23">
      <c r="W830" s="10"/>
    </row>
    <row r="831" spans="23:23">
      <c r="W831" s="10"/>
    </row>
    <row r="832" spans="23:23">
      <c r="W832" s="10"/>
    </row>
    <row r="833" spans="23:23">
      <c r="W833" s="10"/>
    </row>
    <row r="834" spans="23:23">
      <c r="W834" s="10"/>
    </row>
    <row r="835" spans="23:23">
      <c r="W835" s="10"/>
    </row>
    <row r="836" spans="23:23">
      <c r="W836" s="10"/>
    </row>
    <row r="837" spans="23:23">
      <c r="W837" s="10"/>
    </row>
    <row r="838" spans="23:23">
      <c r="W838" s="10"/>
    </row>
    <row r="839" spans="23:23">
      <c r="W839" s="10"/>
    </row>
    <row r="840" spans="23:23">
      <c r="W840" s="10"/>
    </row>
    <row r="841" spans="23:23">
      <c r="W841" s="10"/>
    </row>
    <row r="842" spans="23:23">
      <c r="W842" s="10"/>
    </row>
    <row r="843" spans="23:23">
      <c r="W843" s="10"/>
    </row>
    <row r="844" spans="23:23">
      <c r="W844" s="10"/>
    </row>
    <row r="845" spans="23:23">
      <c r="W845" s="10"/>
    </row>
    <row r="846" spans="23:23">
      <c r="W846" s="10"/>
    </row>
    <row r="847" spans="23:23">
      <c r="W847" s="10"/>
    </row>
    <row r="848" spans="23:23">
      <c r="W848" s="10"/>
    </row>
    <row r="849" spans="23:23">
      <c r="W849" s="10"/>
    </row>
    <row r="850" spans="23:23">
      <c r="W850" s="10"/>
    </row>
    <row r="851" spans="23:23">
      <c r="W851" s="10"/>
    </row>
    <row r="852" spans="23:23">
      <c r="W852" s="10"/>
    </row>
    <row r="853" spans="23:23">
      <c r="W853" s="10"/>
    </row>
    <row r="854" spans="23:23">
      <c r="W854" s="10"/>
    </row>
    <row r="855" spans="23:23">
      <c r="W855" s="10"/>
    </row>
    <row r="856" spans="23:23">
      <c r="W856" s="10"/>
    </row>
    <row r="857" spans="23:23">
      <c r="W857" s="10"/>
    </row>
    <row r="858" spans="23:23">
      <c r="W858" s="10"/>
    </row>
    <row r="859" spans="23:23">
      <c r="W859" s="10"/>
    </row>
    <row r="860" spans="23:23">
      <c r="W860" s="10"/>
    </row>
    <row r="861" spans="23:23">
      <c r="W861" s="10"/>
    </row>
    <row r="862" spans="23:23">
      <c r="W862" s="10"/>
    </row>
    <row r="863" spans="23:23">
      <c r="W863" s="10"/>
    </row>
    <row r="864" spans="23:23">
      <c r="W864" s="10"/>
    </row>
    <row r="865" spans="23:23">
      <c r="W865" s="10"/>
    </row>
    <row r="866" spans="23:23">
      <c r="W866" s="10"/>
    </row>
    <row r="867" spans="23:23">
      <c r="W867" s="10"/>
    </row>
    <row r="868" spans="23:23">
      <c r="W868" s="10"/>
    </row>
    <row r="869" spans="23:23">
      <c r="W869" s="10"/>
    </row>
    <row r="870" spans="23:23">
      <c r="W870" s="10"/>
    </row>
    <row r="871" spans="23:23">
      <c r="W871" s="10"/>
    </row>
    <row r="872" spans="23:23">
      <c r="W872" s="10"/>
    </row>
    <row r="873" spans="23:23">
      <c r="W873" s="10"/>
    </row>
    <row r="874" spans="23:23">
      <c r="W874" s="10"/>
    </row>
    <row r="875" spans="23:23">
      <c r="W875" s="10"/>
    </row>
    <row r="876" spans="23:23">
      <c r="W876" s="10"/>
    </row>
    <row r="877" spans="23:23">
      <c r="W877" s="10"/>
    </row>
    <row r="878" spans="23:23">
      <c r="W878" s="10"/>
    </row>
    <row r="879" spans="23:23">
      <c r="W879" s="10"/>
    </row>
    <row r="880" spans="23:23">
      <c r="W880" s="10"/>
    </row>
    <row r="881" spans="23:23">
      <c r="W881" s="10"/>
    </row>
    <row r="882" spans="23:23">
      <c r="W882" s="10"/>
    </row>
    <row r="883" spans="23:23">
      <c r="W883" s="10"/>
    </row>
    <row r="884" spans="23:23">
      <c r="W884" s="10"/>
    </row>
    <row r="885" spans="23:23">
      <c r="W885" s="10"/>
    </row>
    <row r="886" spans="23:23">
      <c r="W886" s="10"/>
    </row>
    <row r="887" spans="23:23">
      <c r="W887" s="10"/>
    </row>
    <row r="888" spans="23:23">
      <c r="W888" s="10"/>
    </row>
    <row r="889" spans="23:23">
      <c r="W889" s="10"/>
    </row>
    <row r="890" spans="23:23">
      <c r="W890" s="10"/>
    </row>
    <row r="891" spans="23:23">
      <c r="W891" s="10"/>
    </row>
    <row r="892" spans="23:23">
      <c r="W892" s="10"/>
    </row>
    <row r="893" spans="23:23">
      <c r="W893" s="10"/>
    </row>
    <row r="894" spans="23:23">
      <c r="W894" s="10"/>
    </row>
    <row r="895" spans="23:23">
      <c r="W895" s="10"/>
    </row>
    <row r="896" spans="23:23">
      <c r="W896" s="10"/>
    </row>
    <row r="897" spans="23:23">
      <c r="W897" s="10"/>
    </row>
    <row r="898" spans="23:23">
      <c r="W898" s="10"/>
    </row>
    <row r="899" spans="23:23">
      <c r="W899" s="10"/>
    </row>
    <row r="900" spans="23:23">
      <c r="W900" s="10"/>
    </row>
    <row r="901" spans="23:23">
      <c r="W901" s="10"/>
    </row>
    <row r="902" spans="23:23">
      <c r="W902" s="10"/>
    </row>
    <row r="903" spans="23:23">
      <c r="W903" s="10"/>
    </row>
    <row r="904" spans="23:23">
      <c r="W904" s="10"/>
    </row>
    <row r="905" spans="23:23">
      <c r="W905" s="10"/>
    </row>
    <row r="906" spans="23:23">
      <c r="W906" s="10"/>
    </row>
    <row r="907" spans="23:23">
      <c r="W907" s="10"/>
    </row>
    <row r="908" spans="23:23">
      <c r="W908" s="10"/>
    </row>
    <row r="909" spans="23:23">
      <c r="W909" s="10"/>
    </row>
    <row r="910" spans="23:23">
      <c r="W910" s="10"/>
    </row>
    <row r="911" spans="23:23">
      <c r="W911" s="10"/>
    </row>
    <row r="912" spans="23:23">
      <c r="W912" s="10"/>
    </row>
    <row r="913" spans="23:23">
      <c r="W913" s="10"/>
    </row>
    <row r="914" spans="23:23">
      <c r="W914" s="10"/>
    </row>
    <row r="915" spans="23:23">
      <c r="W915" s="10"/>
    </row>
    <row r="916" spans="23:23">
      <c r="W916" s="10"/>
    </row>
    <row r="917" spans="23:23">
      <c r="W917" s="10"/>
    </row>
    <row r="918" spans="23:23">
      <c r="W918" s="10"/>
    </row>
    <row r="919" spans="23:23">
      <c r="W919" s="10"/>
    </row>
    <row r="920" spans="23:23">
      <c r="W920" s="10"/>
    </row>
    <row r="921" spans="23:23">
      <c r="W921" s="10"/>
    </row>
    <row r="922" spans="23:23">
      <c r="W922" s="10"/>
    </row>
    <row r="923" spans="23:23">
      <c r="W923" s="10"/>
    </row>
    <row r="924" spans="23:23">
      <c r="W924" s="10"/>
    </row>
    <row r="925" spans="23:23">
      <c r="W925" s="10"/>
    </row>
    <row r="926" spans="23:23">
      <c r="W926" s="10"/>
    </row>
    <row r="927" spans="23:23">
      <c r="W927" s="10"/>
    </row>
    <row r="928" spans="23:23">
      <c r="W928" s="10"/>
    </row>
    <row r="929" spans="23:23">
      <c r="W929" s="10"/>
    </row>
    <row r="930" spans="23:23">
      <c r="W930" s="10"/>
    </row>
    <row r="931" spans="23:23">
      <c r="W931" s="10"/>
    </row>
    <row r="932" spans="23:23">
      <c r="W932" s="10"/>
    </row>
    <row r="933" spans="23:23">
      <c r="W933" s="10"/>
    </row>
    <row r="934" spans="23:23">
      <c r="W934" s="10"/>
    </row>
    <row r="935" spans="23:23">
      <c r="W935" s="10"/>
    </row>
    <row r="936" spans="23:23">
      <c r="W936" s="10"/>
    </row>
    <row r="937" spans="23:23">
      <c r="W937" s="10"/>
    </row>
    <row r="938" spans="23:23">
      <c r="W938" s="10"/>
    </row>
    <row r="939" spans="23:23">
      <c r="W939" s="10"/>
    </row>
    <row r="940" spans="23:23">
      <c r="W940" s="10"/>
    </row>
    <row r="941" spans="23:23">
      <c r="W941" s="10"/>
    </row>
    <row r="942" spans="23:23">
      <c r="W942" s="10"/>
    </row>
    <row r="943" spans="23:23">
      <c r="W943" s="10"/>
    </row>
    <row r="944" spans="23:23">
      <c r="W944" s="10"/>
    </row>
    <row r="945" spans="23:23">
      <c r="W945" s="10"/>
    </row>
    <row r="946" spans="23:23">
      <c r="W946" s="10"/>
    </row>
    <row r="947" spans="23:23">
      <c r="W947" s="10"/>
    </row>
    <row r="948" spans="23:23">
      <c r="W948" s="10"/>
    </row>
    <row r="949" spans="23:23">
      <c r="W949" s="10"/>
    </row>
    <row r="950" spans="23:23">
      <c r="W950" s="10"/>
    </row>
    <row r="951" spans="23:23">
      <c r="W951" s="10"/>
    </row>
    <row r="952" spans="23:23">
      <c r="W952" s="10"/>
    </row>
    <row r="953" spans="23:23">
      <c r="W953" s="10"/>
    </row>
    <row r="954" spans="23:23">
      <c r="W954" s="10"/>
    </row>
    <row r="955" spans="23:23">
      <c r="W955" s="10"/>
    </row>
    <row r="956" spans="23:23">
      <c r="W956" s="10"/>
    </row>
    <row r="957" spans="23:23">
      <c r="W957" s="10"/>
    </row>
    <row r="958" spans="23:23">
      <c r="W958" s="10"/>
    </row>
    <row r="959" spans="23:23">
      <c r="W959" s="10"/>
    </row>
    <row r="960" spans="23:23">
      <c r="W960" s="10"/>
    </row>
    <row r="961" spans="23:23">
      <c r="W961" s="10"/>
    </row>
    <row r="962" spans="23:23">
      <c r="W962" s="10"/>
    </row>
    <row r="963" spans="23:23">
      <c r="W963" s="10"/>
    </row>
    <row r="964" spans="23:23">
      <c r="W964" s="10"/>
    </row>
    <row r="965" spans="23:23">
      <c r="W965" s="10"/>
    </row>
    <row r="966" spans="23:23">
      <c r="W966" s="10"/>
    </row>
    <row r="967" spans="23:23">
      <c r="W967" s="10"/>
    </row>
    <row r="968" spans="23:23">
      <c r="W968" s="10"/>
    </row>
    <row r="969" spans="23:23">
      <c r="W969" s="10"/>
    </row>
    <row r="970" spans="23:23">
      <c r="W970" s="10"/>
    </row>
    <row r="971" spans="23:23">
      <c r="W971" s="10"/>
    </row>
    <row r="972" spans="23:23">
      <c r="W972" s="10"/>
    </row>
    <row r="973" spans="23:23">
      <c r="W973" s="10"/>
    </row>
    <row r="974" spans="23:23">
      <c r="W974" s="10"/>
    </row>
    <row r="975" spans="23:23">
      <c r="W975" s="10"/>
    </row>
    <row r="976" spans="23:23">
      <c r="W976" s="10"/>
    </row>
    <row r="977" spans="23:23">
      <c r="W977" s="10"/>
    </row>
    <row r="978" spans="23:23">
      <c r="W978" s="10"/>
    </row>
    <row r="979" spans="23:23">
      <c r="W979" s="10"/>
    </row>
    <row r="980" spans="23:23">
      <c r="W980" s="10"/>
    </row>
    <row r="981" spans="23:23">
      <c r="W981" s="10"/>
    </row>
    <row r="982" spans="23:23">
      <c r="W982" s="10"/>
    </row>
    <row r="983" spans="23:23">
      <c r="W983" s="10"/>
    </row>
    <row r="984" spans="23:23">
      <c r="W984" s="10"/>
    </row>
    <row r="985" spans="23:23">
      <c r="W985" s="10"/>
    </row>
    <row r="986" spans="23:23">
      <c r="W986" s="10"/>
    </row>
    <row r="987" spans="23:23">
      <c r="W987" s="10"/>
    </row>
    <row r="988" spans="23:23">
      <c r="W988" s="10"/>
    </row>
    <row r="989" spans="23:23">
      <c r="W989" s="10"/>
    </row>
    <row r="990" spans="23:23">
      <c r="W990" s="10"/>
    </row>
    <row r="991" spans="23:23">
      <c r="W991" s="10"/>
    </row>
    <row r="992" spans="23:23">
      <c r="W992" s="10"/>
    </row>
    <row r="993" spans="23:23">
      <c r="W993" s="10"/>
    </row>
    <row r="994" spans="23:23">
      <c r="W994" s="10"/>
    </row>
  </sheetData>
  <conditionalFormatting sqref="S170:S1048576">
    <cfRule type="cellIs" dxfId="9" priority="1" operator="equal">
      <formula>"ASSEGNATO"</formula>
    </cfRule>
    <cfRule type="cellIs" dxfId="8" priority="2" operator="equal">
      <formula>"DISPONIBILE"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tabColor rgb="FF00B050"/>
  </sheetPr>
  <dimension ref="A1:U1048520"/>
  <sheetViews>
    <sheetView zoomScale="115" zoomScaleNormal="115" workbookViewId="0">
      <pane ySplit="1" topLeftCell="A2" activePane="bottomLeft" state="frozen"/>
      <selection pane="bottomLeft" activeCell="G474" sqref="A1:T474"/>
    </sheetView>
  </sheetViews>
  <sheetFormatPr baseColWidth="10" defaultColWidth="8.83203125" defaultRowHeight="15"/>
  <cols>
    <col min="1" max="1" width="15.1640625" style="17" customWidth="1"/>
    <col min="2" max="2" width="11.83203125" style="17" bestFit="1" customWidth="1"/>
    <col min="3" max="3" width="11.83203125" style="11" bestFit="1" customWidth="1"/>
    <col min="4" max="4" width="7.5" style="9" bestFit="1" customWidth="1"/>
    <col min="5" max="5" width="5.6640625" style="9" bestFit="1" customWidth="1"/>
    <col min="6" max="6" width="12.6640625" style="7" bestFit="1" customWidth="1"/>
    <col min="7" max="7" width="15.5" style="8" bestFit="1" customWidth="1"/>
    <col min="8" max="8" width="14.6640625" style="113" bestFit="1" customWidth="1"/>
    <col min="9" max="9" width="17.6640625" style="3" bestFit="1" customWidth="1"/>
    <col min="10" max="10" width="12.83203125" style="3" bestFit="1" customWidth="1"/>
    <col min="11" max="11" width="16.5" style="3" bestFit="1" customWidth="1"/>
    <col min="12" max="12" width="11.33203125" style="45" bestFit="1" customWidth="1"/>
    <col min="13" max="13" width="8.83203125" style="107" bestFit="1" customWidth="1"/>
    <col min="14" max="14" width="10.5" style="9" bestFit="1" customWidth="1"/>
    <col min="15" max="15" width="8.33203125" style="9" bestFit="1" customWidth="1"/>
    <col min="16" max="18" width="7.33203125" style="9" bestFit="1" customWidth="1"/>
    <col min="19" max="19" width="7.33203125" style="80" bestFit="1" customWidth="1"/>
    <col min="20" max="20" width="12.5" style="28" bestFit="1" customWidth="1"/>
    <col min="21" max="21" width="9.1640625" style="27"/>
  </cols>
  <sheetData>
    <row r="1" spans="1:21" s="102" customFormat="1">
      <c r="A1" s="99"/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100"/>
      <c r="T1" s="99"/>
      <c r="U1" s="101"/>
    </row>
    <row r="2" spans="1:21">
      <c r="B2" s="18"/>
      <c r="C2" s="18"/>
      <c r="D2" s="16"/>
      <c r="E2" s="6"/>
      <c r="G2" s="9"/>
      <c r="H2" s="9"/>
      <c r="K2" s="36"/>
      <c r="M2" s="104"/>
      <c r="N2" s="4"/>
      <c r="O2" s="25"/>
      <c r="P2" s="25"/>
      <c r="Q2" s="25"/>
      <c r="R2" s="25"/>
      <c r="S2" s="77"/>
    </row>
    <row r="3" spans="1:21">
      <c r="B3" s="18"/>
      <c r="C3" s="18"/>
      <c r="D3" s="16"/>
      <c r="E3" s="6"/>
      <c r="G3" s="9"/>
      <c r="H3" s="9"/>
      <c r="K3" s="36"/>
      <c r="M3" s="104"/>
      <c r="N3" s="4"/>
      <c r="O3" s="25"/>
      <c r="P3" s="25"/>
      <c r="Q3" s="25"/>
      <c r="R3" s="25"/>
      <c r="S3" s="77"/>
    </row>
    <row r="4" spans="1:21">
      <c r="B4" s="18"/>
      <c r="C4" s="18"/>
      <c r="D4" s="16"/>
      <c r="E4" s="6"/>
      <c r="G4" s="9"/>
      <c r="H4" s="9"/>
      <c r="K4" s="36"/>
      <c r="M4" s="104"/>
      <c r="N4" s="4"/>
      <c r="O4" s="25"/>
      <c r="P4" s="25"/>
      <c r="Q4" s="25"/>
      <c r="R4" s="25"/>
      <c r="S4" s="77"/>
    </row>
    <row r="5" spans="1:21">
      <c r="B5" s="18"/>
      <c r="C5" s="18"/>
      <c r="D5" s="16"/>
      <c r="E5" s="6"/>
      <c r="F5" s="9"/>
      <c r="G5" s="9"/>
      <c r="H5" s="9"/>
      <c r="K5" s="36"/>
      <c r="M5" s="104"/>
      <c r="N5" s="4"/>
      <c r="O5" s="25"/>
      <c r="P5" s="25"/>
      <c r="Q5" s="25"/>
      <c r="R5" s="25"/>
      <c r="S5" s="77"/>
    </row>
    <row r="6" spans="1:21">
      <c r="B6" s="18"/>
      <c r="C6" s="18"/>
      <c r="D6" s="16"/>
      <c r="E6" s="6"/>
      <c r="F6" s="9"/>
      <c r="G6" s="9"/>
      <c r="H6" s="9"/>
      <c r="K6" s="36"/>
      <c r="M6" s="104"/>
      <c r="N6" s="4"/>
      <c r="O6" s="25"/>
      <c r="P6" s="25"/>
      <c r="Q6" s="25"/>
      <c r="R6" s="25"/>
      <c r="S6" s="77"/>
    </row>
    <row r="7" spans="1:21">
      <c r="B7" s="18"/>
      <c r="C7" s="18"/>
      <c r="D7" s="16"/>
      <c r="E7" s="6"/>
      <c r="G7" s="9"/>
      <c r="H7" s="9"/>
      <c r="K7" s="36"/>
      <c r="M7" s="104"/>
      <c r="N7" s="4"/>
      <c r="O7" s="25"/>
      <c r="P7" s="25"/>
      <c r="Q7" s="25"/>
      <c r="R7" s="25"/>
      <c r="S7" s="77"/>
    </row>
    <row r="8" spans="1:21">
      <c r="B8" s="18"/>
      <c r="C8" s="18"/>
      <c r="D8" s="16"/>
      <c r="E8" s="6"/>
      <c r="G8" s="9"/>
      <c r="H8" s="9"/>
      <c r="K8" s="36"/>
      <c r="M8" s="104"/>
      <c r="N8" s="4"/>
      <c r="O8" s="25"/>
      <c r="P8" s="25"/>
      <c r="Q8" s="25"/>
      <c r="R8" s="25"/>
      <c r="S8" s="77"/>
    </row>
    <row r="9" spans="1:21">
      <c r="B9" s="18"/>
      <c r="C9" s="18"/>
      <c r="D9" s="16"/>
      <c r="E9" s="6"/>
      <c r="G9" s="9"/>
      <c r="H9" s="9"/>
      <c r="K9" s="36"/>
      <c r="M9" s="104"/>
      <c r="N9" s="4"/>
      <c r="O9" s="25"/>
      <c r="P9" s="25"/>
      <c r="Q9" s="25"/>
      <c r="R9" s="25"/>
      <c r="S9" s="77"/>
    </row>
    <row r="10" spans="1:21">
      <c r="B10" s="18"/>
      <c r="C10" s="18"/>
      <c r="D10" s="16"/>
      <c r="E10" s="6"/>
      <c r="G10" s="9"/>
      <c r="H10" s="9"/>
      <c r="K10" s="36"/>
      <c r="M10" s="104"/>
      <c r="N10" s="4"/>
      <c r="O10" s="25"/>
      <c r="P10" s="25"/>
      <c r="Q10" s="25"/>
      <c r="R10" s="25"/>
      <c r="S10" s="77"/>
    </row>
    <row r="11" spans="1:21">
      <c r="B11" s="18"/>
      <c r="C11" s="18"/>
      <c r="D11" s="16"/>
      <c r="E11" s="6"/>
      <c r="G11" s="9"/>
      <c r="H11" s="9"/>
      <c r="K11" s="36"/>
      <c r="M11" s="104"/>
      <c r="N11" s="4"/>
      <c r="O11" s="25"/>
      <c r="P11" s="25"/>
      <c r="Q11" s="25"/>
      <c r="R11" s="25"/>
      <c r="S11" s="77"/>
    </row>
    <row r="12" spans="1:21">
      <c r="B12" s="18"/>
      <c r="C12" s="18"/>
      <c r="D12" s="16"/>
      <c r="E12" s="6"/>
      <c r="G12" s="9"/>
      <c r="H12" s="9"/>
      <c r="K12" s="36"/>
      <c r="M12" s="104"/>
      <c r="N12" s="4"/>
      <c r="O12" s="25"/>
      <c r="P12" s="25"/>
      <c r="Q12" s="25"/>
      <c r="R12" s="25"/>
      <c r="S12" s="77"/>
    </row>
    <row r="13" spans="1:21">
      <c r="B13" s="18"/>
      <c r="C13" s="18"/>
      <c r="D13" s="16"/>
      <c r="E13" s="6"/>
      <c r="G13" s="9"/>
      <c r="H13" s="9"/>
      <c r="K13" s="36"/>
      <c r="M13" s="104"/>
      <c r="N13" s="4"/>
      <c r="O13" s="25"/>
      <c r="P13" s="25"/>
      <c r="Q13" s="25"/>
      <c r="R13" s="25"/>
      <c r="S13" s="77"/>
    </row>
    <row r="14" spans="1:21">
      <c r="B14" s="18"/>
      <c r="C14" s="18"/>
      <c r="D14" s="16"/>
      <c r="E14" s="6"/>
      <c r="G14" s="9"/>
      <c r="H14" s="9"/>
      <c r="K14" s="36"/>
      <c r="M14" s="104"/>
      <c r="N14" s="4"/>
      <c r="O14" s="25"/>
      <c r="P14" s="25"/>
      <c r="Q14" s="25"/>
      <c r="R14" s="25"/>
      <c r="S14" s="77"/>
    </row>
    <row r="15" spans="1:21">
      <c r="B15" s="18"/>
      <c r="C15" s="18"/>
      <c r="D15" s="16"/>
      <c r="E15" s="6"/>
      <c r="G15" s="9"/>
      <c r="H15" s="9"/>
      <c r="K15" s="36"/>
      <c r="M15" s="105"/>
      <c r="N15" s="4"/>
      <c r="O15" s="25"/>
      <c r="P15" s="25"/>
      <c r="Q15" s="25"/>
      <c r="R15" s="25"/>
      <c r="S15" s="77"/>
    </row>
    <row r="16" spans="1:21">
      <c r="B16" s="18"/>
      <c r="C16" s="18"/>
      <c r="D16" s="16"/>
      <c r="E16" s="6"/>
      <c r="G16" s="9"/>
      <c r="H16" s="9"/>
      <c r="K16" s="36"/>
      <c r="M16" s="105"/>
      <c r="N16" s="4"/>
      <c r="O16" s="25"/>
      <c r="P16" s="25"/>
      <c r="Q16" s="25"/>
      <c r="R16" s="25"/>
      <c r="S16" s="77"/>
    </row>
    <row r="17" spans="2:19">
      <c r="B17" s="18"/>
      <c r="C17" s="18"/>
      <c r="D17" s="16"/>
      <c r="E17" s="6"/>
      <c r="G17" s="9"/>
      <c r="H17" s="9"/>
      <c r="K17" s="36"/>
      <c r="M17" s="105"/>
      <c r="N17" s="4"/>
      <c r="O17" s="25"/>
      <c r="P17" s="25"/>
      <c r="Q17" s="25"/>
      <c r="R17" s="25"/>
      <c r="S17" s="77"/>
    </row>
    <row r="18" spans="2:19">
      <c r="B18" s="18"/>
      <c r="C18" s="18"/>
      <c r="D18" s="16"/>
      <c r="E18" s="6"/>
      <c r="G18" s="9"/>
      <c r="H18" s="9"/>
      <c r="K18" s="36"/>
      <c r="M18" s="104"/>
      <c r="N18" s="4"/>
      <c r="O18" s="25"/>
      <c r="P18" s="25"/>
      <c r="Q18" s="25"/>
      <c r="R18" s="25"/>
      <c r="S18" s="77"/>
    </row>
    <row r="19" spans="2:19">
      <c r="B19" s="18"/>
      <c r="C19" s="18"/>
      <c r="D19" s="16"/>
      <c r="E19" s="6"/>
      <c r="G19" s="9"/>
      <c r="H19" s="9"/>
      <c r="K19" s="36"/>
      <c r="M19" s="104"/>
      <c r="N19" s="4"/>
      <c r="O19" s="25"/>
      <c r="P19" s="25"/>
      <c r="Q19" s="25"/>
      <c r="R19" s="25"/>
      <c r="S19" s="77"/>
    </row>
    <row r="20" spans="2:19">
      <c r="B20" s="18"/>
      <c r="C20" s="18"/>
      <c r="D20" s="16"/>
      <c r="E20" s="6"/>
      <c r="G20" s="9"/>
      <c r="H20" s="9"/>
      <c r="K20" s="36"/>
      <c r="M20" s="104"/>
      <c r="N20" s="4"/>
      <c r="O20" s="25"/>
      <c r="P20" s="25"/>
      <c r="Q20" s="25"/>
      <c r="R20" s="25"/>
      <c r="S20" s="77"/>
    </row>
    <row r="21" spans="2:19">
      <c r="B21" s="18"/>
      <c r="C21" s="18"/>
      <c r="D21" s="16"/>
      <c r="E21" s="6"/>
      <c r="G21" s="9"/>
      <c r="H21" s="9"/>
      <c r="K21" s="36"/>
      <c r="M21" s="104"/>
      <c r="N21" s="4"/>
      <c r="O21" s="25"/>
      <c r="P21" s="25"/>
      <c r="Q21" s="25"/>
      <c r="R21" s="25"/>
      <c r="S21" s="77"/>
    </row>
    <row r="22" spans="2:19">
      <c r="B22" s="18"/>
      <c r="C22" s="18"/>
      <c r="D22" s="16"/>
      <c r="E22" s="6"/>
      <c r="G22" s="9"/>
      <c r="H22" s="9"/>
      <c r="K22" s="36"/>
      <c r="M22" s="104"/>
      <c r="N22" s="4"/>
      <c r="O22" s="25"/>
      <c r="P22" s="25"/>
      <c r="Q22" s="25"/>
      <c r="R22" s="25"/>
      <c r="S22" s="77"/>
    </row>
    <row r="23" spans="2:19">
      <c r="B23" s="18"/>
      <c r="C23" s="18"/>
      <c r="D23" s="16"/>
      <c r="E23" s="6"/>
      <c r="G23" s="9"/>
      <c r="H23" s="9"/>
      <c r="K23" s="36"/>
      <c r="M23" s="104"/>
      <c r="N23" s="4"/>
      <c r="O23" s="25"/>
      <c r="P23" s="25"/>
      <c r="Q23" s="25"/>
      <c r="R23" s="25"/>
      <c r="S23" s="77"/>
    </row>
    <row r="24" spans="2:19">
      <c r="B24" s="18"/>
      <c r="C24" s="18"/>
      <c r="D24" s="16"/>
      <c r="E24" s="6"/>
      <c r="G24" s="9"/>
      <c r="H24" s="9"/>
      <c r="K24" s="36"/>
      <c r="M24" s="104"/>
      <c r="N24" s="4"/>
      <c r="O24" s="25"/>
      <c r="P24" s="25"/>
      <c r="Q24" s="25"/>
      <c r="R24" s="25"/>
      <c r="S24" s="77"/>
    </row>
    <row r="25" spans="2:19">
      <c r="B25" s="18"/>
      <c r="C25" s="18"/>
      <c r="D25" s="16"/>
      <c r="E25" s="6"/>
      <c r="G25" s="9"/>
      <c r="H25" s="9"/>
      <c r="K25" s="36"/>
      <c r="M25" s="104"/>
      <c r="N25" s="4"/>
      <c r="O25" s="25"/>
      <c r="P25" s="25"/>
      <c r="Q25" s="25"/>
      <c r="R25" s="25"/>
      <c r="S25" s="77"/>
    </row>
    <row r="26" spans="2:19">
      <c r="B26" s="18"/>
      <c r="C26" s="18"/>
      <c r="D26" s="16"/>
      <c r="E26" s="6"/>
      <c r="G26" s="9"/>
      <c r="H26" s="9"/>
      <c r="K26" s="36"/>
      <c r="M26" s="104"/>
      <c r="N26" s="4"/>
      <c r="O26" s="25"/>
      <c r="P26" s="25"/>
      <c r="Q26" s="25"/>
      <c r="R26" s="25"/>
      <c r="S26" s="77"/>
    </row>
    <row r="27" spans="2:19">
      <c r="B27" s="18"/>
      <c r="C27" s="18"/>
      <c r="D27" s="16"/>
      <c r="E27" s="6"/>
      <c r="G27" s="9"/>
      <c r="H27" s="9"/>
      <c r="K27" s="36"/>
      <c r="M27" s="104"/>
      <c r="N27" s="4"/>
      <c r="O27" s="25"/>
      <c r="P27" s="25"/>
      <c r="Q27" s="25"/>
      <c r="R27" s="25"/>
      <c r="S27" s="77"/>
    </row>
    <row r="28" spans="2:19">
      <c r="B28" s="18"/>
      <c r="C28" s="18"/>
      <c r="D28" s="16"/>
      <c r="E28" s="6"/>
      <c r="G28" s="9"/>
      <c r="H28" s="9"/>
      <c r="K28" s="36"/>
      <c r="M28" s="104"/>
      <c r="N28" s="4"/>
      <c r="O28" s="25"/>
      <c r="P28" s="25"/>
      <c r="Q28" s="25"/>
      <c r="R28" s="25"/>
      <c r="S28" s="77"/>
    </row>
    <row r="29" spans="2:19">
      <c r="B29" s="18"/>
      <c r="C29" s="18"/>
      <c r="D29" s="16"/>
      <c r="E29" s="6"/>
      <c r="G29" s="9"/>
      <c r="H29" s="9"/>
      <c r="K29" s="36"/>
      <c r="M29" s="104"/>
      <c r="N29" s="4"/>
      <c r="O29" s="25"/>
      <c r="P29" s="25"/>
      <c r="Q29" s="25"/>
      <c r="R29" s="25"/>
      <c r="S29" s="77"/>
    </row>
    <row r="30" spans="2:19">
      <c r="B30" s="18"/>
      <c r="C30" s="18"/>
      <c r="D30" s="16"/>
      <c r="E30" s="6"/>
      <c r="G30" s="9"/>
      <c r="H30" s="9"/>
      <c r="K30" s="36"/>
      <c r="M30" s="104"/>
      <c r="N30" s="4"/>
      <c r="O30" s="25"/>
      <c r="P30" s="25"/>
      <c r="Q30" s="25"/>
      <c r="R30" s="25"/>
      <c r="S30" s="77"/>
    </row>
    <row r="31" spans="2:19">
      <c r="B31" s="18"/>
      <c r="C31" s="18"/>
      <c r="D31" s="16"/>
      <c r="E31" s="6"/>
      <c r="G31" s="9"/>
      <c r="H31" s="9"/>
      <c r="K31" s="36"/>
      <c r="M31" s="104"/>
      <c r="N31" s="4"/>
      <c r="O31" s="25"/>
      <c r="P31" s="25"/>
      <c r="Q31" s="25"/>
      <c r="R31" s="25"/>
      <c r="S31" s="77"/>
    </row>
    <row r="32" spans="2:19">
      <c r="B32" s="18"/>
      <c r="C32" s="18"/>
      <c r="D32" s="16"/>
      <c r="E32" s="6"/>
      <c r="G32" s="9"/>
      <c r="H32" s="9"/>
      <c r="K32" s="36"/>
      <c r="M32" s="104"/>
      <c r="N32" s="4"/>
      <c r="O32" s="25"/>
      <c r="P32" s="25"/>
      <c r="Q32" s="25"/>
      <c r="R32" s="25"/>
      <c r="S32" s="77"/>
    </row>
    <row r="33" spans="2:19">
      <c r="B33" s="18"/>
      <c r="C33" s="18"/>
      <c r="D33" s="16"/>
      <c r="E33" s="6"/>
      <c r="G33" s="9"/>
      <c r="H33" s="9"/>
      <c r="K33" s="36"/>
      <c r="M33" s="104"/>
      <c r="N33" s="4"/>
      <c r="O33" s="25"/>
      <c r="P33" s="25"/>
      <c r="Q33" s="25"/>
      <c r="R33" s="25"/>
      <c r="S33" s="77"/>
    </row>
    <row r="34" spans="2:19">
      <c r="B34" s="18"/>
      <c r="C34" s="18"/>
      <c r="D34" s="16"/>
      <c r="E34" s="6"/>
      <c r="G34" s="9"/>
      <c r="H34" s="9"/>
      <c r="K34" s="36"/>
      <c r="M34" s="104"/>
      <c r="N34" s="4"/>
      <c r="O34" s="25"/>
      <c r="P34" s="25"/>
      <c r="Q34" s="25"/>
      <c r="R34" s="25"/>
      <c r="S34" s="77"/>
    </row>
    <row r="35" spans="2:19">
      <c r="B35" s="18"/>
      <c r="C35" s="18"/>
      <c r="D35" s="16"/>
      <c r="E35" s="6"/>
      <c r="G35" s="9"/>
      <c r="H35" s="9"/>
      <c r="K35" s="36"/>
      <c r="M35" s="106"/>
      <c r="N35" s="4"/>
      <c r="O35" s="25"/>
      <c r="P35" s="25"/>
      <c r="Q35" s="25"/>
      <c r="R35" s="25"/>
      <c r="S35" s="77"/>
    </row>
    <row r="36" spans="2:19">
      <c r="B36" s="18"/>
      <c r="C36" s="18"/>
      <c r="D36" s="16"/>
      <c r="E36" s="6"/>
      <c r="G36" s="9"/>
      <c r="H36" s="9"/>
      <c r="K36" s="36"/>
      <c r="M36" s="106"/>
      <c r="N36" s="4"/>
      <c r="O36" s="25"/>
      <c r="P36" s="25"/>
      <c r="Q36" s="25"/>
      <c r="R36" s="25"/>
      <c r="S36" s="77"/>
    </row>
    <row r="37" spans="2:19">
      <c r="B37" s="18"/>
      <c r="C37" s="18"/>
      <c r="D37" s="16"/>
      <c r="E37" s="6"/>
      <c r="G37" s="9"/>
      <c r="H37" s="9"/>
      <c r="K37" s="36"/>
      <c r="M37" s="106"/>
      <c r="N37" s="4"/>
      <c r="O37" s="25"/>
      <c r="P37" s="25"/>
      <c r="Q37" s="25"/>
      <c r="R37" s="25"/>
      <c r="S37" s="77"/>
    </row>
    <row r="38" spans="2:19">
      <c r="B38" s="18"/>
      <c r="C38" s="18"/>
      <c r="D38" s="16"/>
      <c r="E38" s="6"/>
      <c r="G38" s="9"/>
      <c r="H38" s="9"/>
      <c r="K38" s="36"/>
      <c r="M38" s="106"/>
      <c r="N38" s="4"/>
      <c r="O38" s="25"/>
      <c r="P38" s="25"/>
      <c r="Q38" s="25"/>
      <c r="R38" s="25"/>
      <c r="S38" s="77"/>
    </row>
    <row r="39" spans="2:19">
      <c r="B39" s="18"/>
      <c r="C39" s="18"/>
      <c r="D39" s="16"/>
      <c r="E39" s="6"/>
      <c r="G39" s="9"/>
      <c r="H39" s="9"/>
      <c r="K39" s="36"/>
      <c r="M39" s="105"/>
      <c r="N39" s="4"/>
      <c r="O39" s="25"/>
      <c r="P39" s="25"/>
      <c r="Q39" s="25"/>
      <c r="R39" s="25"/>
      <c r="S39" s="77"/>
    </row>
    <row r="40" spans="2:19">
      <c r="B40" s="18"/>
      <c r="C40" s="18"/>
      <c r="D40" s="16"/>
      <c r="E40" s="6"/>
      <c r="G40" s="9"/>
      <c r="H40" s="9"/>
      <c r="K40" s="36"/>
      <c r="M40" s="105"/>
      <c r="N40" s="4"/>
      <c r="O40" s="25"/>
      <c r="P40" s="25"/>
      <c r="Q40" s="25"/>
      <c r="R40" s="25"/>
      <c r="S40" s="77"/>
    </row>
    <row r="41" spans="2:19">
      <c r="B41" s="18"/>
      <c r="C41" s="18"/>
      <c r="D41" s="16"/>
      <c r="E41" s="6"/>
      <c r="G41" s="9"/>
      <c r="H41" s="9"/>
      <c r="K41" s="36"/>
      <c r="M41" s="105"/>
      <c r="N41" s="4"/>
      <c r="O41" s="25"/>
      <c r="P41" s="25"/>
      <c r="Q41" s="25"/>
      <c r="R41" s="25"/>
      <c r="S41" s="77"/>
    </row>
    <row r="42" spans="2:19">
      <c r="B42" s="18"/>
      <c r="C42" s="18"/>
      <c r="D42" s="16"/>
      <c r="E42" s="6"/>
      <c r="G42" s="9"/>
      <c r="H42" s="9"/>
      <c r="K42" s="36"/>
      <c r="M42" s="105"/>
      <c r="N42" s="4"/>
      <c r="O42" s="25"/>
      <c r="P42" s="25"/>
      <c r="Q42" s="25"/>
      <c r="R42" s="25"/>
      <c r="S42" s="77"/>
    </row>
    <row r="43" spans="2:19">
      <c r="B43" s="18"/>
      <c r="C43" s="18"/>
      <c r="D43" s="16"/>
      <c r="E43" s="6"/>
      <c r="G43" s="9"/>
      <c r="H43" s="9"/>
      <c r="K43" s="36"/>
      <c r="M43" s="105"/>
      <c r="N43" s="4"/>
      <c r="O43" s="25"/>
      <c r="P43" s="25"/>
      <c r="Q43" s="25"/>
      <c r="R43" s="25"/>
      <c r="S43" s="77"/>
    </row>
    <row r="44" spans="2:19">
      <c r="B44" s="18"/>
      <c r="C44" s="18"/>
      <c r="D44" s="16"/>
      <c r="E44" s="6"/>
      <c r="G44" s="9"/>
      <c r="H44" s="9"/>
      <c r="K44" s="36"/>
      <c r="M44" s="105"/>
      <c r="N44" s="4"/>
      <c r="O44" s="25"/>
      <c r="P44" s="25"/>
      <c r="Q44" s="25"/>
      <c r="R44" s="25"/>
      <c r="S44" s="77"/>
    </row>
    <row r="45" spans="2:19">
      <c r="B45" s="18"/>
      <c r="C45" s="18"/>
      <c r="D45" s="16"/>
      <c r="E45" s="6"/>
      <c r="G45" s="9"/>
      <c r="H45" s="9"/>
      <c r="K45" s="36"/>
      <c r="M45" s="105"/>
      <c r="N45" s="4"/>
      <c r="O45" s="25"/>
      <c r="P45" s="25"/>
      <c r="Q45" s="25"/>
      <c r="R45" s="25"/>
      <c r="S45" s="77"/>
    </row>
    <row r="46" spans="2:19">
      <c r="B46" s="18"/>
      <c r="C46" s="18"/>
      <c r="D46" s="16"/>
      <c r="E46" s="6"/>
      <c r="G46" s="9"/>
      <c r="H46" s="9"/>
      <c r="K46" s="36"/>
      <c r="M46" s="105"/>
      <c r="N46" s="4"/>
      <c r="O46" s="25"/>
      <c r="P46" s="25"/>
      <c r="Q46" s="25"/>
      <c r="R46" s="25"/>
      <c r="S46" s="77"/>
    </row>
    <row r="47" spans="2:19">
      <c r="B47" s="18"/>
      <c r="C47" s="18"/>
      <c r="D47" s="16"/>
      <c r="E47" s="6"/>
      <c r="G47" s="9"/>
      <c r="H47" s="9"/>
      <c r="K47" s="36"/>
      <c r="M47" s="105"/>
      <c r="N47" s="4"/>
      <c r="O47" s="25"/>
      <c r="P47" s="25"/>
      <c r="Q47" s="25"/>
      <c r="R47" s="25"/>
      <c r="S47" s="77"/>
    </row>
    <row r="48" spans="2:19">
      <c r="B48" s="18"/>
      <c r="C48" s="18"/>
      <c r="D48" s="16"/>
      <c r="E48" s="6"/>
      <c r="G48" s="9"/>
      <c r="H48" s="9"/>
      <c r="K48" s="36"/>
      <c r="M48" s="105"/>
      <c r="N48" s="4"/>
      <c r="O48" s="25"/>
      <c r="P48" s="25"/>
      <c r="Q48" s="25"/>
      <c r="R48" s="25"/>
      <c r="S48" s="77"/>
    </row>
    <row r="49" spans="2:19">
      <c r="B49" s="18"/>
      <c r="C49" s="18"/>
      <c r="D49" s="16"/>
      <c r="E49" s="6"/>
      <c r="G49" s="9"/>
      <c r="H49" s="9"/>
      <c r="K49" s="36"/>
      <c r="M49" s="105"/>
      <c r="N49" s="4"/>
      <c r="O49" s="25"/>
      <c r="P49" s="25"/>
      <c r="Q49" s="25"/>
      <c r="R49" s="25"/>
      <c r="S49" s="77"/>
    </row>
    <row r="50" spans="2:19">
      <c r="B50" s="18"/>
      <c r="C50" s="18"/>
      <c r="D50" s="16"/>
      <c r="E50" s="6"/>
      <c r="G50" s="9"/>
      <c r="H50" s="9"/>
      <c r="K50" s="36"/>
      <c r="M50" s="105"/>
      <c r="N50" s="4"/>
      <c r="O50" s="25"/>
      <c r="P50" s="25"/>
      <c r="Q50" s="25"/>
      <c r="R50" s="25"/>
      <c r="S50" s="77"/>
    </row>
    <row r="51" spans="2:19">
      <c r="B51" s="18"/>
      <c r="C51" s="18"/>
      <c r="D51" s="16"/>
      <c r="E51" s="6"/>
      <c r="G51" s="9"/>
      <c r="H51" s="9"/>
      <c r="K51" s="36"/>
      <c r="M51" s="105"/>
      <c r="N51" s="4"/>
      <c r="O51" s="25"/>
      <c r="P51" s="25"/>
      <c r="Q51" s="25"/>
      <c r="R51" s="25"/>
      <c r="S51" s="77"/>
    </row>
    <row r="52" spans="2:19">
      <c r="B52" s="18"/>
      <c r="C52" s="18"/>
      <c r="D52" s="16"/>
      <c r="E52" s="6"/>
      <c r="G52" s="9"/>
      <c r="H52" s="9"/>
      <c r="K52" s="36"/>
      <c r="M52" s="105"/>
      <c r="N52" s="4"/>
      <c r="O52" s="25"/>
      <c r="P52" s="25"/>
      <c r="Q52" s="25"/>
      <c r="R52" s="25"/>
      <c r="S52" s="77"/>
    </row>
    <row r="53" spans="2:19">
      <c r="B53" s="18"/>
      <c r="C53" s="18"/>
      <c r="D53" s="16"/>
      <c r="E53" s="6"/>
      <c r="G53" s="9"/>
      <c r="H53" s="9"/>
      <c r="K53" s="36"/>
      <c r="M53" s="105"/>
      <c r="N53" s="4"/>
      <c r="O53" s="25"/>
      <c r="P53" s="25"/>
      <c r="Q53" s="25"/>
      <c r="R53" s="25"/>
      <c r="S53" s="77"/>
    </row>
    <row r="54" spans="2:19">
      <c r="B54" s="18"/>
      <c r="C54" s="18"/>
      <c r="D54" s="16"/>
      <c r="E54" s="6"/>
      <c r="G54" s="9"/>
      <c r="H54" s="9"/>
      <c r="K54" s="36"/>
      <c r="M54" s="105"/>
      <c r="N54" s="4"/>
      <c r="O54" s="25"/>
      <c r="P54" s="25"/>
      <c r="Q54" s="25"/>
      <c r="R54" s="25"/>
      <c r="S54" s="77"/>
    </row>
    <row r="55" spans="2:19">
      <c r="B55" s="18"/>
      <c r="C55" s="18"/>
      <c r="D55" s="16"/>
      <c r="E55" s="6"/>
      <c r="G55" s="9"/>
      <c r="H55" s="9"/>
      <c r="K55" s="36"/>
      <c r="M55" s="105"/>
      <c r="N55" s="4"/>
      <c r="O55" s="25"/>
      <c r="P55" s="25"/>
      <c r="Q55" s="25"/>
      <c r="R55" s="25"/>
      <c r="S55" s="77"/>
    </row>
    <row r="56" spans="2:19">
      <c r="B56" s="18"/>
      <c r="C56" s="18"/>
      <c r="D56" s="16"/>
      <c r="E56" s="6"/>
      <c r="G56" s="9"/>
      <c r="H56" s="9"/>
      <c r="K56" s="36"/>
      <c r="M56" s="105"/>
      <c r="N56" s="4"/>
      <c r="O56" s="25"/>
      <c r="P56" s="25"/>
      <c r="Q56" s="25"/>
      <c r="R56" s="25"/>
      <c r="S56" s="77"/>
    </row>
    <row r="57" spans="2:19">
      <c r="B57" s="18"/>
      <c r="C57" s="18"/>
      <c r="D57" s="16"/>
      <c r="E57" s="6"/>
      <c r="G57" s="9"/>
      <c r="H57" s="9"/>
      <c r="K57" s="36"/>
      <c r="M57" s="105"/>
      <c r="N57" s="4"/>
      <c r="O57" s="25"/>
      <c r="P57" s="25"/>
      <c r="Q57" s="25"/>
      <c r="R57" s="25"/>
      <c r="S57" s="77"/>
    </row>
    <row r="58" spans="2:19">
      <c r="B58" s="18"/>
      <c r="C58" s="18"/>
      <c r="D58" s="16"/>
      <c r="E58" s="6"/>
      <c r="G58" s="9"/>
      <c r="H58" s="9"/>
      <c r="K58" s="36"/>
      <c r="M58" s="105"/>
      <c r="N58" s="4"/>
      <c r="O58" s="25"/>
      <c r="P58" s="25"/>
      <c r="Q58" s="25"/>
      <c r="R58" s="25"/>
      <c r="S58" s="77"/>
    </row>
    <row r="59" spans="2:19">
      <c r="B59" s="18"/>
      <c r="C59" s="18"/>
      <c r="D59" s="16"/>
      <c r="E59" s="6"/>
      <c r="G59" s="9"/>
      <c r="H59" s="9"/>
      <c r="K59" s="36"/>
      <c r="M59" s="105"/>
      <c r="N59" s="4"/>
      <c r="O59" s="25"/>
      <c r="P59" s="25"/>
      <c r="Q59" s="25"/>
      <c r="R59" s="25"/>
      <c r="S59" s="77"/>
    </row>
    <row r="60" spans="2:19">
      <c r="B60" s="18"/>
      <c r="C60" s="18"/>
      <c r="D60" s="16"/>
      <c r="E60" s="6"/>
      <c r="G60" s="9"/>
      <c r="H60" s="9"/>
      <c r="K60" s="36"/>
      <c r="M60" s="105"/>
      <c r="N60" s="4"/>
      <c r="O60" s="25"/>
      <c r="P60" s="25"/>
      <c r="Q60" s="25"/>
      <c r="R60" s="25"/>
      <c r="S60" s="77"/>
    </row>
    <row r="61" spans="2:19">
      <c r="B61" s="18"/>
      <c r="C61" s="18"/>
      <c r="D61" s="16"/>
      <c r="E61" s="6"/>
      <c r="G61" s="9"/>
      <c r="H61" s="9"/>
      <c r="K61" s="36"/>
      <c r="M61" s="105"/>
      <c r="N61" s="4"/>
      <c r="O61" s="25"/>
      <c r="P61" s="25"/>
      <c r="Q61" s="25"/>
      <c r="R61" s="25"/>
      <c r="S61" s="77"/>
    </row>
    <row r="62" spans="2:19">
      <c r="B62" s="18"/>
      <c r="C62" s="18"/>
      <c r="D62" s="16"/>
      <c r="E62" s="6"/>
      <c r="G62" s="9"/>
      <c r="H62" s="9"/>
      <c r="K62" s="36"/>
      <c r="M62" s="105"/>
      <c r="N62" s="4"/>
      <c r="O62" s="25"/>
      <c r="P62" s="25"/>
      <c r="Q62" s="25"/>
      <c r="R62" s="25"/>
      <c r="S62" s="77"/>
    </row>
    <row r="63" spans="2:19">
      <c r="B63" s="18"/>
      <c r="C63" s="18"/>
      <c r="D63" s="16"/>
      <c r="E63" s="6"/>
      <c r="G63" s="9"/>
      <c r="H63" s="9"/>
      <c r="K63" s="36"/>
      <c r="M63" s="105"/>
      <c r="N63" s="4"/>
      <c r="O63" s="25"/>
      <c r="P63" s="25"/>
      <c r="Q63" s="25"/>
      <c r="R63" s="25"/>
      <c r="S63" s="77"/>
    </row>
    <row r="64" spans="2:19">
      <c r="B64" s="18"/>
      <c r="C64" s="18"/>
      <c r="D64" s="16"/>
      <c r="E64" s="6"/>
      <c r="G64" s="9"/>
      <c r="H64" s="9"/>
      <c r="K64" s="36"/>
      <c r="M64" s="105"/>
      <c r="N64" s="4"/>
      <c r="O64" s="25"/>
      <c r="P64" s="25"/>
      <c r="Q64" s="25"/>
      <c r="R64" s="25"/>
      <c r="S64" s="77"/>
    </row>
    <row r="65" spans="2:19">
      <c r="B65" s="18"/>
      <c r="C65" s="18"/>
      <c r="D65" s="16"/>
      <c r="E65" s="6"/>
      <c r="G65" s="9"/>
      <c r="H65" s="9"/>
      <c r="K65" s="36"/>
      <c r="M65" s="105"/>
      <c r="N65" s="4"/>
      <c r="O65" s="25"/>
      <c r="P65" s="25"/>
      <c r="Q65" s="25"/>
      <c r="R65" s="25"/>
      <c r="S65" s="77"/>
    </row>
    <row r="66" spans="2:19">
      <c r="B66" s="18"/>
      <c r="C66" s="18"/>
      <c r="D66" s="16"/>
      <c r="E66" s="6"/>
      <c r="G66" s="9"/>
      <c r="H66" s="9"/>
      <c r="K66" s="36"/>
      <c r="M66" s="105"/>
      <c r="N66" s="4"/>
      <c r="O66" s="25"/>
      <c r="P66" s="25"/>
      <c r="Q66" s="25"/>
      <c r="R66" s="25"/>
      <c r="S66" s="77"/>
    </row>
    <row r="67" spans="2:19">
      <c r="B67" s="18"/>
      <c r="C67" s="18"/>
      <c r="D67" s="16"/>
      <c r="E67" s="6"/>
      <c r="G67" s="9"/>
      <c r="H67" s="9"/>
      <c r="K67" s="36"/>
      <c r="M67" s="105"/>
      <c r="N67" s="4"/>
      <c r="O67" s="25"/>
      <c r="P67" s="25"/>
      <c r="Q67" s="25"/>
      <c r="R67" s="25"/>
      <c r="S67" s="77"/>
    </row>
    <row r="68" spans="2:19">
      <c r="B68" s="18"/>
      <c r="C68" s="18"/>
      <c r="D68" s="16"/>
      <c r="E68" s="6"/>
      <c r="G68" s="9"/>
      <c r="H68" s="9"/>
      <c r="K68" s="36"/>
      <c r="M68" s="105"/>
      <c r="N68" s="4"/>
      <c r="O68" s="25"/>
      <c r="P68" s="25"/>
      <c r="Q68" s="25"/>
      <c r="R68" s="25"/>
      <c r="S68" s="77"/>
    </row>
    <row r="69" spans="2:19">
      <c r="B69" s="18"/>
      <c r="C69" s="18"/>
      <c r="D69" s="16"/>
      <c r="E69" s="6"/>
      <c r="G69" s="9"/>
      <c r="H69" s="9"/>
      <c r="K69" s="36"/>
      <c r="M69" s="105"/>
      <c r="N69" s="4"/>
      <c r="O69" s="25"/>
      <c r="P69" s="25"/>
      <c r="Q69" s="25"/>
      <c r="R69" s="25"/>
      <c r="S69" s="77"/>
    </row>
    <row r="70" spans="2:19">
      <c r="B70" s="18"/>
      <c r="C70" s="18"/>
      <c r="D70" s="16"/>
      <c r="E70" s="6"/>
      <c r="G70" s="9"/>
      <c r="H70" s="9"/>
      <c r="K70" s="36"/>
      <c r="M70" s="105"/>
      <c r="N70" s="4"/>
      <c r="O70" s="25"/>
      <c r="P70" s="25"/>
      <c r="Q70" s="25"/>
      <c r="R70" s="25"/>
      <c r="S70" s="77"/>
    </row>
    <row r="71" spans="2:19">
      <c r="B71" s="18"/>
      <c r="C71" s="18"/>
      <c r="D71" s="16"/>
      <c r="E71" s="6"/>
      <c r="G71" s="9"/>
      <c r="H71" s="9"/>
      <c r="K71" s="36"/>
      <c r="M71" s="105"/>
      <c r="N71" s="4"/>
      <c r="O71" s="25"/>
      <c r="P71" s="25"/>
      <c r="Q71" s="25"/>
      <c r="R71" s="25"/>
      <c r="S71" s="77"/>
    </row>
    <row r="72" spans="2:19">
      <c r="B72" s="18"/>
      <c r="C72" s="18"/>
      <c r="D72" s="16"/>
      <c r="E72" s="6"/>
      <c r="G72" s="9"/>
      <c r="H72" s="9"/>
      <c r="K72" s="36"/>
      <c r="M72" s="105"/>
      <c r="N72" s="4"/>
      <c r="O72" s="25"/>
      <c r="P72" s="25"/>
      <c r="Q72" s="25"/>
      <c r="R72" s="25"/>
      <c r="S72" s="77"/>
    </row>
    <row r="73" spans="2:19">
      <c r="B73" s="18"/>
      <c r="C73" s="18"/>
      <c r="D73" s="16"/>
      <c r="E73" s="6"/>
      <c r="G73" s="9"/>
      <c r="H73" s="9"/>
      <c r="K73" s="36"/>
      <c r="M73" s="105"/>
      <c r="N73" s="4"/>
      <c r="O73" s="25"/>
      <c r="P73" s="25"/>
      <c r="Q73" s="25"/>
      <c r="R73" s="25"/>
      <c r="S73" s="77"/>
    </row>
    <row r="74" spans="2:19">
      <c r="B74" s="18"/>
      <c r="C74" s="18"/>
      <c r="D74" s="16"/>
      <c r="E74" s="6"/>
      <c r="G74" s="9"/>
      <c r="H74" s="9"/>
      <c r="K74" s="36"/>
      <c r="M74" s="105"/>
      <c r="N74" s="4"/>
      <c r="O74" s="25"/>
      <c r="P74" s="25"/>
      <c r="Q74" s="25"/>
      <c r="R74" s="25"/>
      <c r="S74" s="77"/>
    </row>
    <row r="75" spans="2:19">
      <c r="B75" s="18"/>
      <c r="C75" s="18"/>
      <c r="D75" s="16"/>
      <c r="E75" s="6"/>
      <c r="G75" s="9"/>
      <c r="H75" s="9"/>
      <c r="K75" s="36"/>
      <c r="M75" s="105"/>
      <c r="N75" s="4"/>
      <c r="O75" s="25"/>
      <c r="P75" s="25"/>
      <c r="Q75" s="25"/>
      <c r="R75" s="25"/>
      <c r="S75" s="77"/>
    </row>
    <row r="76" spans="2:19">
      <c r="B76" s="18"/>
      <c r="C76" s="18"/>
      <c r="D76" s="16"/>
      <c r="E76" s="6"/>
      <c r="G76" s="9"/>
      <c r="H76" s="9"/>
      <c r="K76" s="36"/>
      <c r="M76" s="105"/>
      <c r="N76" s="4"/>
      <c r="O76" s="25"/>
      <c r="P76" s="25"/>
      <c r="Q76" s="25"/>
      <c r="R76" s="25"/>
      <c r="S76" s="77"/>
    </row>
    <row r="77" spans="2:19">
      <c r="B77" s="18"/>
      <c r="C77" s="18"/>
      <c r="D77" s="16"/>
      <c r="E77" s="6"/>
      <c r="G77" s="9"/>
      <c r="H77" s="9"/>
      <c r="K77" s="36"/>
      <c r="M77" s="105"/>
      <c r="N77" s="4"/>
      <c r="O77" s="25"/>
      <c r="P77" s="25"/>
      <c r="Q77" s="25"/>
      <c r="R77" s="25"/>
      <c r="S77" s="77"/>
    </row>
    <row r="78" spans="2:19">
      <c r="B78" s="18"/>
      <c r="C78" s="18"/>
      <c r="D78" s="16"/>
      <c r="E78" s="6"/>
      <c r="G78" s="9"/>
      <c r="H78" s="9"/>
      <c r="K78" s="36"/>
      <c r="M78" s="105"/>
      <c r="N78" s="4"/>
      <c r="O78" s="25"/>
      <c r="P78" s="25"/>
      <c r="Q78" s="25"/>
      <c r="R78" s="25"/>
      <c r="S78" s="77"/>
    </row>
    <row r="79" spans="2:19">
      <c r="B79" s="18"/>
      <c r="C79" s="18"/>
      <c r="D79" s="16"/>
      <c r="E79" s="6"/>
      <c r="G79" s="9"/>
      <c r="H79" s="9"/>
      <c r="K79" s="36"/>
      <c r="M79" s="105"/>
      <c r="N79" s="4"/>
      <c r="O79" s="25"/>
      <c r="P79" s="25"/>
      <c r="Q79" s="25"/>
      <c r="R79" s="25"/>
      <c r="S79" s="77"/>
    </row>
    <row r="80" spans="2:19">
      <c r="B80" s="18"/>
      <c r="C80" s="18"/>
      <c r="D80" s="16"/>
      <c r="E80" s="6"/>
      <c r="G80" s="9"/>
      <c r="H80" s="9"/>
      <c r="K80" s="36"/>
      <c r="M80" s="105"/>
      <c r="N80" s="4"/>
      <c r="O80" s="25"/>
      <c r="P80" s="25"/>
      <c r="Q80" s="25"/>
      <c r="R80" s="25"/>
      <c r="S80" s="77"/>
    </row>
    <row r="81" spans="2:19">
      <c r="B81" s="18"/>
      <c r="C81" s="18"/>
      <c r="D81" s="16"/>
      <c r="E81" s="6"/>
      <c r="G81" s="9"/>
      <c r="H81" s="9"/>
      <c r="K81" s="36"/>
      <c r="M81" s="105"/>
      <c r="N81" s="4"/>
      <c r="O81" s="25"/>
      <c r="P81" s="25"/>
      <c r="Q81" s="25"/>
      <c r="R81" s="25"/>
      <c r="S81" s="77"/>
    </row>
    <row r="82" spans="2:19">
      <c r="B82" s="18"/>
      <c r="C82" s="18"/>
      <c r="D82" s="16"/>
      <c r="E82" s="6"/>
      <c r="G82" s="9"/>
      <c r="H82" s="9"/>
      <c r="K82" s="36"/>
      <c r="M82" s="105"/>
      <c r="N82" s="4"/>
      <c r="O82" s="25"/>
      <c r="P82" s="25"/>
      <c r="Q82" s="25"/>
      <c r="R82" s="25"/>
      <c r="S82" s="77"/>
    </row>
    <row r="83" spans="2:19">
      <c r="B83" s="18"/>
      <c r="C83" s="18"/>
      <c r="D83" s="16"/>
      <c r="E83" s="6"/>
      <c r="G83" s="9"/>
      <c r="H83" s="9"/>
      <c r="K83" s="36"/>
      <c r="M83" s="105"/>
      <c r="N83" s="4"/>
      <c r="O83" s="25"/>
      <c r="P83" s="25"/>
      <c r="Q83" s="25"/>
      <c r="R83" s="25"/>
      <c r="S83" s="77"/>
    </row>
    <row r="84" spans="2:19">
      <c r="B84" s="18"/>
      <c r="C84" s="18"/>
      <c r="D84" s="16"/>
      <c r="E84" s="6"/>
      <c r="G84" s="9"/>
      <c r="H84" s="9"/>
      <c r="K84" s="36"/>
      <c r="M84" s="105"/>
      <c r="N84" s="4"/>
      <c r="O84" s="25"/>
      <c r="P84" s="25"/>
      <c r="Q84" s="25"/>
      <c r="R84" s="25"/>
      <c r="S84" s="77"/>
    </row>
    <row r="85" spans="2:19">
      <c r="B85" s="18"/>
      <c r="C85" s="18"/>
      <c r="D85" s="16"/>
      <c r="E85" s="6"/>
      <c r="G85" s="9"/>
      <c r="H85" s="9"/>
      <c r="K85" s="36"/>
      <c r="M85" s="105"/>
      <c r="N85" s="4"/>
      <c r="O85" s="25"/>
      <c r="P85" s="25"/>
      <c r="Q85" s="25"/>
      <c r="R85" s="25"/>
      <c r="S85" s="77"/>
    </row>
    <row r="86" spans="2:19">
      <c r="B86" s="18"/>
      <c r="C86" s="18"/>
      <c r="D86" s="16"/>
      <c r="E86" s="6"/>
      <c r="G86" s="9"/>
      <c r="H86" s="9"/>
      <c r="K86" s="36"/>
      <c r="M86" s="105"/>
      <c r="N86" s="4"/>
      <c r="O86" s="25"/>
      <c r="P86" s="25"/>
      <c r="Q86" s="25"/>
      <c r="R86" s="25"/>
      <c r="S86" s="77"/>
    </row>
    <row r="87" spans="2:19">
      <c r="B87" s="18"/>
      <c r="C87" s="18"/>
      <c r="D87" s="16"/>
      <c r="E87" s="6"/>
      <c r="G87" s="9"/>
      <c r="H87" s="9"/>
      <c r="K87" s="36"/>
      <c r="M87" s="105"/>
      <c r="N87" s="4"/>
      <c r="O87" s="25"/>
      <c r="P87" s="25"/>
      <c r="Q87" s="25"/>
      <c r="R87" s="25"/>
      <c r="S87" s="77"/>
    </row>
    <row r="88" spans="2:19">
      <c r="B88" s="18"/>
      <c r="C88" s="18"/>
      <c r="D88" s="16"/>
      <c r="E88" s="6"/>
      <c r="G88" s="9"/>
      <c r="H88" s="9"/>
      <c r="K88" s="36"/>
      <c r="M88" s="105"/>
      <c r="N88" s="4"/>
      <c r="O88" s="25"/>
      <c r="P88" s="25"/>
      <c r="Q88" s="25"/>
      <c r="R88" s="25"/>
      <c r="S88" s="77"/>
    </row>
    <row r="89" spans="2:19">
      <c r="B89" s="18"/>
      <c r="C89" s="18"/>
      <c r="D89" s="16"/>
      <c r="E89" s="6"/>
      <c r="G89" s="9"/>
      <c r="H89" s="9"/>
      <c r="K89" s="36"/>
      <c r="M89" s="105"/>
      <c r="N89" s="4"/>
      <c r="O89" s="25"/>
      <c r="P89" s="25"/>
      <c r="Q89" s="25"/>
      <c r="R89" s="25"/>
      <c r="S89" s="77"/>
    </row>
    <row r="90" spans="2:19">
      <c r="B90" s="18"/>
      <c r="C90" s="18"/>
      <c r="D90" s="16"/>
      <c r="E90" s="6"/>
      <c r="G90" s="9"/>
      <c r="H90" s="9"/>
      <c r="K90" s="36"/>
      <c r="M90" s="105"/>
      <c r="N90" s="4"/>
      <c r="O90" s="25"/>
      <c r="P90" s="25"/>
      <c r="Q90" s="25"/>
      <c r="R90" s="25"/>
      <c r="S90" s="77"/>
    </row>
    <row r="91" spans="2:19">
      <c r="B91" s="18"/>
      <c r="C91" s="18"/>
      <c r="D91" s="16"/>
      <c r="E91" s="6"/>
      <c r="G91" s="9"/>
      <c r="H91" s="9"/>
      <c r="K91" s="36"/>
      <c r="M91" s="105"/>
      <c r="N91" s="4"/>
      <c r="O91" s="25"/>
      <c r="P91" s="25"/>
      <c r="Q91" s="25"/>
      <c r="R91" s="25"/>
      <c r="S91" s="77"/>
    </row>
    <row r="92" spans="2:19">
      <c r="B92" s="18"/>
      <c r="C92" s="18"/>
      <c r="D92" s="16"/>
      <c r="E92" s="6"/>
      <c r="G92" s="9"/>
      <c r="H92" s="9"/>
      <c r="K92" s="36"/>
      <c r="M92" s="105"/>
      <c r="N92" s="4"/>
      <c r="O92" s="25"/>
      <c r="P92" s="25"/>
      <c r="Q92" s="25"/>
      <c r="R92" s="25"/>
      <c r="S92" s="77"/>
    </row>
    <row r="93" spans="2:19">
      <c r="B93" s="18"/>
      <c r="C93" s="18"/>
      <c r="D93" s="16"/>
      <c r="E93" s="6"/>
      <c r="G93" s="9"/>
      <c r="H93" s="9"/>
      <c r="K93" s="36"/>
      <c r="M93" s="105"/>
      <c r="N93" s="4"/>
      <c r="O93" s="25"/>
      <c r="P93" s="25"/>
      <c r="Q93" s="25"/>
      <c r="R93" s="25"/>
      <c r="S93" s="77"/>
    </row>
    <row r="94" spans="2:19">
      <c r="B94" s="18"/>
      <c r="C94" s="18"/>
      <c r="D94" s="16"/>
      <c r="E94" s="6"/>
      <c r="G94" s="9"/>
      <c r="H94" s="9"/>
      <c r="K94" s="36"/>
      <c r="M94" s="105"/>
      <c r="N94" s="4"/>
      <c r="O94" s="25"/>
      <c r="P94" s="25"/>
      <c r="Q94" s="25"/>
      <c r="R94" s="25"/>
      <c r="S94" s="77"/>
    </row>
    <row r="95" spans="2:19">
      <c r="B95" s="18"/>
      <c r="C95" s="18"/>
      <c r="D95" s="16"/>
      <c r="E95" s="6"/>
      <c r="G95" s="9"/>
      <c r="H95" s="9"/>
      <c r="K95" s="36"/>
      <c r="M95" s="105"/>
      <c r="N95" s="4"/>
      <c r="O95" s="25"/>
      <c r="P95" s="25"/>
      <c r="Q95" s="25"/>
      <c r="R95" s="25"/>
      <c r="S95" s="77"/>
    </row>
    <row r="96" spans="2:19">
      <c r="B96" s="18"/>
      <c r="C96" s="18"/>
      <c r="D96" s="16"/>
      <c r="E96" s="6"/>
      <c r="G96" s="9"/>
      <c r="H96" s="9"/>
      <c r="K96" s="36"/>
      <c r="M96" s="105"/>
      <c r="N96" s="4"/>
      <c r="O96" s="25"/>
      <c r="P96" s="25"/>
      <c r="Q96" s="25"/>
      <c r="R96" s="25"/>
      <c r="S96" s="77"/>
    </row>
    <row r="97" spans="2:19">
      <c r="B97" s="18"/>
      <c r="C97" s="18"/>
      <c r="D97" s="16"/>
      <c r="E97" s="6"/>
      <c r="G97" s="9"/>
      <c r="H97" s="9"/>
      <c r="K97" s="36"/>
      <c r="M97" s="105"/>
      <c r="N97" s="4"/>
      <c r="O97" s="25"/>
      <c r="P97" s="25"/>
      <c r="Q97" s="25"/>
      <c r="R97" s="25"/>
      <c r="S97" s="77"/>
    </row>
    <row r="98" spans="2:19">
      <c r="B98" s="18"/>
      <c r="C98" s="18"/>
      <c r="D98" s="16"/>
      <c r="E98" s="6"/>
      <c r="G98" s="9"/>
      <c r="H98" s="9"/>
      <c r="K98" s="36"/>
      <c r="M98" s="105"/>
      <c r="N98" s="4"/>
      <c r="O98" s="25"/>
      <c r="P98" s="25"/>
      <c r="Q98" s="25"/>
      <c r="R98" s="25"/>
      <c r="S98" s="77"/>
    </row>
    <row r="99" spans="2:19">
      <c r="B99" s="18"/>
      <c r="C99" s="18"/>
      <c r="D99" s="16"/>
      <c r="E99" s="6"/>
      <c r="G99" s="9"/>
      <c r="H99" s="9"/>
      <c r="K99" s="36"/>
      <c r="M99" s="105"/>
      <c r="N99" s="4"/>
      <c r="O99" s="25"/>
      <c r="P99" s="25"/>
      <c r="Q99" s="25"/>
      <c r="R99" s="25"/>
      <c r="S99" s="77"/>
    </row>
    <row r="100" spans="2:19">
      <c r="B100" s="18"/>
      <c r="C100" s="18"/>
      <c r="D100" s="16"/>
      <c r="E100" s="6"/>
      <c r="G100" s="9"/>
      <c r="H100" s="9"/>
      <c r="K100" s="36"/>
      <c r="M100" s="105"/>
      <c r="N100" s="4"/>
      <c r="O100" s="25"/>
      <c r="P100" s="25"/>
      <c r="Q100" s="25"/>
      <c r="R100" s="25"/>
      <c r="S100" s="77"/>
    </row>
    <row r="101" spans="2:19">
      <c r="B101" s="18"/>
      <c r="C101" s="18"/>
      <c r="D101" s="16"/>
      <c r="E101" s="6"/>
      <c r="G101" s="9"/>
      <c r="H101" s="9"/>
      <c r="K101" s="36"/>
      <c r="M101" s="105"/>
      <c r="N101" s="4"/>
      <c r="O101" s="25"/>
      <c r="P101" s="25"/>
      <c r="Q101" s="25"/>
      <c r="R101" s="25"/>
      <c r="S101" s="77"/>
    </row>
    <row r="102" spans="2:19">
      <c r="B102" s="18"/>
      <c r="C102" s="18"/>
      <c r="D102" s="16"/>
      <c r="E102" s="6"/>
      <c r="G102" s="9"/>
      <c r="H102" s="9"/>
      <c r="K102" s="36"/>
      <c r="M102" s="105"/>
      <c r="N102" s="4"/>
      <c r="O102" s="25"/>
      <c r="P102" s="25"/>
      <c r="Q102" s="25"/>
      <c r="R102" s="25"/>
      <c r="S102" s="77"/>
    </row>
    <row r="103" spans="2:19">
      <c r="B103" s="18"/>
      <c r="C103" s="18"/>
      <c r="D103" s="16"/>
      <c r="E103" s="6"/>
      <c r="G103" s="9"/>
      <c r="H103" s="9"/>
      <c r="K103" s="36"/>
      <c r="M103" s="105"/>
      <c r="N103" s="4"/>
      <c r="O103" s="25"/>
      <c r="P103" s="25"/>
      <c r="Q103" s="25"/>
      <c r="R103" s="25"/>
      <c r="S103" s="77"/>
    </row>
    <row r="104" spans="2:19">
      <c r="B104" s="18"/>
      <c r="C104" s="18"/>
      <c r="D104" s="16"/>
      <c r="E104" s="6"/>
      <c r="G104" s="9"/>
      <c r="H104" s="9"/>
      <c r="K104" s="36"/>
      <c r="M104" s="105"/>
      <c r="N104" s="4"/>
      <c r="O104" s="25"/>
      <c r="P104" s="25"/>
      <c r="Q104" s="25"/>
      <c r="R104" s="25"/>
      <c r="S104" s="77"/>
    </row>
    <row r="105" spans="2:19">
      <c r="B105" s="18"/>
      <c r="C105" s="18"/>
      <c r="D105" s="16"/>
      <c r="E105" s="6"/>
      <c r="G105" s="9"/>
      <c r="H105" s="9"/>
      <c r="K105" s="36"/>
      <c r="M105" s="105"/>
      <c r="N105" s="4"/>
      <c r="O105" s="25"/>
      <c r="P105" s="25"/>
      <c r="Q105" s="25"/>
      <c r="R105" s="25"/>
      <c r="S105" s="77"/>
    </row>
    <row r="106" spans="2:19">
      <c r="B106" s="18"/>
      <c r="C106" s="18"/>
      <c r="D106" s="16"/>
      <c r="E106" s="6"/>
      <c r="G106" s="9"/>
      <c r="H106" s="9"/>
      <c r="K106" s="36"/>
      <c r="M106" s="105"/>
      <c r="N106" s="4"/>
      <c r="O106" s="25"/>
      <c r="P106" s="25"/>
      <c r="Q106" s="25"/>
      <c r="R106" s="25"/>
      <c r="S106" s="77"/>
    </row>
    <row r="107" spans="2:19">
      <c r="B107" s="18"/>
      <c r="C107" s="18"/>
      <c r="D107" s="16"/>
      <c r="E107" s="6"/>
      <c r="G107" s="9"/>
      <c r="H107" s="9"/>
      <c r="K107" s="36"/>
      <c r="M107" s="105"/>
      <c r="N107" s="4"/>
      <c r="O107" s="25"/>
      <c r="P107" s="25"/>
      <c r="Q107" s="25"/>
      <c r="R107" s="25"/>
      <c r="S107" s="77"/>
    </row>
    <row r="108" spans="2:19">
      <c r="B108" s="18"/>
      <c r="C108" s="18"/>
      <c r="D108" s="16"/>
      <c r="E108" s="6"/>
      <c r="G108" s="9"/>
      <c r="H108" s="9"/>
      <c r="K108" s="36"/>
      <c r="M108" s="105"/>
      <c r="N108" s="4"/>
      <c r="O108" s="25"/>
      <c r="P108" s="25"/>
      <c r="Q108" s="25"/>
      <c r="R108" s="25"/>
      <c r="S108" s="77"/>
    </row>
    <row r="109" spans="2:19">
      <c r="B109" s="18"/>
      <c r="C109" s="18"/>
      <c r="D109" s="16"/>
      <c r="E109" s="6"/>
      <c r="G109" s="9"/>
      <c r="H109" s="9"/>
      <c r="K109" s="36"/>
      <c r="M109" s="105"/>
      <c r="N109" s="4"/>
      <c r="O109" s="25"/>
      <c r="P109" s="25"/>
      <c r="Q109" s="25"/>
      <c r="R109" s="25"/>
      <c r="S109" s="77"/>
    </row>
    <row r="110" spans="2:19">
      <c r="B110" s="18"/>
      <c r="C110" s="18"/>
      <c r="D110" s="16"/>
      <c r="E110" s="6"/>
      <c r="G110" s="9"/>
      <c r="H110" s="9"/>
      <c r="K110" s="36"/>
      <c r="M110" s="105"/>
      <c r="N110" s="4"/>
      <c r="O110" s="25"/>
      <c r="P110" s="25"/>
      <c r="Q110" s="25"/>
      <c r="R110" s="25"/>
      <c r="S110" s="77"/>
    </row>
    <row r="111" spans="2:19">
      <c r="B111" s="18"/>
      <c r="C111" s="18"/>
      <c r="D111" s="16"/>
      <c r="E111" s="6"/>
      <c r="G111" s="9"/>
      <c r="H111" s="9"/>
      <c r="K111" s="36"/>
      <c r="M111" s="105"/>
      <c r="N111" s="4"/>
      <c r="O111" s="25"/>
      <c r="P111" s="25"/>
      <c r="Q111" s="25"/>
      <c r="R111" s="25"/>
      <c r="S111" s="77"/>
    </row>
    <row r="112" spans="2:19">
      <c r="B112" s="18"/>
      <c r="C112" s="18"/>
      <c r="D112" s="16"/>
      <c r="E112" s="6"/>
      <c r="G112" s="9"/>
      <c r="H112" s="9"/>
      <c r="K112" s="36"/>
      <c r="N112" s="4"/>
      <c r="O112" s="25"/>
      <c r="P112" s="25"/>
      <c r="Q112" s="25"/>
      <c r="R112" s="25"/>
      <c r="S112" s="77"/>
    </row>
    <row r="113" spans="2:19">
      <c r="B113" s="18"/>
      <c r="C113" s="18"/>
      <c r="D113" s="16"/>
      <c r="E113" s="6"/>
      <c r="G113" s="9"/>
      <c r="H113" s="9"/>
      <c r="K113" s="36"/>
      <c r="M113" s="105"/>
      <c r="N113" s="4"/>
      <c r="O113" s="25"/>
      <c r="P113" s="25"/>
      <c r="Q113" s="25"/>
      <c r="R113" s="25"/>
      <c r="S113" s="77"/>
    </row>
    <row r="114" spans="2:19">
      <c r="B114" s="18"/>
      <c r="C114" s="18"/>
      <c r="D114" s="16"/>
      <c r="E114" s="6"/>
      <c r="G114" s="9"/>
      <c r="H114" s="9"/>
      <c r="K114" s="36"/>
      <c r="M114" s="105"/>
      <c r="N114" s="4"/>
      <c r="O114" s="25"/>
      <c r="P114" s="25"/>
      <c r="Q114" s="25"/>
      <c r="R114" s="25"/>
      <c r="S114" s="77"/>
    </row>
    <row r="115" spans="2:19">
      <c r="B115" s="18"/>
      <c r="C115" s="18"/>
      <c r="D115" s="16"/>
      <c r="E115" s="6"/>
      <c r="G115" s="9"/>
      <c r="H115" s="9"/>
      <c r="K115" s="36"/>
      <c r="M115" s="105"/>
      <c r="N115" s="4"/>
      <c r="O115" s="25"/>
      <c r="P115" s="25"/>
      <c r="Q115" s="25"/>
      <c r="R115" s="25"/>
      <c r="S115" s="77"/>
    </row>
    <row r="116" spans="2:19">
      <c r="B116" s="18"/>
      <c r="C116" s="18"/>
      <c r="D116" s="16"/>
      <c r="E116" s="6"/>
      <c r="G116" s="9"/>
      <c r="H116" s="9"/>
      <c r="K116" s="36"/>
      <c r="M116" s="105"/>
      <c r="N116" s="4"/>
      <c r="O116" s="25"/>
      <c r="P116" s="25"/>
      <c r="Q116" s="25"/>
      <c r="R116" s="25"/>
      <c r="S116" s="77"/>
    </row>
    <row r="117" spans="2:19">
      <c r="B117" s="18"/>
      <c r="C117" s="18"/>
      <c r="D117" s="16"/>
      <c r="E117" s="6"/>
      <c r="G117" s="9"/>
      <c r="H117" s="9"/>
      <c r="K117" s="36"/>
      <c r="M117" s="105"/>
      <c r="N117" s="4"/>
      <c r="O117" s="25"/>
      <c r="P117" s="25"/>
      <c r="Q117" s="25"/>
      <c r="R117" s="25"/>
      <c r="S117" s="77"/>
    </row>
    <row r="118" spans="2:19">
      <c r="B118" s="18"/>
      <c r="C118" s="18"/>
      <c r="D118" s="16"/>
      <c r="E118" s="6"/>
      <c r="G118" s="9"/>
      <c r="H118" s="9"/>
      <c r="K118" s="36"/>
      <c r="M118" s="105"/>
      <c r="N118" s="4"/>
      <c r="O118" s="25"/>
      <c r="P118" s="25"/>
      <c r="Q118" s="25"/>
      <c r="R118" s="25"/>
      <c r="S118" s="77"/>
    </row>
    <row r="119" spans="2:19">
      <c r="B119" s="18"/>
      <c r="C119" s="18"/>
      <c r="D119" s="16"/>
      <c r="E119" s="6"/>
      <c r="G119" s="9"/>
      <c r="H119" s="9"/>
      <c r="K119" s="36"/>
      <c r="M119" s="105"/>
      <c r="N119" s="4"/>
      <c r="O119" s="25"/>
      <c r="P119" s="25"/>
      <c r="Q119" s="25"/>
      <c r="R119" s="25"/>
      <c r="S119" s="77"/>
    </row>
    <row r="120" spans="2:19">
      <c r="B120" s="18"/>
      <c r="C120" s="18"/>
      <c r="D120" s="16"/>
      <c r="E120" s="6"/>
      <c r="G120" s="9"/>
      <c r="H120" s="9"/>
      <c r="K120" s="36"/>
      <c r="M120" s="105"/>
      <c r="N120" s="4"/>
      <c r="O120" s="25"/>
      <c r="P120" s="25"/>
      <c r="Q120" s="25"/>
      <c r="R120" s="25"/>
      <c r="S120" s="77"/>
    </row>
    <row r="121" spans="2:19">
      <c r="B121" s="18"/>
      <c r="C121" s="18"/>
      <c r="D121" s="16"/>
      <c r="E121" s="6"/>
      <c r="G121" s="9"/>
      <c r="H121" s="9"/>
      <c r="K121" s="36"/>
      <c r="M121" s="105"/>
      <c r="N121" s="4"/>
      <c r="O121" s="25"/>
      <c r="P121" s="25"/>
      <c r="Q121" s="25"/>
      <c r="R121" s="25"/>
      <c r="S121" s="77"/>
    </row>
    <row r="122" spans="2:19">
      <c r="B122" s="18"/>
      <c r="C122" s="18"/>
      <c r="D122" s="16"/>
      <c r="E122" s="6"/>
      <c r="G122" s="9"/>
      <c r="H122" s="9"/>
      <c r="K122" s="36"/>
      <c r="M122" s="105"/>
      <c r="N122" s="4"/>
      <c r="O122" s="25"/>
      <c r="P122" s="25"/>
      <c r="Q122" s="25"/>
      <c r="R122" s="25"/>
      <c r="S122" s="77"/>
    </row>
    <row r="123" spans="2:19">
      <c r="B123" s="18"/>
      <c r="C123" s="18"/>
      <c r="D123" s="16"/>
      <c r="E123" s="6"/>
      <c r="G123" s="9"/>
      <c r="H123" s="9"/>
      <c r="K123" s="36"/>
      <c r="M123" s="105"/>
      <c r="N123" s="4"/>
      <c r="O123" s="25"/>
      <c r="P123" s="25"/>
      <c r="Q123" s="25"/>
      <c r="R123" s="25"/>
      <c r="S123" s="77"/>
    </row>
    <row r="124" spans="2:19">
      <c r="B124" s="18"/>
      <c r="C124" s="18"/>
      <c r="D124" s="16"/>
      <c r="E124" s="6"/>
      <c r="G124" s="9"/>
      <c r="H124" s="9"/>
      <c r="K124" s="36"/>
      <c r="M124" s="105"/>
      <c r="N124" s="4"/>
      <c r="O124" s="25"/>
      <c r="P124" s="25"/>
      <c r="Q124" s="25"/>
      <c r="R124" s="25"/>
      <c r="S124" s="77"/>
    </row>
    <row r="125" spans="2:19">
      <c r="B125" s="18"/>
      <c r="C125" s="18"/>
      <c r="D125" s="16"/>
      <c r="E125" s="6"/>
      <c r="G125" s="9"/>
      <c r="H125" s="9"/>
      <c r="K125" s="36"/>
      <c r="M125" s="105"/>
      <c r="N125" s="4"/>
      <c r="O125" s="25"/>
      <c r="P125" s="25"/>
      <c r="Q125" s="25"/>
      <c r="R125" s="25"/>
      <c r="S125" s="77"/>
    </row>
    <row r="126" spans="2:19">
      <c r="B126" s="18"/>
      <c r="C126" s="18"/>
      <c r="D126" s="16"/>
      <c r="E126" s="6"/>
      <c r="G126" s="9"/>
      <c r="H126" s="9"/>
      <c r="K126" s="36"/>
      <c r="M126" s="105"/>
      <c r="N126" s="4"/>
      <c r="O126" s="25"/>
      <c r="P126" s="25"/>
      <c r="Q126" s="25"/>
      <c r="R126" s="25"/>
      <c r="S126" s="77"/>
    </row>
    <row r="127" spans="2:19">
      <c r="B127" s="18"/>
      <c r="C127" s="18"/>
      <c r="D127" s="16"/>
      <c r="E127" s="6"/>
      <c r="G127" s="9"/>
      <c r="H127" s="9"/>
      <c r="K127" s="36"/>
      <c r="M127" s="105"/>
      <c r="N127" s="4"/>
      <c r="O127" s="25"/>
      <c r="P127" s="25"/>
      <c r="Q127" s="25"/>
      <c r="R127" s="25"/>
      <c r="S127" s="77"/>
    </row>
    <row r="128" spans="2:19">
      <c r="B128" s="18"/>
      <c r="C128" s="18"/>
      <c r="D128" s="16"/>
      <c r="E128" s="6"/>
      <c r="G128" s="9"/>
      <c r="H128" s="9"/>
      <c r="K128" s="36"/>
      <c r="M128" s="105"/>
      <c r="N128" s="4"/>
      <c r="O128" s="25"/>
      <c r="P128" s="25"/>
      <c r="Q128" s="25"/>
      <c r="R128" s="25"/>
      <c r="S128" s="77"/>
    </row>
    <row r="129" spans="2:19">
      <c r="B129" s="18"/>
      <c r="C129" s="18"/>
      <c r="D129" s="16"/>
      <c r="E129" s="6"/>
      <c r="G129" s="9"/>
      <c r="H129" s="9"/>
      <c r="K129" s="36"/>
      <c r="M129" s="105"/>
      <c r="N129" s="4"/>
      <c r="O129" s="25"/>
      <c r="P129" s="25"/>
      <c r="Q129" s="25"/>
      <c r="R129" s="25"/>
      <c r="S129" s="77"/>
    </row>
    <row r="130" spans="2:19">
      <c r="B130" s="18"/>
      <c r="C130" s="18"/>
      <c r="D130" s="16"/>
      <c r="E130" s="6"/>
      <c r="G130" s="9"/>
      <c r="H130" s="9"/>
      <c r="K130" s="36"/>
      <c r="M130" s="105"/>
      <c r="N130" s="4"/>
      <c r="O130" s="25"/>
      <c r="P130" s="25"/>
      <c r="Q130" s="25"/>
      <c r="R130" s="25"/>
      <c r="S130" s="77"/>
    </row>
    <row r="131" spans="2:19">
      <c r="B131" s="18"/>
      <c r="C131" s="18"/>
      <c r="D131" s="16"/>
      <c r="E131" s="6"/>
      <c r="G131" s="9"/>
      <c r="H131" s="9"/>
      <c r="K131" s="36"/>
      <c r="M131" s="105"/>
      <c r="N131" s="4"/>
      <c r="O131" s="25"/>
      <c r="P131" s="25"/>
      <c r="Q131" s="25"/>
      <c r="R131" s="25"/>
      <c r="S131" s="77"/>
    </row>
    <row r="132" spans="2:19">
      <c r="B132" s="18"/>
      <c r="C132" s="18"/>
      <c r="D132" s="16"/>
      <c r="E132" s="6"/>
      <c r="G132" s="9"/>
      <c r="H132" s="9"/>
      <c r="K132" s="36"/>
      <c r="M132" s="105"/>
      <c r="N132" s="4"/>
      <c r="O132" s="25"/>
      <c r="P132" s="25"/>
      <c r="Q132" s="25"/>
      <c r="R132" s="25"/>
      <c r="S132" s="77"/>
    </row>
    <row r="133" spans="2:19">
      <c r="B133" s="18"/>
      <c r="C133" s="18"/>
      <c r="D133" s="16"/>
      <c r="E133" s="6"/>
      <c r="G133" s="9"/>
      <c r="H133" s="9"/>
      <c r="K133" s="36"/>
      <c r="M133" s="105"/>
      <c r="N133" s="4"/>
      <c r="O133" s="25"/>
      <c r="P133" s="25"/>
      <c r="Q133" s="25"/>
      <c r="R133" s="25"/>
      <c r="S133" s="77"/>
    </row>
    <row r="134" spans="2:19">
      <c r="B134" s="18"/>
      <c r="C134" s="18"/>
      <c r="D134" s="16"/>
      <c r="E134" s="6"/>
      <c r="G134" s="9"/>
      <c r="H134" s="9"/>
      <c r="K134" s="36"/>
      <c r="M134" s="105"/>
      <c r="N134" s="4"/>
      <c r="O134" s="25"/>
      <c r="P134" s="25"/>
      <c r="Q134" s="25"/>
      <c r="R134" s="25"/>
      <c r="S134" s="77"/>
    </row>
    <row r="135" spans="2:19">
      <c r="B135" s="18"/>
      <c r="C135" s="18"/>
      <c r="D135" s="16"/>
      <c r="E135" s="6"/>
      <c r="G135" s="9"/>
      <c r="H135" s="9"/>
      <c r="K135" s="36"/>
      <c r="M135" s="105"/>
      <c r="N135" s="4"/>
      <c r="O135" s="25"/>
      <c r="P135" s="25"/>
      <c r="Q135" s="25"/>
      <c r="R135" s="25"/>
      <c r="S135" s="77"/>
    </row>
    <row r="136" spans="2:19">
      <c r="B136" s="18"/>
      <c r="C136" s="18"/>
      <c r="D136" s="16"/>
      <c r="E136" s="6"/>
      <c r="G136" s="9"/>
      <c r="H136" s="9"/>
      <c r="K136" s="36"/>
      <c r="M136" s="105"/>
      <c r="N136" s="4"/>
      <c r="O136" s="25"/>
      <c r="P136" s="25"/>
      <c r="Q136" s="25"/>
      <c r="R136" s="25"/>
      <c r="S136" s="77"/>
    </row>
    <row r="137" spans="2:19">
      <c r="B137" s="18"/>
      <c r="C137" s="18"/>
      <c r="D137" s="16"/>
      <c r="E137" s="6"/>
      <c r="G137" s="9"/>
      <c r="H137" s="9"/>
      <c r="K137" s="36"/>
      <c r="M137" s="105"/>
      <c r="N137" s="4"/>
      <c r="O137" s="25"/>
      <c r="P137" s="25"/>
      <c r="Q137" s="25"/>
      <c r="R137" s="25"/>
      <c r="S137" s="77"/>
    </row>
    <row r="138" spans="2:19">
      <c r="B138" s="18"/>
      <c r="C138" s="18"/>
      <c r="D138" s="16"/>
      <c r="E138" s="6"/>
      <c r="G138" s="9"/>
      <c r="H138" s="9"/>
      <c r="K138" s="36"/>
      <c r="M138" s="105"/>
      <c r="N138" s="4"/>
      <c r="O138" s="25"/>
      <c r="P138" s="25"/>
      <c r="Q138" s="25"/>
      <c r="R138" s="25"/>
      <c r="S138" s="77"/>
    </row>
    <row r="139" spans="2:19">
      <c r="B139" s="18"/>
      <c r="C139" s="18"/>
      <c r="D139" s="16"/>
      <c r="E139" s="6"/>
      <c r="G139" s="9"/>
      <c r="H139" s="9"/>
      <c r="K139" s="36"/>
      <c r="M139" s="105"/>
      <c r="N139" s="4"/>
      <c r="O139" s="25"/>
      <c r="P139" s="25"/>
      <c r="Q139" s="25"/>
      <c r="R139" s="25"/>
      <c r="S139" s="77"/>
    </row>
    <row r="140" spans="2:19">
      <c r="B140" s="18"/>
      <c r="C140" s="18"/>
      <c r="D140" s="16"/>
      <c r="E140" s="6"/>
      <c r="G140" s="9"/>
      <c r="H140" s="9"/>
      <c r="K140" s="36"/>
      <c r="M140" s="105"/>
      <c r="N140" s="4"/>
      <c r="O140" s="25"/>
      <c r="P140" s="25"/>
      <c r="Q140" s="25"/>
      <c r="R140" s="25"/>
      <c r="S140" s="77"/>
    </row>
    <row r="141" spans="2:19">
      <c r="B141" s="18"/>
      <c r="C141" s="18"/>
      <c r="D141" s="16"/>
      <c r="E141" s="6"/>
      <c r="G141" s="9"/>
      <c r="H141" s="9"/>
      <c r="K141" s="36"/>
      <c r="M141" s="105"/>
      <c r="N141" s="4"/>
      <c r="O141" s="25"/>
      <c r="P141" s="25"/>
      <c r="Q141" s="25"/>
      <c r="R141" s="25"/>
      <c r="S141" s="77"/>
    </row>
    <row r="142" spans="2:19">
      <c r="B142" s="18"/>
      <c r="C142" s="18"/>
      <c r="D142" s="16"/>
      <c r="E142" s="6"/>
      <c r="G142" s="9"/>
      <c r="H142" s="9"/>
      <c r="K142" s="36"/>
      <c r="M142" s="105"/>
      <c r="N142" s="4"/>
      <c r="O142" s="25"/>
      <c r="P142" s="25"/>
      <c r="Q142" s="77"/>
      <c r="R142" s="77"/>
      <c r="S142" s="77"/>
    </row>
    <row r="143" spans="2:19">
      <c r="B143" s="18"/>
      <c r="C143" s="18"/>
      <c r="D143" s="16"/>
      <c r="E143" s="6"/>
      <c r="G143" s="9"/>
      <c r="H143" s="9"/>
      <c r="K143" s="36"/>
      <c r="M143" s="105"/>
      <c r="N143" s="4"/>
      <c r="O143" s="25"/>
      <c r="P143" s="25"/>
      <c r="Q143" s="77"/>
      <c r="R143" s="77"/>
      <c r="S143" s="77"/>
    </row>
    <row r="144" spans="2:19">
      <c r="B144" s="18"/>
      <c r="C144" s="18"/>
      <c r="D144" s="16"/>
      <c r="E144" s="6"/>
      <c r="G144" s="9"/>
      <c r="H144" s="9"/>
      <c r="K144" s="36"/>
      <c r="M144" s="105"/>
      <c r="N144" s="4"/>
      <c r="O144" s="25"/>
      <c r="P144" s="25"/>
      <c r="Q144" s="77"/>
      <c r="R144" s="77"/>
      <c r="S144" s="77"/>
    </row>
    <row r="145" spans="2:19">
      <c r="B145" s="18"/>
      <c r="C145" s="18"/>
      <c r="D145" s="16"/>
      <c r="E145" s="6"/>
      <c r="G145" s="9"/>
      <c r="H145" s="9"/>
      <c r="K145" s="36"/>
      <c r="M145" s="105"/>
      <c r="N145" s="4"/>
      <c r="O145" s="25"/>
      <c r="P145" s="25"/>
      <c r="Q145" s="77"/>
      <c r="R145" s="77"/>
      <c r="S145" s="77"/>
    </row>
    <row r="146" spans="2:19">
      <c r="B146" s="18"/>
      <c r="C146" s="18"/>
      <c r="D146" s="16"/>
      <c r="E146" s="6"/>
      <c r="G146" s="9"/>
      <c r="H146" s="9"/>
      <c r="K146" s="36"/>
      <c r="M146" s="105"/>
      <c r="N146" s="4"/>
      <c r="O146" s="25"/>
      <c r="P146" s="25"/>
      <c r="Q146" s="77"/>
      <c r="R146" s="77"/>
      <c r="S146" s="77"/>
    </row>
    <row r="147" spans="2:19">
      <c r="B147" s="18"/>
      <c r="C147" s="18"/>
      <c r="D147" s="16"/>
      <c r="E147" s="6"/>
      <c r="G147" s="9"/>
      <c r="H147" s="9"/>
      <c r="K147" s="36"/>
      <c r="M147" s="105"/>
      <c r="N147" s="4"/>
      <c r="O147" s="25"/>
      <c r="P147" s="25"/>
      <c r="Q147" s="77"/>
      <c r="R147" s="77"/>
      <c r="S147" s="77"/>
    </row>
    <row r="148" spans="2:19">
      <c r="B148" s="18"/>
      <c r="C148" s="18"/>
      <c r="D148" s="16"/>
      <c r="E148" s="6"/>
      <c r="G148" s="9"/>
      <c r="H148" s="9"/>
      <c r="K148" s="36"/>
      <c r="M148" s="105"/>
      <c r="N148" s="4"/>
      <c r="O148" s="25"/>
      <c r="P148" s="25"/>
      <c r="Q148" s="77"/>
      <c r="R148" s="77"/>
      <c r="S148" s="77"/>
    </row>
    <row r="149" spans="2:19">
      <c r="B149" s="18"/>
      <c r="C149" s="18"/>
      <c r="D149" s="16"/>
      <c r="E149" s="6"/>
      <c r="G149" s="9"/>
      <c r="H149" s="9"/>
      <c r="K149" s="36"/>
      <c r="M149" s="105"/>
      <c r="N149" s="4"/>
      <c r="O149" s="25"/>
      <c r="P149" s="25"/>
      <c r="Q149" s="77"/>
      <c r="R149" s="77"/>
      <c r="S149" s="77"/>
    </row>
    <row r="150" spans="2:19">
      <c r="B150" s="18"/>
      <c r="C150" s="18"/>
      <c r="D150" s="16"/>
      <c r="E150" s="6"/>
      <c r="G150" s="9"/>
      <c r="H150" s="9"/>
      <c r="K150" s="36"/>
      <c r="N150" s="4"/>
      <c r="O150" s="25"/>
      <c r="P150" s="25"/>
      <c r="Q150" s="77"/>
      <c r="R150" s="77"/>
      <c r="S150" s="77"/>
    </row>
    <row r="151" spans="2:19">
      <c r="B151" s="18"/>
      <c r="C151" s="18"/>
      <c r="D151" s="16"/>
      <c r="E151" s="6"/>
      <c r="G151" s="9"/>
      <c r="H151" s="9"/>
      <c r="K151" s="36"/>
      <c r="M151" s="69"/>
      <c r="N151" s="4"/>
      <c r="O151" s="25"/>
      <c r="P151" s="25"/>
      <c r="Q151" s="77"/>
      <c r="R151" s="77"/>
      <c r="S151" s="77"/>
    </row>
    <row r="152" spans="2:19">
      <c r="B152" s="18"/>
      <c r="C152" s="18"/>
      <c r="D152" s="16"/>
      <c r="E152" s="6"/>
      <c r="G152" s="9"/>
      <c r="H152" s="9"/>
      <c r="K152" s="36"/>
      <c r="M152" s="69"/>
      <c r="N152" s="4"/>
      <c r="O152" s="25"/>
      <c r="P152" s="25"/>
      <c r="Q152" s="77"/>
      <c r="R152" s="77"/>
      <c r="S152" s="77"/>
    </row>
    <row r="153" spans="2:19">
      <c r="B153" s="18"/>
      <c r="C153" s="18"/>
      <c r="D153" s="16"/>
      <c r="E153" s="6"/>
      <c r="G153" s="9"/>
      <c r="H153" s="9"/>
      <c r="K153" s="36"/>
      <c r="M153" s="69"/>
      <c r="N153" s="4"/>
      <c r="O153" s="25"/>
      <c r="P153" s="25"/>
      <c r="Q153" s="77"/>
      <c r="R153" s="77"/>
      <c r="S153" s="77"/>
    </row>
    <row r="154" spans="2:19">
      <c r="B154" s="18"/>
      <c r="C154" s="18"/>
      <c r="D154" s="16"/>
      <c r="E154" s="6"/>
      <c r="G154" s="9"/>
      <c r="H154" s="9"/>
      <c r="K154" s="36"/>
      <c r="M154" s="69"/>
      <c r="N154" s="4"/>
      <c r="O154" s="25"/>
      <c r="P154" s="25"/>
      <c r="Q154" s="77"/>
      <c r="R154" s="77"/>
      <c r="S154" s="77"/>
    </row>
    <row r="155" spans="2:19">
      <c r="B155" s="18"/>
      <c r="C155" s="18"/>
      <c r="D155" s="16"/>
      <c r="E155" s="6"/>
      <c r="G155" s="9"/>
      <c r="H155" s="9"/>
      <c r="K155" s="36"/>
      <c r="M155" s="69"/>
      <c r="N155" s="4"/>
      <c r="O155" s="25"/>
      <c r="P155" s="25"/>
      <c r="Q155" s="77"/>
      <c r="R155" s="77"/>
      <c r="S155" s="77"/>
    </row>
    <row r="156" spans="2:19">
      <c r="B156" s="18"/>
      <c r="C156" s="18"/>
      <c r="D156" s="16"/>
      <c r="E156" s="6"/>
      <c r="G156" s="9"/>
      <c r="H156" s="9"/>
      <c r="K156" s="36"/>
      <c r="M156" s="69"/>
      <c r="N156" s="4"/>
      <c r="O156" s="25"/>
      <c r="P156" s="25"/>
      <c r="Q156" s="77"/>
      <c r="R156" s="77"/>
      <c r="S156" s="77"/>
    </row>
    <row r="157" spans="2:19">
      <c r="B157" s="18"/>
      <c r="C157" s="18"/>
      <c r="D157" s="16"/>
      <c r="E157" s="6"/>
      <c r="G157" s="9"/>
      <c r="H157" s="9"/>
      <c r="K157" s="36"/>
      <c r="M157" s="69"/>
      <c r="N157" s="4"/>
      <c r="O157" s="25"/>
      <c r="P157" s="25"/>
      <c r="Q157" s="77"/>
      <c r="R157" s="77"/>
      <c r="S157" s="77"/>
    </row>
    <row r="158" spans="2:19">
      <c r="B158" s="18"/>
      <c r="C158" s="18"/>
      <c r="D158" s="16"/>
      <c r="E158" s="6"/>
      <c r="G158" s="9"/>
      <c r="H158" s="9"/>
      <c r="K158" s="36"/>
      <c r="M158" s="69"/>
      <c r="N158" s="4"/>
      <c r="O158" s="25"/>
      <c r="P158" s="25"/>
      <c r="Q158" s="77"/>
      <c r="R158" s="77"/>
      <c r="S158" s="77"/>
    </row>
    <row r="159" spans="2:19">
      <c r="B159" s="18"/>
      <c r="C159" s="18"/>
      <c r="D159" s="16"/>
      <c r="E159" s="6"/>
      <c r="G159" s="9"/>
      <c r="H159" s="9"/>
      <c r="K159" s="36"/>
      <c r="M159" s="69"/>
      <c r="N159" s="4"/>
      <c r="O159" s="25"/>
      <c r="P159" s="25"/>
      <c r="Q159" s="77"/>
      <c r="R159" s="77"/>
      <c r="S159" s="77"/>
    </row>
    <row r="160" spans="2:19">
      <c r="B160" s="18"/>
      <c r="C160" s="18"/>
      <c r="D160" s="16"/>
      <c r="E160" s="6"/>
      <c r="G160" s="9"/>
      <c r="H160" s="9"/>
      <c r="K160" s="36"/>
      <c r="M160" s="69"/>
      <c r="N160" s="4"/>
      <c r="O160" s="25"/>
      <c r="P160" s="25"/>
      <c r="Q160" s="77"/>
      <c r="R160" s="77"/>
      <c r="S160" s="77"/>
    </row>
    <row r="161" spans="2:21">
      <c r="B161" s="18"/>
      <c r="C161" s="18"/>
      <c r="D161" s="16"/>
      <c r="E161" s="6"/>
      <c r="G161" s="9"/>
      <c r="H161" s="9"/>
      <c r="K161" s="36"/>
      <c r="M161" s="69"/>
      <c r="N161" s="4"/>
      <c r="O161" s="25"/>
      <c r="P161" s="25"/>
      <c r="Q161" s="77"/>
      <c r="R161" s="77"/>
      <c r="S161" s="77"/>
    </row>
    <row r="162" spans="2:21">
      <c r="B162" s="18"/>
      <c r="C162" s="18"/>
      <c r="D162" s="16"/>
      <c r="E162" s="6"/>
      <c r="G162" s="9"/>
      <c r="H162" s="9"/>
      <c r="K162" s="36"/>
      <c r="M162" s="69"/>
      <c r="N162" s="4"/>
      <c r="O162" s="25"/>
      <c r="P162" s="25"/>
      <c r="Q162" s="77"/>
      <c r="R162" s="77"/>
      <c r="S162" s="77"/>
    </row>
    <row r="163" spans="2:21">
      <c r="B163" s="18"/>
      <c r="C163" s="18"/>
      <c r="D163" s="16"/>
      <c r="E163" s="6"/>
      <c r="G163" s="9"/>
      <c r="H163" s="9"/>
      <c r="J163" s="45"/>
      <c r="K163" s="45"/>
      <c r="M163" s="69"/>
      <c r="N163" s="4"/>
      <c r="O163" s="25"/>
      <c r="P163" s="25"/>
      <c r="Q163" s="25"/>
      <c r="R163" s="25"/>
      <c r="S163" s="77"/>
    </row>
    <row r="164" spans="2:21">
      <c r="B164" s="18"/>
      <c r="C164" s="18"/>
      <c r="D164" s="16"/>
      <c r="E164" s="6"/>
      <c r="G164" s="9"/>
      <c r="H164" s="9"/>
      <c r="J164" s="45"/>
      <c r="K164" s="45"/>
      <c r="M164" s="69"/>
      <c r="N164" s="4"/>
      <c r="O164" s="25"/>
      <c r="P164" s="25"/>
      <c r="Q164" s="25"/>
      <c r="R164" s="25"/>
      <c r="S164" s="77"/>
    </row>
    <row r="165" spans="2:21">
      <c r="B165" s="18"/>
      <c r="C165" s="18"/>
      <c r="D165" s="16"/>
      <c r="E165" s="6"/>
      <c r="G165" s="9"/>
      <c r="H165" s="9"/>
      <c r="J165" s="45"/>
      <c r="K165" s="45"/>
      <c r="M165" s="69"/>
      <c r="N165" s="4"/>
      <c r="O165" s="25"/>
      <c r="P165" s="25"/>
      <c r="Q165" s="25"/>
      <c r="R165" s="25"/>
      <c r="S165" s="77"/>
    </row>
    <row r="166" spans="2:21">
      <c r="B166" s="18"/>
      <c r="C166" s="18"/>
      <c r="D166" s="16"/>
      <c r="E166" s="6"/>
      <c r="G166" s="9"/>
      <c r="H166" s="9"/>
      <c r="J166" s="45"/>
      <c r="K166" s="45"/>
      <c r="M166" s="69"/>
      <c r="N166" s="4"/>
      <c r="O166" s="25"/>
      <c r="P166" s="25"/>
      <c r="Q166" s="25"/>
      <c r="R166" s="25"/>
      <c r="S166" s="77"/>
    </row>
    <row r="167" spans="2:21">
      <c r="B167" s="18"/>
      <c r="C167" s="18"/>
      <c r="D167" s="16"/>
      <c r="E167" s="6"/>
      <c r="G167" s="9"/>
      <c r="H167" s="9"/>
      <c r="J167" s="45"/>
      <c r="K167" s="45"/>
      <c r="M167" s="69"/>
      <c r="N167" s="4"/>
      <c r="O167" s="25"/>
      <c r="P167" s="25"/>
      <c r="Q167" s="25"/>
      <c r="R167" s="25"/>
      <c r="S167" s="77"/>
    </row>
    <row r="168" spans="2:21">
      <c r="B168" s="18"/>
      <c r="C168" s="18"/>
      <c r="D168" s="16"/>
      <c r="E168" s="6"/>
      <c r="G168" s="9"/>
      <c r="H168" s="9"/>
      <c r="J168" s="45"/>
      <c r="K168" s="45"/>
      <c r="M168" s="69"/>
      <c r="N168" s="4"/>
      <c r="O168" s="25"/>
      <c r="P168" s="25"/>
      <c r="Q168" s="25"/>
      <c r="R168" s="25"/>
      <c r="S168" s="77"/>
    </row>
    <row r="169" spans="2:21">
      <c r="B169" s="18"/>
      <c r="C169" s="18"/>
      <c r="D169" s="16"/>
      <c r="E169" s="6"/>
      <c r="G169" s="9"/>
      <c r="H169" s="9"/>
      <c r="J169" s="45"/>
      <c r="K169" s="45"/>
      <c r="M169" s="69"/>
      <c r="N169" s="4"/>
      <c r="O169" s="25"/>
      <c r="P169" s="25"/>
      <c r="Q169" s="25"/>
      <c r="R169" s="25"/>
      <c r="S169" s="77"/>
    </row>
    <row r="170" spans="2:21">
      <c r="B170" s="18"/>
      <c r="C170" s="18"/>
      <c r="D170" s="16"/>
      <c r="E170" s="6"/>
      <c r="G170" s="9"/>
      <c r="H170" s="9"/>
      <c r="J170" s="45"/>
      <c r="K170" s="45"/>
      <c r="M170" s="69"/>
      <c r="N170" s="4"/>
      <c r="O170" s="25"/>
      <c r="P170" s="25"/>
      <c r="Q170" s="25"/>
      <c r="R170" s="25"/>
      <c r="S170" s="77"/>
    </row>
    <row r="171" spans="2:21">
      <c r="B171" s="18"/>
      <c r="C171" s="18"/>
      <c r="D171" s="16"/>
      <c r="E171" s="6"/>
      <c r="G171" s="9"/>
      <c r="H171" s="9"/>
      <c r="J171" s="45"/>
      <c r="K171" s="45"/>
      <c r="M171" s="69"/>
      <c r="N171" s="4"/>
      <c r="O171" s="25"/>
      <c r="P171" s="25"/>
      <c r="Q171" s="25"/>
      <c r="R171" s="25"/>
      <c r="S171" s="77"/>
    </row>
    <row r="172" spans="2:21">
      <c r="B172" s="18"/>
      <c r="C172" s="18"/>
      <c r="D172" s="16"/>
      <c r="E172" s="6"/>
      <c r="G172" s="9"/>
      <c r="H172" s="9"/>
      <c r="J172" s="45"/>
      <c r="K172" s="45"/>
      <c r="M172" s="69"/>
      <c r="N172" s="4"/>
      <c r="O172" s="25"/>
      <c r="P172" s="25"/>
      <c r="Q172" s="25"/>
      <c r="R172" s="25"/>
      <c r="S172" s="77"/>
    </row>
    <row r="173" spans="2:21">
      <c r="B173" s="18"/>
      <c r="C173" s="18"/>
      <c r="D173" s="16"/>
      <c r="E173" s="6"/>
      <c r="G173" s="9"/>
      <c r="H173" s="9"/>
      <c r="J173" s="45"/>
      <c r="K173" s="45"/>
      <c r="M173" s="69"/>
      <c r="N173" s="4"/>
      <c r="O173" s="25"/>
      <c r="P173" s="25"/>
      <c r="Q173" s="25"/>
      <c r="R173" s="25"/>
      <c r="S173" s="77"/>
    </row>
    <row r="174" spans="2:21">
      <c r="B174" s="18"/>
      <c r="C174" s="18"/>
      <c r="D174" s="16"/>
      <c r="E174" s="6"/>
      <c r="G174" s="9"/>
      <c r="H174" s="9"/>
      <c r="J174" s="45"/>
      <c r="K174" s="45"/>
      <c r="M174" s="69"/>
      <c r="N174" s="4"/>
      <c r="O174" s="25"/>
      <c r="P174" s="25"/>
      <c r="Q174" s="25"/>
      <c r="R174" s="25"/>
      <c r="S174" s="77"/>
    </row>
    <row r="175" spans="2:21">
      <c r="B175" s="18"/>
      <c r="C175" s="18"/>
      <c r="D175" s="16"/>
      <c r="E175" s="6"/>
      <c r="G175" s="9"/>
      <c r="H175" s="9"/>
      <c r="J175" s="45"/>
      <c r="K175" s="45"/>
      <c r="M175" s="69"/>
      <c r="N175" s="4"/>
      <c r="O175" s="25"/>
      <c r="P175" s="25"/>
      <c r="Q175" s="25"/>
      <c r="R175" s="25"/>
      <c r="S175" s="77"/>
    </row>
    <row r="176" spans="2:21">
      <c r="B176" s="18"/>
      <c r="C176" s="18"/>
      <c r="D176" s="16"/>
      <c r="E176" s="6"/>
      <c r="G176" s="9"/>
      <c r="H176" s="9"/>
      <c r="J176" s="45"/>
      <c r="K176" s="45"/>
      <c r="M176" s="69"/>
      <c r="N176" s="4"/>
      <c r="O176" s="25"/>
      <c r="P176" s="25"/>
      <c r="Q176" s="25"/>
      <c r="R176" s="25"/>
      <c r="S176" s="77"/>
      <c r="U176" s="76"/>
    </row>
    <row r="177" spans="2:21">
      <c r="B177" s="18"/>
      <c r="C177" s="18"/>
      <c r="D177" s="16"/>
      <c r="E177" s="6"/>
      <c r="G177" s="9"/>
      <c r="H177" s="9"/>
      <c r="J177" s="45"/>
      <c r="K177" s="46"/>
      <c r="M177" s="69"/>
      <c r="N177" s="4"/>
      <c r="O177" s="25"/>
      <c r="P177" s="25"/>
      <c r="Q177" s="25"/>
      <c r="R177" s="25"/>
      <c r="S177" s="77"/>
      <c r="U177" s="76"/>
    </row>
    <row r="178" spans="2:21">
      <c r="B178" s="18"/>
      <c r="C178" s="18"/>
      <c r="D178" s="16"/>
      <c r="E178" s="6"/>
      <c r="G178" s="9"/>
      <c r="H178" s="9"/>
      <c r="J178" s="45"/>
      <c r="K178" s="46"/>
      <c r="M178" s="69"/>
      <c r="N178" s="4"/>
      <c r="O178" s="25"/>
      <c r="P178" s="25"/>
      <c r="Q178" s="25"/>
      <c r="R178" s="25"/>
      <c r="S178" s="77"/>
      <c r="U178" s="76"/>
    </row>
    <row r="179" spans="2:21">
      <c r="B179" s="18"/>
      <c r="C179" s="18"/>
      <c r="D179" s="16"/>
      <c r="E179" s="6"/>
      <c r="G179" s="9"/>
      <c r="H179" s="9"/>
      <c r="J179" s="45"/>
      <c r="K179" s="46"/>
      <c r="M179" s="69"/>
      <c r="N179" s="4"/>
      <c r="O179" s="25"/>
      <c r="P179" s="25"/>
      <c r="Q179" s="25"/>
      <c r="R179" s="25"/>
      <c r="S179" s="77"/>
      <c r="U179" s="76"/>
    </row>
    <row r="180" spans="2:21">
      <c r="B180" s="18"/>
      <c r="C180" s="18"/>
      <c r="D180" s="16"/>
      <c r="E180" s="6"/>
      <c r="G180" s="9"/>
      <c r="H180" s="9"/>
      <c r="J180" s="45"/>
      <c r="K180" s="46"/>
      <c r="M180" s="69"/>
      <c r="N180" s="4"/>
      <c r="O180" s="25"/>
      <c r="P180" s="25"/>
      <c r="Q180" s="25"/>
      <c r="R180" s="25"/>
      <c r="S180" s="77"/>
      <c r="U180" s="76"/>
    </row>
    <row r="181" spans="2:21">
      <c r="B181" s="18"/>
      <c r="C181" s="18"/>
      <c r="D181" s="16"/>
      <c r="E181" s="6"/>
      <c r="G181" s="9"/>
      <c r="H181" s="9"/>
      <c r="J181" s="45"/>
      <c r="K181" s="46"/>
      <c r="M181" s="69"/>
      <c r="N181" s="4"/>
      <c r="O181" s="25"/>
      <c r="P181" s="25"/>
      <c r="Q181" s="25"/>
      <c r="R181" s="25"/>
      <c r="S181" s="77"/>
      <c r="U181" s="76"/>
    </row>
    <row r="182" spans="2:21">
      <c r="B182" s="18"/>
      <c r="C182" s="18"/>
      <c r="D182" s="16"/>
      <c r="E182" s="6"/>
      <c r="G182" s="9"/>
      <c r="H182" s="9"/>
      <c r="J182" s="45"/>
      <c r="K182" s="46"/>
      <c r="M182" s="69"/>
      <c r="N182" s="4"/>
      <c r="O182" s="25"/>
      <c r="P182" s="25"/>
      <c r="Q182" s="25"/>
      <c r="R182" s="25"/>
      <c r="S182" s="77"/>
      <c r="U182" s="90"/>
    </row>
    <row r="183" spans="2:21">
      <c r="B183" s="18"/>
      <c r="C183" s="18"/>
      <c r="D183" s="16"/>
      <c r="E183" s="6"/>
      <c r="G183" s="9"/>
      <c r="H183" s="9"/>
      <c r="J183" s="45"/>
      <c r="K183" s="46"/>
      <c r="M183" s="69"/>
      <c r="N183" s="4"/>
      <c r="O183" s="25"/>
      <c r="P183" s="25"/>
      <c r="Q183" s="25"/>
      <c r="R183" s="25"/>
      <c r="S183" s="77"/>
      <c r="U183" s="76"/>
    </row>
    <row r="184" spans="2:21">
      <c r="B184" s="18"/>
      <c r="C184" s="18"/>
      <c r="D184" s="16"/>
      <c r="E184" s="6"/>
      <c r="G184" s="9"/>
      <c r="H184" s="9"/>
      <c r="J184" s="45"/>
      <c r="K184" s="46"/>
      <c r="M184" s="69"/>
      <c r="N184" s="4"/>
      <c r="O184" s="25"/>
      <c r="P184" s="25"/>
      <c r="Q184" s="25"/>
      <c r="R184" s="25"/>
      <c r="S184" s="77"/>
      <c r="U184" s="76"/>
    </row>
    <row r="185" spans="2:21">
      <c r="B185" s="18"/>
      <c r="C185" s="18"/>
      <c r="D185" s="16"/>
      <c r="E185" s="6"/>
      <c r="G185" s="9"/>
      <c r="H185" s="9"/>
      <c r="J185" s="45"/>
      <c r="K185" s="46"/>
      <c r="M185" s="69"/>
      <c r="N185" s="4"/>
      <c r="O185" s="25"/>
      <c r="P185" s="25"/>
      <c r="Q185" s="25"/>
      <c r="R185" s="25"/>
      <c r="S185" s="77"/>
      <c r="U185" s="76"/>
    </row>
    <row r="186" spans="2:21">
      <c r="B186" s="18"/>
      <c r="C186" s="18"/>
      <c r="D186" s="16"/>
      <c r="E186" s="6"/>
      <c r="G186" s="9"/>
      <c r="H186" s="9"/>
      <c r="J186" s="45"/>
      <c r="K186" s="46"/>
      <c r="M186" s="69"/>
      <c r="N186" s="4"/>
      <c r="O186" s="25"/>
      <c r="P186" s="25"/>
      <c r="Q186" s="25"/>
      <c r="R186" s="25"/>
      <c r="S186" s="77"/>
      <c r="U186" s="76"/>
    </row>
    <row r="187" spans="2:21">
      <c r="B187" s="18"/>
      <c r="C187" s="18"/>
      <c r="D187" s="16"/>
      <c r="E187" s="6"/>
      <c r="G187" s="9"/>
      <c r="H187" s="9"/>
      <c r="J187" s="45"/>
      <c r="K187" s="46"/>
      <c r="M187" s="69"/>
      <c r="N187" s="4"/>
      <c r="O187" s="25"/>
      <c r="P187" s="25"/>
      <c r="Q187" s="25"/>
      <c r="R187" s="25"/>
      <c r="S187" s="77"/>
      <c r="U187" s="76"/>
    </row>
    <row r="188" spans="2:21">
      <c r="B188" s="18"/>
      <c r="C188" s="18"/>
      <c r="D188" s="16"/>
      <c r="E188" s="6"/>
      <c r="G188" s="9"/>
      <c r="H188" s="9"/>
      <c r="J188" s="45"/>
      <c r="K188" s="46"/>
      <c r="M188" s="69"/>
      <c r="N188" s="4"/>
      <c r="O188" s="25"/>
      <c r="P188" s="25"/>
      <c r="Q188" s="25"/>
      <c r="R188" s="25"/>
      <c r="S188" s="77"/>
      <c r="U188" s="76"/>
    </row>
    <row r="189" spans="2:21">
      <c r="B189" s="18"/>
      <c r="C189" s="18"/>
      <c r="D189" s="16"/>
      <c r="E189" s="6"/>
      <c r="G189" s="9"/>
      <c r="H189" s="9"/>
      <c r="J189" s="45"/>
      <c r="K189" s="46"/>
      <c r="M189" s="69"/>
      <c r="N189" s="4"/>
      <c r="O189" s="25"/>
      <c r="P189" s="25"/>
      <c r="Q189" s="25"/>
      <c r="R189" s="25"/>
      <c r="S189" s="77"/>
      <c r="U189" s="76"/>
    </row>
    <row r="190" spans="2:21">
      <c r="B190" s="18"/>
      <c r="C190" s="18"/>
      <c r="D190" s="16"/>
      <c r="E190" s="6"/>
      <c r="G190" s="9"/>
      <c r="H190" s="9"/>
      <c r="J190" s="45"/>
      <c r="K190" s="46"/>
      <c r="M190" s="69"/>
      <c r="N190" s="4"/>
      <c r="O190" s="25"/>
      <c r="P190" s="25"/>
      <c r="Q190" s="25"/>
      <c r="R190" s="25"/>
      <c r="S190" s="77"/>
      <c r="U190" s="76"/>
    </row>
    <row r="191" spans="2:21">
      <c r="B191" s="18"/>
      <c r="C191" s="18"/>
      <c r="D191" s="16"/>
      <c r="E191" s="6"/>
      <c r="G191" s="9"/>
      <c r="H191" s="9"/>
      <c r="J191" s="45"/>
      <c r="K191" s="46"/>
      <c r="M191" s="69"/>
      <c r="N191" s="4"/>
      <c r="O191" s="25"/>
      <c r="P191" s="25"/>
      <c r="Q191" s="25"/>
      <c r="R191" s="25"/>
      <c r="S191" s="77"/>
      <c r="U191" s="76"/>
    </row>
    <row r="192" spans="2:21">
      <c r="B192" s="18"/>
      <c r="C192" s="18"/>
      <c r="D192" s="16"/>
      <c r="E192" s="6"/>
      <c r="G192" s="9"/>
      <c r="H192" s="9"/>
      <c r="J192" s="45"/>
      <c r="K192" s="46"/>
      <c r="M192" s="69"/>
      <c r="N192" s="4"/>
      <c r="O192" s="25"/>
      <c r="P192" s="25"/>
      <c r="Q192" s="25"/>
      <c r="R192" s="25"/>
      <c r="S192" s="77"/>
      <c r="U192" s="76"/>
    </row>
    <row r="193" spans="2:21">
      <c r="B193" s="18"/>
      <c r="C193" s="18"/>
      <c r="D193" s="16"/>
      <c r="E193" s="6"/>
      <c r="G193" s="9"/>
      <c r="H193" s="9"/>
      <c r="J193" s="45"/>
      <c r="K193" s="46"/>
      <c r="M193" s="69"/>
      <c r="N193" s="4"/>
      <c r="O193" s="25"/>
      <c r="P193" s="25"/>
      <c r="Q193" s="25"/>
      <c r="R193" s="25"/>
      <c r="S193" s="77"/>
      <c r="U193" s="76"/>
    </row>
    <row r="194" spans="2:21">
      <c r="B194" s="18"/>
      <c r="C194" s="18"/>
      <c r="D194" s="16"/>
      <c r="E194" s="6"/>
      <c r="G194" s="9"/>
      <c r="H194" s="9"/>
      <c r="J194" s="45"/>
      <c r="K194" s="46"/>
      <c r="M194" s="69"/>
      <c r="N194" s="4"/>
      <c r="O194" s="25"/>
      <c r="P194" s="25"/>
      <c r="Q194" s="25"/>
      <c r="R194" s="25"/>
      <c r="S194" s="77"/>
      <c r="U194" s="76"/>
    </row>
    <row r="195" spans="2:21" ht="16">
      <c r="B195" s="18"/>
      <c r="C195" s="18"/>
      <c r="D195" s="16"/>
      <c r="E195" s="6"/>
      <c r="G195" s="9"/>
      <c r="H195" s="9"/>
      <c r="J195" s="45"/>
      <c r="K195" s="46"/>
      <c r="M195" s="108"/>
      <c r="N195" s="4"/>
      <c r="O195" s="25"/>
      <c r="P195" s="25"/>
      <c r="Q195" s="25"/>
      <c r="R195" s="25"/>
      <c r="S195" s="77"/>
    </row>
    <row r="196" spans="2:21" ht="16">
      <c r="B196" s="18"/>
      <c r="C196" s="18"/>
      <c r="D196" s="16"/>
      <c r="E196" s="6"/>
      <c r="G196" s="9"/>
      <c r="H196" s="9"/>
      <c r="J196" s="45"/>
      <c r="K196" s="46"/>
      <c r="M196" s="108"/>
      <c r="N196" s="4"/>
      <c r="O196" s="25"/>
      <c r="P196" s="25"/>
      <c r="Q196" s="25"/>
      <c r="R196" s="25"/>
      <c r="S196" s="77"/>
    </row>
    <row r="197" spans="2:21" ht="16">
      <c r="B197" s="18"/>
      <c r="C197" s="18"/>
      <c r="D197" s="16"/>
      <c r="E197" s="6"/>
      <c r="G197" s="9"/>
      <c r="H197" s="9"/>
      <c r="J197" s="45"/>
      <c r="K197" s="46"/>
      <c r="M197" s="108"/>
      <c r="N197" s="4"/>
      <c r="O197" s="25"/>
      <c r="P197" s="25"/>
      <c r="Q197" s="25"/>
      <c r="R197" s="25"/>
      <c r="S197" s="77"/>
    </row>
    <row r="198" spans="2:21" ht="16">
      <c r="B198" s="18"/>
      <c r="C198" s="18"/>
      <c r="D198" s="16"/>
      <c r="E198" s="6"/>
      <c r="G198" s="9"/>
      <c r="H198" s="9"/>
      <c r="J198" s="45"/>
      <c r="K198" s="46"/>
      <c r="M198" s="108"/>
      <c r="N198" s="4"/>
      <c r="O198" s="25"/>
      <c r="P198" s="25"/>
      <c r="Q198" s="25"/>
      <c r="R198" s="25"/>
      <c r="S198" s="77"/>
    </row>
    <row r="199" spans="2:21" ht="16">
      <c r="B199" s="18"/>
      <c r="C199" s="18"/>
      <c r="D199" s="16"/>
      <c r="E199" s="6"/>
      <c r="G199" s="9"/>
      <c r="H199" s="9"/>
      <c r="J199" s="45"/>
      <c r="K199" s="46"/>
      <c r="M199" s="108"/>
      <c r="N199" s="4"/>
      <c r="O199" s="25"/>
      <c r="P199" s="25"/>
      <c r="Q199" s="25"/>
      <c r="R199" s="25"/>
      <c r="S199" s="77"/>
    </row>
    <row r="200" spans="2:21" ht="16">
      <c r="B200" s="18"/>
      <c r="C200" s="18"/>
      <c r="D200" s="16"/>
      <c r="E200" s="6"/>
      <c r="G200" s="9"/>
      <c r="H200" s="9"/>
      <c r="J200" s="45"/>
      <c r="K200" s="45"/>
      <c r="M200" s="108"/>
      <c r="N200" s="4"/>
      <c r="O200" s="25"/>
      <c r="P200" s="25"/>
      <c r="Q200" s="25"/>
      <c r="R200" s="25"/>
      <c r="S200" s="77"/>
    </row>
    <row r="201" spans="2:21" ht="16">
      <c r="B201" s="18"/>
      <c r="C201" s="18"/>
      <c r="D201" s="16"/>
      <c r="E201" s="6"/>
      <c r="G201" s="9"/>
      <c r="H201" s="9"/>
      <c r="J201" s="45"/>
      <c r="K201" s="45"/>
      <c r="M201" s="108"/>
      <c r="N201" s="4"/>
      <c r="O201" s="25"/>
      <c r="P201" s="25"/>
      <c r="Q201" s="25"/>
      <c r="R201" s="25"/>
      <c r="S201" s="77"/>
    </row>
    <row r="202" spans="2:21">
      <c r="B202" s="18"/>
      <c r="D202" s="16"/>
      <c r="E202" s="6"/>
      <c r="F202" s="44"/>
      <c r="G202" s="9"/>
      <c r="H202" s="9"/>
      <c r="J202" s="45"/>
      <c r="K202" s="45"/>
      <c r="M202" s="104"/>
      <c r="N202" s="4"/>
      <c r="O202" s="49"/>
      <c r="P202" s="51"/>
      <c r="Q202" s="51"/>
      <c r="R202" s="49"/>
      <c r="S202" s="77"/>
    </row>
    <row r="203" spans="2:21">
      <c r="B203" s="18"/>
      <c r="D203" s="16"/>
      <c r="E203" s="6"/>
      <c r="F203" s="44"/>
      <c r="G203" s="9"/>
      <c r="H203" s="9"/>
      <c r="J203" s="45"/>
      <c r="K203" s="45"/>
      <c r="M203" s="104"/>
      <c r="N203" s="4"/>
      <c r="O203" s="49"/>
      <c r="P203" s="51"/>
      <c r="Q203" s="51"/>
      <c r="R203" s="49"/>
      <c r="S203" s="77"/>
    </row>
    <row r="204" spans="2:21">
      <c r="B204" s="18"/>
      <c r="D204" s="16"/>
      <c r="E204" s="6"/>
      <c r="F204" s="44"/>
      <c r="G204" s="9"/>
      <c r="H204" s="9"/>
      <c r="J204" s="45"/>
      <c r="K204" s="45"/>
      <c r="M204" s="104"/>
      <c r="N204" s="4"/>
      <c r="O204" s="49"/>
      <c r="P204" s="51"/>
      <c r="Q204" s="51"/>
      <c r="R204" s="49"/>
      <c r="S204" s="77"/>
    </row>
    <row r="205" spans="2:21">
      <c r="B205" s="18"/>
      <c r="D205" s="16"/>
      <c r="E205" s="6"/>
      <c r="F205" s="44"/>
      <c r="G205" s="9"/>
      <c r="H205" s="9"/>
      <c r="J205" s="45"/>
      <c r="K205" s="45"/>
      <c r="M205" s="104"/>
      <c r="N205" s="4"/>
      <c r="O205" s="49"/>
      <c r="P205" s="51"/>
      <c r="Q205" s="51"/>
      <c r="R205" s="49"/>
      <c r="S205" s="77"/>
    </row>
    <row r="206" spans="2:21">
      <c r="B206" s="18"/>
      <c r="D206" s="16"/>
      <c r="E206" s="6"/>
      <c r="F206" s="44"/>
      <c r="G206" s="9"/>
      <c r="H206" s="9"/>
      <c r="J206" s="45"/>
      <c r="K206" s="64"/>
      <c r="M206" s="104"/>
      <c r="N206" s="4"/>
      <c r="O206" s="49"/>
      <c r="P206" s="51"/>
      <c r="Q206" s="51"/>
      <c r="R206" s="49"/>
      <c r="S206" s="77"/>
    </row>
    <row r="207" spans="2:21">
      <c r="B207" s="18"/>
      <c r="D207" s="16"/>
      <c r="E207" s="6"/>
      <c r="F207" s="44"/>
      <c r="G207" s="9"/>
      <c r="H207" s="9"/>
      <c r="J207" s="45"/>
      <c r="K207" s="64"/>
      <c r="M207" s="104"/>
      <c r="N207" s="4"/>
      <c r="O207" s="51"/>
      <c r="P207" s="51"/>
      <c r="Q207" s="51"/>
      <c r="R207" s="51"/>
      <c r="S207" s="77"/>
    </row>
    <row r="208" spans="2:21">
      <c r="B208" s="18"/>
      <c r="D208" s="16"/>
      <c r="E208" s="6"/>
      <c r="F208" s="44"/>
      <c r="G208" s="9"/>
      <c r="H208" s="9"/>
      <c r="J208" s="45"/>
      <c r="K208" s="64"/>
      <c r="M208" s="104"/>
      <c r="N208" s="4"/>
      <c r="O208" s="51"/>
      <c r="P208" s="51"/>
      <c r="Q208" s="51"/>
      <c r="R208" s="51"/>
      <c r="S208" s="77"/>
    </row>
    <row r="209" spans="2:19">
      <c r="B209" s="18"/>
      <c r="D209" s="16"/>
      <c r="E209" s="6"/>
      <c r="F209" s="44"/>
      <c r="G209" s="9"/>
      <c r="H209" s="9"/>
      <c r="J209" s="45"/>
      <c r="K209" s="64"/>
      <c r="M209" s="104"/>
      <c r="N209" s="4"/>
      <c r="O209" s="51"/>
      <c r="P209" s="51"/>
      <c r="Q209" s="51"/>
      <c r="R209" s="51"/>
      <c r="S209" s="77"/>
    </row>
    <row r="210" spans="2:19">
      <c r="B210" s="18"/>
      <c r="D210" s="16"/>
      <c r="E210" s="6"/>
      <c r="F210" s="44"/>
      <c r="G210" s="9"/>
      <c r="H210" s="9"/>
      <c r="J210" s="45"/>
      <c r="K210" s="64"/>
      <c r="M210" s="104"/>
      <c r="N210" s="4"/>
      <c r="O210" s="51"/>
      <c r="P210" s="51"/>
      <c r="Q210" s="51"/>
      <c r="R210" s="51"/>
      <c r="S210" s="77"/>
    </row>
    <row r="211" spans="2:19">
      <c r="B211" s="18"/>
      <c r="D211" s="16"/>
      <c r="E211" s="6"/>
      <c r="F211" s="44"/>
      <c r="G211" s="9"/>
      <c r="H211" s="9"/>
      <c r="J211" s="45"/>
      <c r="K211" s="64"/>
      <c r="M211" s="104"/>
      <c r="N211" s="4"/>
      <c r="O211" s="51"/>
      <c r="P211" s="51"/>
      <c r="Q211" s="51"/>
      <c r="R211" s="51"/>
      <c r="S211" s="77"/>
    </row>
    <row r="212" spans="2:19">
      <c r="B212" s="18"/>
      <c r="D212" s="16"/>
      <c r="E212" s="6"/>
      <c r="F212" s="44"/>
      <c r="G212" s="9"/>
      <c r="H212" s="9"/>
      <c r="J212" s="45"/>
      <c r="K212" s="64"/>
      <c r="M212" s="104"/>
      <c r="N212" s="4"/>
      <c r="O212" s="51"/>
      <c r="P212" s="51"/>
      <c r="Q212" s="51"/>
      <c r="R212" s="51"/>
      <c r="S212" s="77"/>
    </row>
    <row r="213" spans="2:19">
      <c r="B213" s="18"/>
      <c r="D213" s="16"/>
      <c r="E213" s="6"/>
      <c r="F213" s="44"/>
      <c r="G213" s="9"/>
      <c r="H213" s="9"/>
      <c r="J213" s="45"/>
      <c r="K213" s="64"/>
      <c r="M213" s="104"/>
      <c r="N213" s="4"/>
      <c r="O213" s="51"/>
      <c r="P213" s="51"/>
      <c r="Q213" s="51"/>
      <c r="R213" s="51"/>
      <c r="S213" s="77"/>
    </row>
    <row r="214" spans="2:19">
      <c r="B214" s="18"/>
      <c r="D214" s="16"/>
      <c r="E214" s="6"/>
      <c r="F214" s="44"/>
      <c r="G214" s="9"/>
      <c r="H214" s="9"/>
      <c r="J214" s="45"/>
      <c r="K214" s="64"/>
      <c r="M214" s="104"/>
      <c r="N214" s="4"/>
      <c r="O214" s="51"/>
      <c r="P214" s="51"/>
      <c r="Q214" s="51"/>
      <c r="R214" s="51"/>
      <c r="S214" s="77"/>
    </row>
    <row r="215" spans="2:19">
      <c r="B215" s="18"/>
      <c r="D215" s="16"/>
      <c r="E215" s="6"/>
      <c r="F215" s="44"/>
      <c r="G215" s="9"/>
      <c r="H215" s="9"/>
      <c r="J215" s="45"/>
      <c r="K215" s="64"/>
      <c r="M215" s="104"/>
      <c r="N215" s="4"/>
      <c r="O215" s="51"/>
      <c r="P215" s="51"/>
      <c r="Q215" s="51"/>
      <c r="R215" s="51"/>
      <c r="S215" s="77"/>
    </row>
    <row r="216" spans="2:19">
      <c r="B216" s="18"/>
      <c r="D216" s="16"/>
      <c r="E216" s="6"/>
      <c r="F216" s="44"/>
      <c r="G216" s="9"/>
      <c r="H216" s="9"/>
      <c r="J216" s="45"/>
      <c r="K216" s="64"/>
      <c r="M216" s="104"/>
      <c r="N216" s="4"/>
      <c r="O216" s="51"/>
      <c r="P216" s="51"/>
      <c r="Q216" s="51"/>
      <c r="R216" s="51"/>
      <c r="S216" s="77"/>
    </row>
    <row r="217" spans="2:19">
      <c r="B217" s="18"/>
      <c r="D217" s="16"/>
      <c r="E217" s="6"/>
      <c r="F217" s="44"/>
      <c r="G217" s="9"/>
      <c r="H217" s="9"/>
      <c r="J217" s="45"/>
      <c r="K217" s="64"/>
      <c r="M217" s="109"/>
      <c r="N217" s="4"/>
      <c r="O217" s="51"/>
      <c r="P217" s="51"/>
      <c r="Q217" s="51"/>
      <c r="R217" s="51"/>
      <c r="S217" s="77"/>
    </row>
    <row r="218" spans="2:19">
      <c r="B218" s="18"/>
      <c r="D218" s="16"/>
      <c r="E218" s="6"/>
      <c r="F218" s="44"/>
      <c r="G218" s="9"/>
      <c r="H218" s="9"/>
      <c r="J218" s="45"/>
      <c r="K218" s="64"/>
      <c r="M218" s="109"/>
      <c r="N218" s="4"/>
      <c r="O218" s="51"/>
      <c r="P218" s="51"/>
      <c r="Q218" s="51"/>
      <c r="R218" s="51"/>
      <c r="S218" s="77"/>
    </row>
    <row r="219" spans="2:19">
      <c r="B219" s="18"/>
      <c r="D219" s="16"/>
      <c r="E219" s="6"/>
      <c r="F219" s="44"/>
      <c r="G219" s="9"/>
      <c r="H219" s="9"/>
      <c r="J219" s="45"/>
      <c r="K219" s="64"/>
      <c r="M219" s="109"/>
      <c r="N219" s="4"/>
      <c r="O219" s="51"/>
      <c r="P219" s="51"/>
      <c r="Q219" s="51"/>
      <c r="R219" s="51"/>
      <c r="S219" s="77"/>
    </row>
    <row r="220" spans="2:19">
      <c r="B220" s="18"/>
      <c r="D220" s="16"/>
      <c r="E220" s="6"/>
      <c r="F220" s="44"/>
      <c r="G220" s="9"/>
      <c r="H220" s="9"/>
      <c r="J220" s="45"/>
      <c r="K220" s="64"/>
      <c r="M220" s="109"/>
      <c r="N220" s="4"/>
      <c r="O220" s="51"/>
      <c r="P220" s="51"/>
      <c r="Q220" s="51"/>
      <c r="R220" s="51"/>
      <c r="S220" s="77"/>
    </row>
    <row r="221" spans="2:19">
      <c r="B221" s="18"/>
      <c r="D221" s="16"/>
      <c r="E221" s="6"/>
      <c r="F221" s="44"/>
      <c r="G221" s="9"/>
      <c r="H221" s="9"/>
      <c r="J221" s="45"/>
      <c r="K221" s="64"/>
      <c r="M221" s="109"/>
      <c r="N221" s="4"/>
      <c r="O221" s="51"/>
      <c r="P221" s="51"/>
      <c r="Q221" s="51"/>
      <c r="R221" s="51"/>
      <c r="S221" s="77"/>
    </row>
    <row r="222" spans="2:19">
      <c r="B222" s="18"/>
      <c r="D222" s="16"/>
      <c r="E222" s="6"/>
      <c r="F222" s="44"/>
      <c r="G222" s="9"/>
      <c r="H222" s="9"/>
      <c r="J222" s="45"/>
      <c r="K222" s="64"/>
      <c r="M222" s="109"/>
      <c r="N222" s="4"/>
      <c r="O222" s="51"/>
      <c r="P222" s="51"/>
      <c r="Q222" s="51"/>
      <c r="R222" s="51"/>
      <c r="S222" s="77"/>
    </row>
    <row r="223" spans="2:19">
      <c r="B223" s="18"/>
      <c r="D223" s="16"/>
      <c r="E223" s="6"/>
      <c r="F223" s="44"/>
      <c r="G223" s="9"/>
      <c r="H223" s="9"/>
      <c r="J223" s="45"/>
      <c r="K223" s="64"/>
      <c r="M223" s="109"/>
      <c r="N223" s="4"/>
      <c r="O223" s="51"/>
      <c r="P223" s="51"/>
      <c r="Q223" s="51"/>
      <c r="R223" s="51"/>
      <c r="S223" s="79"/>
    </row>
    <row r="224" spans="2:19">
      <c r="B224" s="18"/>
      <c r="D224" s="16"/>
      <c r="E224" s="6"/>
      <c r="F224" s="44"/>
      <c r="G224" s="9"/>
      <c r="H224" s="9"/>
      <c r="J224" s="45"/>
      <c r="K224" s="64"/>
      <c r="M224" s="109"/>
      <c r="N224" s="4"/>
      <c r="O224" s="51"/>
      <c r="P224" s="51"/>
      <c r="Q224" s="51"/>
      <c r="R224" s="51"/>
      <c r="S224" s="79"/>
    </row>
    <row r="225" spans="2:19">
      <c r="B225" s="18"/>
      <c r="D225" s="16"/>
      <c r="E225" s="6"/>
      <c r="F225" s="65"/>
      <c r="G225" s="9"/>
      <c r="H225" s="9"/>
      <c r="J225" s="45"/>
      <c r="K225" s="64"/>
      <c r="M225" s="104"/>
      <c r="N225" s="4"/>
      <c r="O225" s="51"/>
      <c r="P225" s="51"/>
      <c r="Q225" s="51"/>
      <c r="R225" s="51"/>
      <c r="S225" s="79"/>
    </row>
    <row r="226" spans="2:19">
      <c r="B226" s="18"/>
      <c r="D226" s="16"/>
      <c r="E226" s="6"/>
      <c r="F226" s="65"/>
      <c r="G226" s="9"/>
      <c r="H226" s="9"/>
      <c r="J226" s="45"/>
      <c r="K226" s="64"/>
      <c r="M226" s="109"/>
      <c r="N226" s="4"/>
      <c r="O226" s="51"/>
      <c r="P226" s="51"/>
      <c r="Q226" s="51"/>
      <c r="R226" s="51"/>
      <c r="S226" s="79"/>
    </row>
    <row r="227" spans="2:19">
      <c r="B227" s="18"/>
      <c r="D227" s="16"/>
      <c r="E227" s="6"/>
      <c r="F227" s="65"/>
      <c r="G227" s="9"/>
      <c r="H227" s="9"/>
      <c r="J227" s="45"/>
      <c r="K227" s="64"/>
      <c r="N227" s="4"/>
      <c r="O227" s="51"/>
      <c r="P227" s="51"/>
      <c r="Q227" s="51"/>
      <c r="R227" s="51"/>
      <c r="S227" s="79"/>
    </row>
    <row r="228" spans="2:19">
      <c r="B228" s="18"/>
      <c r="D228" s="16"/>
      <c r="E228" s="6"/>
      <c r="F228" s="65"/>
      <c r="G228" s="9"/>
      <c r="H228" s="9"/>
      <c r="J228" s="45"/>
      <c r="K228" s="64"/>
      <c r="N228" s="4"/>
      <c r="O228" s="51"/>
      <c r="P228" s="51"/>
      <c r="Q228" s="51"/>
      <c r="R228" s="51"/>
      <c r="S228" s="79"/>
    </row>
    <row r="229" spans="2:19">
      <c r="B229" s="18"/>
      <c r="D229" s="16"/>
      <c r="E229" s="6"/>
      <c r="F229" s="65"/>
      <c r="G229" s="9"/>
      <c r="H229" s="9"/>
      <c r="J229" s="45"/>
      <c r="K229" s="64"/>
      <c r="N229" s="4"/>
      <c r="O229" s="51"/>
      <c r="P229" s="51"/>
      <c r="Q229" s="51"/>
      <c r="R229" s="51"/>
      <c r="S229" s="79"/>
    </row>
    <row r="230" spans="2:19">
      <c r="B230" s="18"/>
      <c r="D230" s="16"/>
      <c r="E230" s="6"/>
      <c r="F230" s="65"/>
      <c r="G230" s="9"/>
      <c r="H230" s="9"/>
      <c r="J230" s="45"/>
      <c r="K230" s="64"/>
      <c r="N230" s="4"/>
      <c r="O230" s="51"/>
      <c r="P230" s="51"/>
      <c r="Q230" s="51"/>
      <c r="R230" s="51"/>
      <c r="S230" s="79"/>
    </row>
    <row r="231" spans="2:19">
      <c r="B231" s="18"/>
      <c r="D231" s="16"/>
      <c r="E231" s="6"/>
      <c r="F231" s="65"/>
      <c r="G231" s="9"/>
      <c r="H231" s="9"/>
      <c r="J231" s="45"/>
      <c r="K231" s="64"/>
      <c r="N231" s="4"/>
      <c r="O231" s="51"/>
      <c r="P231" s="51"/>
      <c r="Q231" s="51"/>
      <c r="R231" s="51"/>
      <c r="S231" s="79"/>
    </row>
    <row r="232" spans="2:19">
      <c r="B232" s="18"/>
      <c r="D232" s="16"/>
      <c r="E232" s="6"/>
      <c r="F232" s="65"/>
      <c r="G232" s="9"/>
      <c r="H232" s="9"/>
      <c r="J232" s="45"/>
      <c r="K232" s="64"/>
      <c r="N232" s="4"/>
      <c r="O232" s="51"/>
      <c r="P232" s="51"/>
      <c r="Q232" s="51"/>
      <c r="R232" s="51"/>
      <c r="S232" s="79"/>
    </row>
    <row r="233" spans="2:19">
      <c r="B233" s="18"/>
      <c r="D233" s="16"/>
      <c r="E233" s="6"/>
      <c r="F233" s="65"/>
      <c r="G233" s="9"/>
      <c r="H233" s="9"/>
      <c r="J233" s="45"/>
      <c r="K233" s="64"/>
      <c r="N233" s="4"/>
      <c r="O233" s="51"/>
      <c r="P233" s="51"/>
      <c r="Q233" s="51"/>
      <c r="R233" s="51"/>
      <c r="S233" s="79"/>
    </row>
    <row r="234" spans="2:19">
      <c r="B234" s="18"/>
      <c r="D234" s="16"/>
      <c r="E234" s="6"/>
      <c r="F234" s="3"/>
      <c r="G234" s="9"/>
      <c r="H234" s="9"/>
      <c r="J234" s="45"/>
      <c r="K234" s="64"/>
      <c r="N234" s="4"/>
      <c r="O234" s="51"/>
      <c r="P234" s="51"/>
      <c r="Q234" s="51"/>
      <c r="R234" s="51"/>
      <c r="S234" s="79"/>
    </row>
    <row r="235" spans="2:19">
      <c r="B235" s="18"/>
      <c r="D235" s="16"/>
      <c r="E235" s="6"/>
      <c r="F235" s="66"/>
      <c r="G235" s="9"/>
      <c r="H235" s="9"/>
      <c r="J235" s="45"/>
      <c r="K235" s="64"/>
      <c r="N235" s="4"/>
      <c r="O235" s="51"/>
      <c r="P235" s="51"/>
      <c r="Q235" s="51"/>
      <c r="R235" s="51"/>
      <c r="S235" s="79"/>
    </row>
    <row r="236" spans="2:19">
      <c r="B236" s="18"/>
      <c r="D236" s="16"/>
      <c r="E236" s="6"/>
      <c r="F236" s="66"/>
      <c r="G236" s="9"/>
      <c r="H236" s="9"/>
      <c r="J236" s="45"/>
      <c r="K236" s="64"/>
      <c r="N236" s="4"/>
      <c r="O236" s="51"/>
      <c r="P236" s="51"/>
      <c r="Q236" s="51"/>
      <c r="R236" s="51"/>
      <c r="S236" s="79"/>
    </row>
    <row r="237" spans="2:19">
      <c r="B237" s="18"/>
      <c r="D237" s="16"/>
      <c r="E237" s="6"/>
      <c r="F237" s="66"/>
      <c r="G237" s="9"/>
      <c r="H237" s="9"/>
      <c r="J237" s="45"/>
      <c r="K237" s="64"/>
      <c r="N237" s="4"/>
      <c r="O237" s="51"/>
      <c r="P237" s="51"/>
      <c r="Q237" s="51"/>
      <c r="R237" s="51"/>
      <c r="S237" s="79"/>
    </row>
    <row r="238" spans="2:19">
      <c r="B238" s="18"/>
      <c r="D238" s="16"/>
      <c r="E238" s="6"/>
      <c r="F238" s="66"/>
      <c r="G238" s="9"/>
      <c r="H238" s="9"/>
      <c r="J238" s="45"/>
      <c r="K238" s="64"/>
      <c r="N238" s="4"/>
      <c r="O238" s="51"/>
      <c r="P238" s="51"/>
      <c r="Q238" s="51"/>
      <c r="R238" s="51"/>
      <c r="S238" s="79"/>
    </row>
    <row r="239" spans="2:19">
      <c r="B239" s="18"/>
      <c r="D239" s="16"/>
      <c r="E239" s="6"/>
      <c r="F239" s="66"/>
      <c r="G239" s="9"/>
      <c r="H239" s="9"/>
      <c r="J239" s="45"/>
      <c r="K239" s="64"/>
      <c r="N239" s="4"/>
      <c r="O239" s="51"/>
      <c r="P239" s="51"/>
      <c r="Q239" s="51"/>
      <c r="R239" s="51"/>
      <c r="S239" s="79"/>
    </row>
    <row r="240" spans="2:19">
      <c r="B240" s="18"/>
      <c r="D240" s="16"/>
      <c r="E240" s="6"/>
      <c r="F240" s="3"/>
      <c r="G240" s="9"/>
      <c r="H240" s="9"/>
      <c r="J240" s="45"/>
      <c r="K240" s="64"/>
      <c r="N240" s="4"/>
      <c r="O240" s="51"/>
      <c r="P240" s="51"/>
      <c r="Q240" s="51"/>
      <c r="R240" s="51"/>
      <c r="S240" s="79"/>
    </row>
    <row r="241" spans="2:19">
      <c r="B241" s="18"/>
      <c r="D241" s="16"/>
      <c r="E241" s="6"/>
      <c r="F241" s="66"/>
      <c r="G241" s="9"/>
      <c r="H241" s="9"/>
      <c r="J241" s="45"/>
      <c r="K241" s="64"/>
      <c r="N241" s="4"/>
      <c r="O241" s="51"/>
      <c r="P241" s="51"/>
      <c r="Q241" s="51"/>
      <c r="R241" s="51"/>
      <c r="S241" s="79"/>
    </row>
    <row r="242" spans="2:19">
      <c r="B242" s="18"/>
      <c r="D242" s="16"/>
      <c r="E242" s="6"/>
      <c r="F242" s="65"/>
      <c r="G242" s="9"/>
      <c r="H242" s="9"/>
      <c r="J242" s="45"/>
      <c r="K242" s="64"/>
      <c r="N242" s="4"/>
      <c r="O242" s="25"/>
      <c r="P242" s="25"/>
      <c r="Q242" s="25"/>
      <c r="R242" s="25"/>
      <c r="S242" s="77"/>
    </row>
    <row r="243" spans="2:19">
      <c r="B243" s="18"/>
      <c r="D243" s="16"/>
      <c r="E243" s="6"/>
      <c r="F243" s="65"/>
      <c r="G243" s="9"/>
      <c r="H243" s="9"/>
      <c r="J243" s="45"/>
      <c r="K243" s="64"/>
      <c r="N243" s="4"/>
      <c r="O243" s="25"/>
      <c r="P243" s="25"/>
      <c r="Q243" s="25"/>
      <c r="R243" s="25"/>
      <c r="S243" s="77"/>
    </row>
    <row r="244" spans="2:19">
      <c r="B244" s="18"/>
      <c r="D244" s="16"/>
      <c r="E244" s="6"/>
      <c r="F244" s="65"/>
      <c r="G244" s="9"/>
      <c r="H244" s="9"/>
      <c r="J244" s="45"/>
      <c r="K244" s="64"/>
      <c r="N244" s="4"/>
      <c r="O244" s="25"/>
      <c r="P244" s="25"/>
      <c r="Q244" s="25"/>
      <c r="R244" s="25"/>
      <c r="S244" s="77"/>
    </row>
    <row r="245" spans="2:19">
      <c r="B245" s="18"/>
      <c r="D245" s="16"/>
      <c r="E245" s="6"/>
      <c r="F245" s="65"/>
      <c r="G245" s="9"/>
      <c r="H245" s="9"/>
      <c r="J245" s="45"/>
      <c r="K245" s="64"/>
      <c r="N245" s="4"/>
      <c r="O245" s="25"/>
      <c r="P245" s="25"/>
      <c r="Q245" s="25"/>
      <c r="R245" s="25"/>
      <c r="S245" s="77"/>
    </row>
    <row r="246" spans="2:19">
      <c r="B246" s="18"/>
      <c r="D246" s="16"/>
      <c r="E246" s="6"/>
      <c r="F246" s="65"/>
      <c r="G246" s="9"/>
      <c r="H246" s="9"/>
      <c r="J246" s="45"/>
      <c r="K246" s="64"/>
      <c r="N246" s="4"/>
      <c r="O246" s="25"/>
      <c r="P246" s="25"/>
      <c r="Q246" s="25"/>
      <c r="R246" s="25"/>
      <c r="S246" s="77"/>
    </row>
    <row r="247" spans="2:19">
      <c r="B247" s="18"/>
      <c r="D247" s="16"/>
      <c r="E247" s="6"/>
      <c r="F247" s="65"/>
      <c r="G247" s="9"/>
      <c r="H247" s="9"/>
      <c r="J247" s="45"/>
      <c r="K247" s="64"/>
      <c r="N247" s="4"/>
      <c r="O247" s="25"/>
      <c r="P247" s="25"/>
      <c r="Q247" s="25"/>
      <c r="R247" s="25"/>
      <c r="S247" s="77"/>
    </row>
    <row r="248" spans="2:19">
      <c r="B248" s="18"/>
      <c r="D248" s="16"/>
      <c r="E248" s="6"/>
      <c r="F248" s="65"/>
      <c r="G248" s="9"/>
      <c r="H248" s="9"/>
      <c r="J248" s="45"/>
      <c r="K248" s="64"/>
      <c r="N248" s="4"/>
      <c r="O248" s="25"/>
      <c r="P248" s="25"/>
      <c r="Q248" s="25"/>
      <c r="R248" s="25"/>
      <c r="S248" s="77"/>
    </row>
    <row r="249" spans="2:19">
      <c r="B249" s="18"/>
      <c r="D249" s="16"/>
      <c r="E249" s="6"/>
      <c r="F249" s="65"/>
      <c r="G249" s="9"/>
      <c r="H249" s="9"/>
      <c r="J249" s="45"/>
      <c r="K249" s="64"/>
      <c r="N249" s="4"/>
      <c r="O249" s="25"/>
      <c r="P249" s="25"/>
      <c r="Q249" s="25"/>
      <c r="R249" s="25"/>
      <c r="S249" s="77"/>
    </row>
    <row r="250" spans="2:19">
      <c r="B250" s="18"/>
      <c r="D250" s="16"/>
      <c r="E250" s="6"/>
      <c r="F250" s="65"/>
      <c r="G250" s="9"/>
      <c r="H250" s="9"/>
      <c r="J250" s="45"/>
      <c r="K250" s="45"/>
      <c r="N250" s="4"/>
      <c r="O250" s="25"/>
      <c r="P250" s="25"/>
      <c r="Q250" s="25"/>
      <c r="R250" s="25"/>
      <c r="S250" s="77"/>
    </row>
    <row r="251" spans="2:19">
      <c r="B251" s="18"/>
      <c r="D251" s="16"/>
      <c r="E251" s="6"/>
      <c r="F251" s="65"/>
      <c r="G251" s="9"/>
      <c r="H251" s="9"/>
      <c r="J251" s="45"/>
      <c r="K251" s="45"/>
      <c r="N251" s="4"/>
      <c r="O251" s="25"/>
      <c r="P251" s="25"/>
      <c r="Q251" s="25"/>
      <c r="R251" s="25"/>
      <c r="S251" s="77"/>
    </row>
    <row r="252" spans="2:19">
      <c r="B252" s="18"/>
      <c r="D252" s="16"/>
      <c r="E252" s="6"/>
      <c r="F252" s="65"/>
      <c r="G252" s="9"/>
      <c r="H252" s="9"/>
      <c r="J252" s="45"/>
      <c r="K252" s="45"/>
      <c r="N252" s="4"/>
      <c r="O252" s="25"/>
      <c r="P252" s="25"/>
      <c r="Q252" s="25"/>
      <c r="R252" s="25"/>
      <c r="S252" s="77"/>
    </row>
    <row r="253" spans="2:19">
      <c r="B253" s="18"/>
      <c r="D253" s="16"/>
      <c r="E253" s="6"/>
      <c r="F253" s="65"/>
      <c r="G253" s="9"/>
      <c r="H253" s="9"/>
      <c r="I253" s="45"/>
      <c r="J253" s="45"/>
      <c r="K253" s="45"/>
      <c r="N253" s="4"/>
      <c r="O253" s="25"/>
      <c r="P253" s="25"/>
      <c r="Q253" s="25"/>
      <c r="R253" s="25"/>
      <c r="S253" s="77"/>
    </row>
    <row r="254" spans="2:19">
      <c r="B254" s="18"/>
      <c r="D254" s="16"/>
      <c r="E254" s="6"/>
      <c r="F254" s="65"/>
      <c r="G254" s="9"/>
      <c r="H254" s="9"/>
      <c r="I254" s="45"/>
      <c r="J254" s="45"/>
      <c r="K254" s="45"/>
      <c r="N254" s="4"/>
      <c r="O254" s="25"/>
      <c r="P254" s="25"/>
      <c r="Q254" s="25"/>
      <c r="R254" s="25"/>
      <c r="S254" s="77"/>
    </row>
    <row r="255" spans="2:19">
      <c r="B255" s="18"/>
      <c r="D255" s="16"/>
      <c r="E255" s="6"/>
      <c r="F255" s="65"/>
      <c r="G255" s="9"/>
      <c r="H255" s="9"/>
      <c r="I255" s="45"/>
      <c r="J255" s="45"/>
      <c r="K255" s="45"/>
      <c r="N255" s="4"/>
      <c r="O255" s="25"/>
      <c r="P255" s="25"/>
      <c r="Q255" s="25"/>
      <c r="R255" s="25"/>
      <c r="S255" s="77"/>
    </row>
    <row r="256" spans="2:19">
      <c r="B256" s="18"/>
      <c r="D256" s="16"/>
      <c r="F256" s="65"/>
      <c r="G256" s="9"/>
      <c r="H256" s="9"/>
      <c r="I256" s="45"/>
      <c r="N256" s="25"/>
      <c r="O256" s="25"/>
      <c r="P256" s="25"/>
      <c r="Q256" s="25"/>
      <c r="R256" s="25"/>
      <c r="S256" s="77"/>
    </row>
    <row r="257" spans="2:19">
      <c r="B257" s="18"/>
      <c r="D257" s="16"/>
      <c r="F257" s="65"/>
      <c r="G257" s="9"/>
      <c r="H257" s="9"/>
      <c r="I257" s="45"/>
      <c r="N257" s="25"/>
      <c r="O257" s="25"/>
      <c r="P257" s="25"/>
      <c r="Q257" s="25"/>
      <c r="R257" s="25"/>
      <c r="S257" s="77"/>
    </row>
    <row r="258" spans="2:19">
      <c r="B258" s="18"/>
      <c r="D258" s="16"/>
      <c r="F258" s="65"/>
      <c r="G258" s="9"/>
      <c r="H258" s="9"/>
      <c r="I258" s="45"/>
      <c r="N258" s="25"/>
      <c r="O258" s="25"/>
      <c r="P258" s="25"/>
      <c r="Q258" s="25"/>
      <c r="R258" s="25"/>
      <c r="S258" s="77"/>
    </row>
    <row r="259" spans="2:19">
      <c r="B259" s="18"/>
      <c r="D259" s="16"/>
      <c r="F259" s="65"/>
      <c r="G259" s="9"/>
      <c r="H259" s="9"/>
      <c r="I259" s="45"/>
      <c r="N259" s="25"/>
      <c r="O259" s="25"/>
      <c r="P259" s="25"/>
      <c r="Q259" s="25"/>
      <c r="R259" s="25"/>
      <c r="S259" s="77"/>
    </row>
    <row r="260" spans="2:19">
      <c r="B260" s="18"/>
      <c r="D260" s="16"/>
      <c r="F260" s="65"/>
      <c r="G260" s="9"/>
      <c r="H260" s="9"/>
      <c r="I260" s="45"/>
      <c r="N260" s="25"/>
      <c r="O260" s="25"/>
      <c r="P260" s="25"/>
      <c r="Q260" s="25"/>
      <c r="R260" s="25"/>
      <c r="S260" s="77"/>
    </row>
    <row r="261" spans="2:19">
      <c r="B261" s="18"/>
      <c r="D261" s="16"/>
      <c r="F261" s="65"/>
      <c r="G261" s="9"/>
      <c r="H261" s="9"/>
      <c r="I261" s="45"/>
      <c r="N261" s="25"/>
      <c r="O261" s="25"/>
      <c r="P261" s="25"/>
      <c r="Q261" s="25"/>
      <c r="R261" s="25"/>
      <c r="S261" s="77"/>
    </row>
    <row r="262" spans="2:19">
      <c r="B262" s="18"/>
      <c r="D262" s="16"/>
      <c r="F262" s="65"/>
      <c r="G262" s="9"/>
      <c r="H262" s="9"/>
      <c r="I262" s="45"/>
      <c r="N262" s="25"/>
      <c r="O262" s="25"/>
      <c r="P262" s="25"/>
      <c r="Q262" s="25"/>
      <c r="R262" s="25"/>
      <c r="S262" s="77"/>
    </row>
    <row r="263" spans="2:19">
      <c r="B263" s="18"/>
      <c r="D263" s="16"/>
      <c r="F263" s="65"/>
      <c r="G263" s="9"/>
      <c r="H263" s="9"/>
      <c r="I263" s="45"/>
      <c r="N263" s="25"/>
      <c r="O263" s="25"/>
      <c r="P263" s="25"/>
      <c r="Q263" s="25"/>
      <c r="R263" s="25"/>
      <c r="S263" s="77"/>
    </row>
    <row r="264" spans="2:19">
      <c r="B264" s="18"/>
      <c r="D264" s="16"/>
      <c r="F264" s="65"/>
      <c r="G264" s="9"/>
      <c r="H264" s="9"/>
      <c r="I264" s="45"/>
      <c r="N264" s="25"/>
      <c r="O264" s="25"/>
      <c r="P264" s="25"/>
      <c r="Q264" s="25"/>
      <c r="R264" s="25"/>
      <c r="S264" s="77"/>
    </row>
    <row r="265" spans="2:19">
      <c r="B265" s="18"/>
      <c r="D265" s="16"/>
      <c r="F265" s="65"/>
      <c r="G265" s="9"/>
      <c r="H265" s="9"/>
      <c r="I265" s="45"/>
      <c r="N265" s="25"/>
      <c r="O265" s="25"/>
      <c r="P265" s="25"/>
      <c r="Q265" s="25"/>
      <c r="R265" s="25"/>
      <c r="S265" s="77"/>
    </row>
    <row r="266" spans="2:19">
      <c r="D266" s="16"/>
      <c r="F266" s="65"/>
      <c r="G266" s="9"/>
      <c r="H266" s="9"/>
      <c r="I266" s="45"/>
      <c r="N266" s="25"/>
      <c r="O266" s="25"/>
      <c r="P266" s="25"/>
      <c r="Q266" s="25"/>
      <c r="R266" s="25"/>
      <c r="S266" s="77"/>
    </row>
    <row r="267" spans="2:19">
      <c r="D267" s="16"/>
      <c r="F267" s="65"/>
      <c r="G267" s="9"/>
      <c r="H267" s="9"/>
      <c r="I267" s="45"/>
      <c r="N267" s="25"/>
      <c r="O267" s="25"/>
      <c r="P267" s="25"/>
      <c r="Q267" s="25"/>
      <c r="R267" s="25"/>
      <c r="S267" s="77"/>
    </row>
    <row r="268" spans="2:19">
      <c r="D268" s="16"/>
      <c r="F268" s="65"/>
      <c r="G268" s="9"/>
      <c r="H268" s="9"/>
      <c r="I268" s="45"/>
      <c r="N268" s="25"/>
      <c r="O268" s="25"/>
      <c r="P268" s="25"/>
      <c r="Q268" s="25"/>
      <c r="R268" s="25"/>
      <c r="S268" s="77"/>
    </row>
    <row r="269" spans="2:19">
      <c r="D269" s="16"/>
      <c r="E269" s="21"/>
      <c r="F269" s="44"/>
      <c r="G269" s="9"/>
      <c r="H269" s="9"/>
      <c r="I269" s="45"/>
      <c r="N269" s="4"/>
      <c r="O269" s="25"/>
      <c r="P269" s="25"/>
      <c r="Q269" s="25"/>
      <c r="R269" s="25"/>
      <c r="S269" s="77"/>
    </row>
    <row r="270" spans="2:19">
      <c r="D270" s="16"/>
      <c r="E270" s="21"/>
      <c r="F270" s="44"/>
      <c r="G270" s="9"/>
      <c r="H270" s="9"/>
      <c r="I270" s="45"/>
      <c r="N270" s="4"/>
      <c r="O270" s="25"/>
      <c r="P270" s="25"/>
      <c r="Q270" s="25"/>
      <c r="R270" s="25"/>
      <c r="S270" s="77"/>
    </row>
    <row r="271" spans="2:19">
      <c r="D271" s="16"/>
      <c r="E271" s="21"/>
      <c r="F271" s="66"/>
      <c r="G271" s="9"/>
      <c r="H271" s="9"/>
      <c r="I271" s="45"/>
      <c r="N271" s="25"/>
      <c r="O271" s="25"/>
      <c r="P271" s="25"/>
      <c r="Q271" s="25"/>
      <c r="R271" s="25"/>
      <c r="S271" s="77"/>
    </row>
    <row r="272" spans="2:19">
      <c r="D272" s="16"/>
      <c r="E272" s="21"/>
      <c r="F272" s="66"/>
      <c r="G272" s="9"/>
      <c r="H272" s="9"/>
      <c r="I272" s="45"/>
      <c r="N272" s="25"/>
      <c r="O272" s="25"/>
      <c r="P272" s="25"/>
      <c r="Q272" s="25"/>
      <c r="R272" s="25"/>
      <c r="S272" s="77"/>
    </row>
    <row r="273" spans="4:19">
      <c r="D273" s="16"/>
      <c r="E273" s="21"/>
      <c r="F273" s="66"/>
      <c r="G273" s="9"/>
      <c r="H273" s="9"/>
      <c r="I273" s="45"/>
      <c r="N273" s="25"/>
      <c r="O273" s="25"/>
      <c r="P273" s="25"/>
      <c r="Q273" s="25"/>
      <c r="R273" s="25"/>
      <c r="S273" s="77"/>
    </row>
    <row r="274" spans="4:19">
      <c r="D274" s="16"/>
      <c r="E274" s="21"/>
      <c r="F274" s="66"/>
      <c r="G274" s="9"/>
      <c r="H274" s="9"/>
      <c r="I274" s="45"/>
      <c r="N274" s="25"/>
      <c r="O274" s="25"/>
      <c r="P274" s="25"/>
      <c r="Q274" s="25"/>
      <c r="R274" s="25"/>
      <c r="S274" s="77"/>
    </row>
    <row r="275" spans="4:19">
      <c r="D275" s="16"/>
      <c r="E275" s="21"/>
      <c r="F275" s="66"/>
      <c r="G275" s="9"/>
      <c r="H275" s="9"/>
      <c r="I275" s="45"/>
      <c r="N275" s="25"/>
      <c r="O275" s="25"/>
      <c r="P275" s="25"/>
      <c r="Q275" s="25"/>
      <c r="R275" s="25"/>
      <c r="S275" s="25"/>
    </row>
    <row r="276" spans="4:19">
      <c r="D276" s="16"/>
      <c r="E276" s="21"/>
      <c r="F276" s="66"/>
      <c r="G276" s="9"/>
      <c r="H276" s="9"/>
      <c r="I276" s="45"/>
      <c r="N276" s="25"/>
      <c r="O276" s="25"/>
      <c r="P276" s="25"/>
      <c r="Q276" s="25"/>
      <c r="R276" s="25"/>
      <c r="S276" s="25"/>
    </row>
    <row r="277" spans="4:19">
      <c r="D277" s="16"/>
      <c r="E277" s="21"/>
      <c r="F277" s="66"/>
      <c r="G277" s="9"/>
      <c r="H277" s="9"/>
      <c r="I277" s="45"/>
      <c r="N277" s="25"/>
      <c r="O277" s="25"/>
      <c r="P277" s="25"/>
      <c r="Q277" s="25"/>
      <c r="R277" s="25"/>
      <c r="S277" s="25"/>
    </row>
    <row r="278" spans="4:19">
      <c r="D278" s="16"/>
      <c r="E278" s="21"/>
      <c r="F278" s="66"/>
      <c r="G278" s="9"/>
      <c r="H278" s="9"/>
      <c r="I278" s="45"/>
      <c r="N278" s="25"/>
      <c r="O278" s="25"/>
      <c r="P278" s="25"/>
      <c r="Q278" s="25"/>
      <c r="R278" s="25"/>
      <c r="S278" s="25"/>
    </row>
    <row r="279" spans="4:19">
      <c r="D279" s="16"/>
      <c r="E279" s="21"/>
      <c r="F279" s="66"/>
      <c r="G279" s="9"/>
      <c r="H279" s="9"/>
      <c r="I279" s="45"/>
      <c r="N279" s="25"/>
      <c r="O279" s="25"/>
      <c r="P279" s="25"/>
      <c r="Q279" s="25"/>
      <c r="R279" s="25"/>
      <c r="S279" s="25"/>
    </row>
    <row r="280" spans="4:19">
      <c r="D280" s="16"/>
      <c r="E280" s="21"/>
      <c r="F280" s="66"/>
      <c r="G280" s="9"/>
      <c r="H280" s="9"/>
      <c r="I280" s="45"/>
      <c r="N280" s="25"/>
      <c r="O280" s="25"/>
      <c r="P280" s="25"/>
      <c r="Q280" s="25"/>
      <c r="R280" s="25"/>
      <c r="S280" s="25"/>
    </row>
    <row r="281" spans="4:19">
      <c r="D281" s="16"/>
      <c r="E281" s="21"/>
      <c r="F281" s="66"/>
      <c r="G281" s="9"/>
      <c r="H281" s="9"/>
      <c r="I281" s="45"/>
      <c r="N281" s="25"/>
      <c r="O281" s="25"/>
      <c r="P281" s="25"/>
      <c r="Q281" s="25"/>
      <c r="R281" s="25"/>
      <c r="S281" s="25"/>
    </row>
    <row r="282" spans="4:19">
      <c r="D282" s="16"/>
      <c r="F282" s="65"/>
      <c r="G282" s="9"/>
      <c r="H282" s="9"/>
      <c r="I282" s="45"/>
      <c r="N282" s="4"/>
      <c r="O282" s="25"/>
      <c r="P282" s="25"/>
      <c r="Q282" s="25"/>
      <c r="R282" s="25"/>
      <c r="S282" s="77"/>
    </row>
    <row r="283" spans="4:19">
      <c r="D283" s="16"/>
      <c r="F283" s="65"/>
      <c r="G283" s="9"/>
      <c r="H283" s="9"/>
      <c r="I283" s="45"/>
      <c r="N283" s="4"/>
      <c r="O283" s="25"/>
      <c r="P283" s="25"/>
      <c r="Q283" s="25"/>
      <c r="R283" s="25"/>
      <c r="S283" s="77"/>
    </row>
    <row r="284" spans="4:19">
      <c r="D284" s="16"/>
      <c r="E284" s="21"/>
      <c r="G284" s="9"/>
      <c r="H284" s="9"/>
      <c r="I284" s="45"/>
      <c r="M284" s="110"/>
      <c r="N284" s="4"/>
      <c r="O284" s="25"/>
      <c r="P284" s="25"/>
      <c r="Q284" s="25"/>
      <c r="R284" s="25"/>
      <c r="S284" s="77"/>
    </row>
    <row r="285" spans="4:19">
      <c r="D285" s="16"/>
      <c r="E285" s="21"/>
      <c r="G285" s="9"/>
      <c r="H285" s="9"/>
      <c r="I285" s="45"/>
      <c r="M285" s="111"/>
      <c r="N285" s="4"/>
      <c r="O285" s="25"/>
      <c r="P285" s="25"/>
      <c r="Q285" s="25"/>
      <c r="R285" s="25"/>
      <c r="S285" s="77"/>
    </row>
    <row r="286" spans="4:19">
      <c r="D286" s="16"/>
      <c r="E286" s="21"/>
      <c r="G286" s="9"/>
      <c r="H286" s="9"/>
      <c r="I286" s="45"/>
      <c r="M286" s="110"/>
      <c r="N286" s="4"/>
      <c r="O286" s="25"/>
      <c r="P286" s="25"/>
      <c r="Q286" s="25"/>
      <c r="R286" s="25"/>
      <c r="S286" s="77"/>
    </row>
    <row r="287" spans="4:19">
      <c r="D287" s="16"/>
      <c r="E287" s="21"/>
      <c r="G287" s="9"/>
      <c r="H287" s="9"/>
      <c r="I287" s="45"/>
      <c r="M287" s="111"/>
      <c r="N287" s="4"/>
      <c r="O287" s="25"/>
      <c r="P287" s="25"/>
      <c r="Q287" s="25"/>
      <c r="R287" s="25"/>
      <c r="S287" s="77"/>
    </row>
    <row r="288" spans="4:19">
      <c r="D288" s="16"/>
      <c r="E288" s="21"/>
      <c r="G288" s="9"/>
      <c r="H288" s="9"/>
      <c r="I288" s="45"/>
      <c r="M288" s="110"/>
      <c r="N288" s="4"/>
      <c r="O288" s="25"/>
      <c r="P288" s="25"/>
      <c r="Q288" s="25"/>
      <c r="R288" s="25"/>
      <c r="S288" s="77"/>
    </row>
    <row r="289" spans="2:19">
      <c r="D289" s="16"/>
      <c r="E289" s="21"/>
      <c r="G289" s="9"/>
      <c r="H289" s="9"/>
      <c r="I289" s="45"/>
      <c r="M289" s="110"/>
      <c r="N289" s="4"/>
      <c r="O289" s="25"/>
      <c r="P289" s="25"/>
      <c r="Q289" s="25"/>
      <c r="R289" s="25"/>
      <c r="S289" s="77"/>
    </row>
    <row r="290" spans="2:19">
      <c r="D290" s="16"/>
      <c r="F290" s="65"/>
      <c r="G290" s="9"/>
      <c r="H290" s="9"/>
      <c r="I290" s="45"/>
      <c r="M290" s="69"/>
      <c r="N290" s="25"/>
      <c r="O290" s="25"/>
      <c r="P290" s="25"/>
      <c r="Q290" s="25"/>
      <c r="R290" s="25"/>
      <c r="S290" s="77"/>
    </row>
    <row r="291" spans="2:19">
      <c r="D291" s="16"/>
      <c r="F291" s="65"/>
      <c r="G291" s="9"/>
      <c r="H291" s="9"/>
      <c r="I291" s="45"/>
      <c r="M291" s="69"/>
      <c r="N291" s="25"/>
      <c r="O291" s="25"/>
      <c r="P291" s="25"/>
      <c r="Q291" s="25"/>
      <c r="R291" s="25"/>
      <c r="S291" s="77"/>
    </row>
    <row r="292" spans="2:19">
      <c r="D292" s="16"/>
      <c r="F292" s="65"/>
      <c r="G292" s="9"/>
      <c r="H292" s="9"/>
      <c r="I292" s="45"/>
      <c r="M292" s="69"/>
      <c r="N292" s="25"/>
      <c r="O292" s="25"/>
      <c r="P292" s="25"/>
      <c r="Q292" s="25"/>
      <c r="R292" s="25"/>
      <c r="S292" s="77"/>
    </row>
    <row r="293" spans="2:19">
      <c r="D293" s="16"/>
      <c r="F293" s="65"/>
      <c r="G293" s="9"/>
      <c r="H293" s="9"/>
      <c r="I293" s="45"/>
      <c r="M293" s="69"/>
      <c r="N293" s="25"/>
      <c r="O293" s="25"/>
      <c r="P293" s="25"/>
      <c r="Q293" s="25"/>
      <c r="R293" s="25"/>
      <c r="S293" s="77"/>
    </row>
    <row r="294" spans="2:19">
      <c r="D294" s="16"/>
      <c r="F294" s="65"/>
      <c r="G294" s="9"/>
      <c r="H294" s="9"/>
      <c r="I294" s="45"/>
      <c r="M294" s="69"/>
      <c r="N294" s="25"/>
      <c r="O294" s="25"/>
      <c r="P294" s="25"/>
      <c r="Q294" s="25"/>
      <c r="R294" s="25"/>
      <c r="S294" s="77"/>
    </row>
    <row r="295" spans="2:19">
      <c r="D295" s="16"/>
      <c r="F295" s="65"/>
      <c r="G295" s="9"/>
      <c r="H295" s="9"/>
      <c r="I295" s="45"/>
      <c r="L295" s="13"/>
      <c r="N295" s="25"/>
      <c r="O295" s="25"/>
      <c r="P295" s="25"/>
      <c r="Q295" s="25"/>
      <c r="R295" s="25"/>
      <c r="S295" s="77"/>
    </row>
    <row r="296" spans="2:19">
      <c r="D296" s="16"/>
      <c r="F296" s="65"/>
      <c r="G296" s="9"/>
      <c r="H296" s="9"/>
      <c r="L296" s="13"/>
      <c r="N296" s="25"/>
      <c r="O296" s="25"/>
      <c r="P296" s="25"/>
      <c r="Q296" s="25"/>
      <c r="R296" s="25"/>
      <c r="S296" s="77"/>
    </row>
    <row r="297" spans="2:19">
      <c r="D297" s="16"/>
      <c r="F297" s="65"/>
      <c r="G297" s="9"/>
      <c r="H297" s="9"/>
      <c r="I297" s="45"/>
      <c r="N297" s="25"/>
      <c r="O297" s="25"/>
      <c r="P297" s="25"/>
      <c r="Q297" s="25"/>
      <c r="R297" s="25"/>
      <c r="S297" s="77"/>
    </row>
    <row r="298" spans="2:19">
      <c r="B298" s="18"/>
      <c r="D298" s="16"/>
      <c r="F298" s="65"/>
      <c r="G298" s="9"/>
      <c r="H298" s="9"/>
      <c r="I298" s="45"/>
      <c r="N298" s="25"/>
      <c r="O298" s="25"/>
      <c r="P298" s="25"/>
      <c r="Q298" s="25"/>
      <c r="R298" s="25"/>
      <c r="S298" s="77"/>
    </row>
    <row r="299" spans="2:19">
      <c r="B299" s="18"/>
      <c r="D299" s="16"/>
      <c r="F299" s="65"/>
      <c r="G299" s="9"/>
      <c r="H299" s="9"/>
      <c r="I299" s="45"/>
      <c r="N299" s="25"/>
      <c r="O299" s="25"/>
      <c r="P299" s="25"/>
      <c r="Q299" s="25"/>
      <c r="R299" s="25"/>
      <c r="S299" s="77"/>
    </row>
    <row r="300" spans="2:19">
      <c r="B300" s="18"/>
      <c r="D300" s="16"/>
      <c r="F300" s="65"/>
      <c r="G300" s="9"/>
      <c r="H300" s="9"/>
      <c r="I300" s="45"/>
      <c r="N300" s="25"/>
      <c r="O300" s="25"/>
      <c r="P300" s="25"/>
      <c r="Q300" s="25"/>
      <c r="R300" s="25"/>
      <c r="S300" s="77"/>
    </row>
    <row r="301" spans="2:19">
      <c r="B301" s="18"/>
      <c r="D301" s="16"/>
      <c r="F301" s="65"/>
      <c r="G301" s="9"/>
      <c r="H301" s="9"/>
      <c r="I301" s="45"/>
      <c r="N301" s="25"/>
      <c r="O301" s="25"/>
      <c r="P301" s="25"/>
      <c r="Q301" s="25"/>
      <c r="R301" s="25"/>
      <c r="S301" s="77"/>
    </row>
    <row r="302" spans="2:19">
      <c r="B302" s="18"/>
      <c r="D302" s="16"/>
      <c r="F302" s="65"/>
      <c r="G302" s="9"/>
      <c r="H302" s="9"/>
      <c r="I302" s="45"/>
      <c r="N302" s="25"/>
      <c r="O302" s="25"/>
      <c r="P302" s="25"/>
      <c r="Q302" s="25"/>
      <c r="R302" s="25"/>
      <c r="S302" s="77"/>
    </row>
    <row r="303" spans="2:19">
      <c r="B303" s="18"/>
      <c r="D303" s="16"/>
      <c r="F303" s="65"/>
      <c r="G303" s="9"/>
      <c r="H303" s="9"/>
      <c r="I303" s="45"/>
      <c r="N303" s="25"/>
      <c r="O303" s="25"/>
      <c r="P303" s="25"/>
      <c r="Q303" s="25"/>
      <c r="R303" s="25"/>
      <c r="S303" s="77"/>
    </row>
    <row r="304" spans="2:19">
      <c r="B304" s="18"/>
      <c r="D304" s="16"/>
      <c r="F304" s="65"/>
      <c r="G304" s="9"/>
      <c r="H304" s="9"/>
      <c r="I304" s="45"/>
      <c r="N304" s="25"/>
      <c r="O304" s="25"/>
      <c r="P304" s="25"/>
      <c r="Q304" s="25"/>
      <c r="R304" s="25"/>
      <c r="S304" s="77"/>
    </row>
    <row r="305" spans="2:19">
      <c r="B305" s="18"/>
      <c r="D305" s="16"/>
      <c r="F305" s="65"/>
      <c r="G305" s="9"/>
      <c r="H305" s="9"/>
      <c r="I305" s="45"/>
      <c r="N305" s="25"/>
      <c r="O305" s="25"/>
      <c r="P305" s="25"/>
      <c r="Q305" s="25"/>
      <c r="R305" s="25"/>
      <c r="S305" s="77"/>
    </row>
    <row r="306" spans="2:19">
      <c r="B306" s="18"/>
      <c r="D306" s="16"/>
      <c r="F306" s="65"/>
      <c r="G306" s="9"/>
      <c r="H306" s="9"/>
      <c r="I306" s="45"/>
      <c r="N306" s="25"/>
      <c r="O306" s="25"/>
      <c r="P306" s="25"/>
      <c r="Q306" s="25"/>
      <c r="R306" s="25"/>
      <c r="S306" s="77"/>
    </row>
    <row r="307" spans="2:19">
      <c r="B307" s="18"/>
      <c r="D307" s="16"/>
      <c r="F307" s="65"/>
      <c r="G307" s="9"/>
      <c r="H307" s="9"/>
      <c r="I307" s="45"/>
      <c r="N307" s="25"/>
      <c r="O307" s="25"/>
      <c r="P307" s="25"/>
      <c r="Q307" s="25"/>
      <c r="R307" s="25"/>
      <c r="S307" s="77"/>
    </row>
    <row r="308" spans="2:19">
      <c r="B308" s="18"/>
      <c r="D308" s="16"/>
      <c r="F308" s="65"/>
      <c r="G308" s="9"/>
      <c r="H308" s="9"/>
      <c r="I308" s="45"/>
      <c r="N308" s="25"/>
      <c r="O308" s="25"/>
      <c r="P308" s="25"/>
      <c r="Q308" s="25"/>
      <c r="R308" s="25"/>
      <c r="S308" s="77"/>
    </row>
    <row r="309" spans="2:19">
      <c r="B309" s="18"/>
      <c r="D309" s="16"/>
      <c r="F309" s="65"/>
      <c r="G309" s="9"/>
      <c r="H309" s="9"/>
      <c r="I309" s="45"/>
      <c r="N309" s="25"/>
      <c r="O309" s="25"/>
      <c r="P309" s="25"/>
      <c r="Q309" s="25"/>
      <c r="R309" s="25"/>
      <c r="S309" s="77"/>
    </row>
    <row r="310" spans="2:19">
      <c r="B310" s="18"/>
      <c r="C310" s="18"/>
      <c r="D310" s="16"/>
      <c r="F310" s="65"/>
      <c r="G310" s="9"/>
      <c r="H310" s="9"/>
      <c r="I310" s="45"/>
      <c r="N310" s="25"/>
      <c r="O310" s="25"/>
      <c r="P310" s="25"/>
      <c r="Q310" s="25"/>
      <c r="R310" s="25"/>
      <c r="S310" s="77"/>
    </row>
    <row r="311" spans="2:19">
      <c r="B311" s="18"/>
      <c r="C311" s="18"/>
      <c r="D311" s="16"/>
      <c r="F311" s="65"/>
      <c r="G311" s="9"/>
      <c r="H311" s="9"/>
      <c r="I311" s="45"/>
      <c r="N311" s="25"/>
      <c r="O311" s="25"/>
      <c r="P311" s="25"/>
      <c r="Q311" s="25"/>
      <c r="R311" s="25"/>
      <c r="S311" s="77"/>
    </row>
    <row r="312" spans="2:19">
      <c r="B312" s="18"/>
      <c r="C312" s="18"/>
      <c r="D312" s="16"/>
      <c r="F312" s="65"/>
      <c r="G312" s="9"/>
      <c r="H312" s="9"/>
      <c r="I312" s="45"/>
      <c r="N312" s="25"/>
      <c r="O312" s="25"/>
      <c r="P312" s="25"/>
      <c r="Q312" s="25"/>
      <c r="R312" s="25"/>
      <c r="S312" s="77"/>
    </row>
    <row r="313" spans="2:19">
      <c r="B313" s="18"/>
      <c r="C313" s="18"/>
      <c r="D313" s="16"/>
      <c r="F313" s="65"/>
      <c r="G313" s="9"/>
      <c r="H313" s="9"/>
      <c r="I313" s="45"/>
      <c r="N313" s="25"/>
      <c r="O313" s="25"/>
      <c r="P313" s="25"/>
      <c r="Q313" s="25"/>
      <c r="R313" s="25"/>
      <c r="S313" s="77"/>
    </row>
    <row r="314" spans="2:19">
      <c r="B314" s="18"/>
      <c r="D314" s="16"/>
      <c r="F314" s="65"/>
      <c r="G314" s="9"/>
      <c r="H314" s="9"/>
      <c r="I314" s="45"/>
      <c r="N314" s="25"/>
      <c r="O314" s="25"/>
      <c r="P314" s="25"/>
      <c r="Q314" s="25"/>
      <c r="R314" s="25"/>
      <c r="S314" s="77"/>
    </row>
    <row r="315" spans="2:19">
      <c r="B315" s="18"/>
      <c r="D315" s="16"/>
      <c r="G315" s="9"/>
      <c r="H315" s="9"/>
      <c r="I315" s="45"/>
      <c r="N315" s="25"/>
      <c r="O315" s="25"/>
      <c r="P315" s="25"/>
      <c r="Q315" s="25"/>
      <c r="R315" s="25"/>
      <c r="S315" s="77"/>
    </row>
    <row r="316" spans="2:19">
      <c r="B316" s="18"/>
      <c r="D316" s="16"/>
      <c r="G316" s="9"/>
      <c r="H316" s="9"/>
      <c r="I316" s="45"/>
      <c r="N316" s="25"/>
      <c r="O316" s="25"/>
      <c r="P316" s="25"/>
      <c r="Q316" s="25"/>
      <c r="R316" s="25"/>
      <c r="S316" s="77"/>
    </row>
    <row r="317" spans="2:19">
      <c r="B317" s="18"/>
      <c r="D317" s="16"/>
      <c r="G317" s="9"/>
      <c r="H317" s="9"/>
      <c r="I317" s="45"/>
      <c r="N317" s="25"/>
      <c r="O317" s="25"/>
      <c r="P317" s="25"/>
      <c r="Q317" s="25"/>
      <c r="R317" s="25"/>
      <c r="S317" s="77"/>
    </row>
    <row r="318" spans="2:19">
      <c r="B318" s="18"/>
      <c r="D318" s="16"/>
      <c r="G318" s="9"/>
      <c r="H318" s="9"/>
      <c r="I318" s="45"/>
      <c r="N318" s="25"/>
      <c r="O318" s="25"/>
      <c r="P318" s="25"/>
      <c r="Q318" s="25"/>
      <c r="R318" s="25"/>
      <c r="S318" s="77"/>
    </row>
    <row r="319" spans="2:19">
      <c r="B319" s="18"/>
      <c r="D319" s="16"/>
      <c r="G319" s="9"/>
      <c r="H319" s="9"/>
      <c r="I319" s="45"/>
      <c r="N319" s="25"/>
      <c r="O319" s="25"/>
      <c r="P319" s="25"/>
      <c r="Q319" s="25"/>
      <c r="R319" s="25"/>
      <c r="S319" s="77"/>
    </row>
    <row r="320" spans="2:19">
      <c r="B320" s="18"/>
      <c r="D320" s="16"/>
      <c r="G320" s="9"/>
      <c r="H320" s="9"/>
      <c r="I320" s="45"/>
      <c r="N320" s="25"/>
      <c r="O320" s="25"/>
      <c r="P320" s="25"/>
      <c r="Q320" s="25"/>
      <c r="R320" s="25"/>
      <c r="S320" s="77"/>
    </row>
    <row r="321" spans="2:19">
      <c r="B321" s="18"/>
      <c r="D321" s="16"/>
      <c r="G321" s="9"/>
      <c r="H321" s="9"/>
      <c r="I321" s="45"/>
      <c r="N321" s="25"/>
      <c r="O321" s="25"/>
      <c r="P321" s="25"/>
      <c r="Q321" s="25"/>
      <c r="R321" s="25"/>
      <c r="S321" s="77"/>
    </row>
    <row r="322" spans="2:19">
      <c r="B322" s="18"/>
      <c r="D322" s="16"/>
      <c r="G322" s="9"/>
      <c r="H322" s="9"/>
      <c r="I322" s="45"/>
      <c r="N322" s="25"/>
      <c r="O322" s="25"/>
      <c r="P322" s="25"/>
      <c r="Q322" s="25"/>
      <c r="R322" s="25"/>
      <c r="S322" s="77"/>
    </row>
    <row r="323" spans="2:19">
      <c r="B323" s="18"/>
      <c r="D323" s="16"/>
      <c r="G323" s="9"/>
      <c r="H323" s="9"/>
      <c r="I323" s="45"/>
      <c r="N323" s="25"/>
      <c r="O323" s="25"/>
      <c r="P323" s="25"/>
      <c r="Q323" s="25"/>
      <c r="R323" s="25"/>
      <c r="S323" s="77"/>
    </row>
    <row r="324" spans="2:19">
      <c r="B324" s="18"/>
      <c r="D324" s="16"/>
      <c r="G324" s="9"/>
      <c r="H324" s="9"/>
      <c r="I324" s="45"/>
      <c r="N324" s="25"/>
      <c r="O324" s="25"/>
      <c r="P324" s="25"/>
      <c r="Q324" s="25"/>
      <c r="R324" s="25"/>
      <c r="S324" s="77"/>
    </row>
    <row r="325" spans="2:19">
      <c r="B325" s="18"/>
      <c r="D325" s="16"/>
      <c r="G325" s="9"/>
      <c r="H325" s="9"/>
      <c r="I325" s="45"/>
      <c r="N325" s="25"/>
      <c r="O325" s="25"/>
      <c r="P325" s="25"/>
      <c r="Q325" s="25"/>
      <c r="R325" s="25"/>
      <c r="S325" s="77"/>
    </row>
    <row r="326" spans="2:19">
      <c r="B326" s="18"/>
      <c r="D326" s="16"/>
      <c r="G326" s="9"/>
      <c r="H326" s="9"/>
      <c r="I326" s="45"/>
      <c r="N326" s="25"/>
      <c r="O326" s="25"/>
      <c r="P326" s="25"/>
      <c r="Q326" s="25"/>
      <c r="R326" s="25"/>
      <c r="S326" s="77"/>
    </row>
    <row r="327" spans="2:19">
      <c r="B327" s="18"/>
      <c r="D327" s="16"/>
      <c r="G327" s="9"/>
      <c r="H327" s="9"/>
      <c r="I327" s="45"/>
      <c r="N327" s="25"/>
      <c r="O327" s="25"/>
      <c r="P327" s="25"/>
      <c r="Q327" s="25"/>
      <c r="R327" s="25"/>
      <c r="S327" s="77"/>
    </row>
    <row r="328" spans="2:19">
      <c r="B328" s="18"/>
      <c r="D328" s="16"/>
      <c r="G328" s="9"/>
      <c r="H328" s="9"/>
      <c r="I328" s="45"/>
      <c r="N328" s="25"/>
      <c r="O328" s="25"/>
      <c r="P328" s="25"/>
      <c r="Q328" s="25"/>
      <c r="R328" s="25"/>
      <c r="S328" s="77"/>
    </row>
    <row r="329" spans="2:19">
      <c r="B329" s="18"/>
      <c r="D329" s="16"/>
      <c r="G329" s="9"/>
      <c r="H329" s="9"/>
      <c r="I329" s="45"/>
      <c r="N329" s="25"/>
      <c r="O329" s="25"/>
      <c r="P329" s="25"/>
      <c r="Q329" s="25"/>
      <c r="R329" s="25"/>
      <c r="S329" s="77"/>
    </row>
    <row r="330" spans="2:19">
      <c r="B330" s="18"/>
      <c r="D330" s="16"/>
      <c r="G330" s="9"/>
      <c r="H330" s="9"/>
      <c r="I330" s="45"/>
      <c r="N330" s="25"/>
      <c r="O330" s="25"/>
      <c r="P330" s="25"/>
      <c r="Q330" s="25"/>
      <c r="R330" s="25"/>
      <c r="S330" s="77"/>
    </row>
    <row r="331" spans="2:19">
      <c r="B331" s="18"/>
      <c r="D331" s="16"/>
      <c r="G331" s="9"/>
      <c r="H331" s="9"/>
      <c r="I331" s="45"/>
      <c r="N331" s="25"/>
      <c r="O331" s="25"/>
      <c r="P331" s="25"/>
      <c r="Q331" s="25"/>
      <c r="R331" s="25"/>
      <c r="S331" s="77"/>
    </row>
    <row r="332" spans="2:19">
      <c r="B332" s="18"/>
      <c r="D332" s="16"/>
      <c r="G332" s="9"/>
      <c r="H332" s="9"/>
      <c r="I332" s="45"/>
      <c r="N332" s="25"/>
      <c r="O332" s="25"/>
      <c r="P332" s="25"/>
      <c r="Q332" s="25"/>
      <c r="R332" s="25"/>
      <c r="S332" s="77"/>
    </row>
    <row r="333" spans="2:19">
      <c r="B333" s="18"/>
      <c r="D333" s="16"/>
      <c r="G333" s="9"/>
      <c r="H333" s="9"/>
      <c r="I333" s="45"/>
      <c r="N333" s="25"/>
      <c r="O333" s="25"/>
      <c r="P333" s="25"/>
      <c r="Q333" s="25"/>
      <c r="R333" s="25"/>
      <c r="S333" s="77"/>
    </row>
    <row r="334" spans="2:19">
      <c r="B334" s="18"/>
      <c r="D334" s="16"/>
      <c r="G334" s="9"/>
      <c r="H334" s="9"/>
      <c r="I334" s="45"/>
      <c r="N334" s="25"/>
      <c r="O334" s="25"/>
      <c r="P334" s="25"/>
      <c r="Q334" s="25"/>
      <c r="R334" s="25"/>
      <c r="S334" s="77"/>
    </row>
    <row r="335" spans="2:19">
      <c r="B335" s="18"/>
      <c r="D335" s="16"/>
      <c r="G335" s="9"/>
      <c r="H335" s="9"/>
      <c r="I335" s="45"/>
      <c r="N335" s="25"/>
      <c r="O335" s="25"/>
      <c r="P335" s="25"/>
      <c r="Q335" s="25"/>
      <c r="R335" s="25"/>
      <c r="S335" s="77"/>
    </row>
    <row r="336" spans="2:19">
      <c r="B336" s="18"/>
      <c r="D336" s="16"/>
      <c r="G336" s="9"/>
      <c r="H336" s="9"/>
      <c r="I336" s="45"/>
      <c r="N336" s="25"/>
      <c r="O336" s="25"/>
      <c r="P336" s="25"/>
      <c r="Q336" s="25"/>
      <c r="R336" s="25"/>
      <c r="S336" s="77"/>
    </row>
    <row r="337" spans="2:19">
      <c r="B337" s="18"/>
      <c r="D337" s="16"/>
      <c r="G337" s="9"/>
      <c r="H337" s="9"/>
      <c r="I337" s="45"/>
      <c r="N337" s="25"/>
      <c r="O337" s="25"/>
      <c r="P337" s="25"/>
      <c r="Q337" s="25"/>
      <c r="R337" s="25"/>
      <c r="S337" s="77"/>
    </row>
    <row r="338" spans="2:19">
      <c r="B338" s="18"/>
      <c r="D338" s="16"/>
      <c r="G338" s="9"/>
      <c r="H338" s="9"/>
      <c r="I338" s="45"/>
      <c r="N338" s="25"/>
      <c r="O338" s="25"/>
      <c r="P338" s="25"/>
      <c r="Q338" s="25"/>
      <c r="R338" s="77"/>
      <c r="S338" s="77"/>
    </row>
    <row r="339" spans="2:19">
      <c r="B339" s="18"/>
      <c r="D339" s="16"/>
      <c r="G339" s="9"/>
      <c r="H339" s="9"/>
      <c r="I339" s="45"/>
      <c r="N339" s="25"/>
      <c r="O339" s="25"/>
      <c r="P339" s="25"/>
      <c r="Q339" s="25"/>
      <c r="R339" s="77"/>
      <c r="S339" s="77"/>
    </row>
    <row r="340" spans="2:19">
      <c r="B340" s="18"/>
      <c r="D340" s="16"/>
      <c r="G340" s="9"/>
      <c r="H340" s="9"/>
      <c r="I340" s="45"/>
      <c r="N340" s="25"/>
      <c r="O340" s="25"/>
      <c r="P340" s="25"/>
      <c r="Q340" s="25"/>
      <c r="R340" s="77"/>
      <c r="S340" s="77"/>
    </row>
    <row r="341" spans="2:19">
      <c r="B341" s="18"/>
      <c r="D341" s="16"/>
      <c r="G341" s="9"/>
      <c r="H341" s="9"/>
      <c r="I341" s="45"/>
      <c r="N341" s="25"/>
      <c r="O341" s="25"/>
      <c r="P341" s="25"/>
      <c r="Q341" s="25"/>
      <c r="R341" s="77"/>
      <c r="S341" s="77"/>
    </row>
    <row r="342" spans="2:19">
      <c r="B342" s="18"/>
      <c r="D342" s="16"/>
      <c r="G342" s="9"/>
      <c r="H342" s="9"/>
      <c r="I342" s="45"/>
      <c r="N342" s="25"/>
      <c r="O342" s="25"/>
      <c r="P342" s="25"/>
      <c r="Q342" s="25"/>
      <c r="R342" s="77"/>
      <c r="S342" s="77"/>
    </row>
    <row r="343" spans="2:19">
      <c r="B343" s="18"/>
      <c r="D343" s="16"/>
      <c r="G343" s="9"/>
      <c r="H343" s="9"/>
      <c r="I343" s="45"/>
      <c r="N343" s="25"/>
      <c r="O343" s="25"/>
      <c r="P343" s="25"/>
      <c r="Q343" s="25"/>
      <c r="R343" s="77"/>
      <c r="S343" s="77"/>
    </row>
    <row r="344" spans="2:19">
      <c r="B344" s="18"/>
      <c r="D344" s="16"/>
      <c r="G344" s="9"/>
      <c r="H344" s="9"/>
      <c r="I344" s="45"/>
      <c r="N344" s="25"/>
      <c r="O344" s="25"/>
      <c r="P344" s="25"/>
      <c r="Q344" s="25"/>
      <c r="R344" s="77"/>
      <c r="S344" s="77"/>
    </row>
    <row r="345" spans="2:19">
      <c r="B345" s="18"/>
      <c r="D345" s="16"/>
      <c r="G345" s="9"/>
      <c r="H345" s="9"/>
      <c r="I345" s="45"/>
      <c r="N345" s="25"/>
      <c r="O345" s="25"/>
      <c r="P345" s="25"/>
      <c r="Q345" s="25"/>
      <c r="R345" s="77"/>
      <c r="S345" s="77"/>
    </row>
    <row r="346" spans="2:19">
      <c r="B346" s="18"/>
      <c r="D346" s="16"/>
      <c r="G346" s="9"/>
      <c r="H346" s="9"/>
      <c r="I346" s="45"/>
      <c r="N346" s="25"/>
      <c r="O346" s="25"/>
      <c r="P346" s="25"/>
      <c r="Q346" s="25"/>
      <c r="R346" s="77"/>
      <c r="S346" s="77"/>
    </row>
    <row r="347" spans="2:19">
      <c r="B347" s="18"/>
      <c r="D347" s="16"/>
      <c r="G347" s="9"/>
      <c r="H347" s="9"/>
      <c r="I347" s="45"/>
      <c r="N347" s="25"/>
      <c r="O347" s="25"/>
      <c r="P347" s="25"/>
      <c r="Q347" s="25"/>
      <c r="R347" s="77"/>
      <c r="S347" s="77"/>
    </row>
    <row r="348" spans="2:19">
      <c r="B348" s="18"/>
      <c r="D348" s="16"/>
      <c r="G348" s="9"/>
      <c r="H348" s="9"/>
      <c r="I348" s="45"/>
      <c r="N348" s="25"/>
      <c r="O348" s="25"/>
      <c r="P348" s="25"/>
      <c r="Q348" s="25"/>
      <c r="R348" s="25"/>
      <c r="S348" s="77"/>
    </row>
    <row r="349" spans="2:19">
      <c r="B349" s="18"/>
      <c r="D349" s="16"/>
      <c r="G349" s="9"/>
      <c r="H349" s="9"/>
      <c r="I349" s="45"/>
      <c r="N349" s="25"/>
      <c r="O349" s="25"/>
      <c r="P349" s="25"/>
      <c r="Q349" s="25"/>
      <c r="R349" s="25"/>
      <c r="S349" s="77"/>
    </row>
    <row r="350" spans="2:19">
      <c r="B350" s="18"/>
      <c r="D350" s="16"/>
      <c r="G350" s="9"/>
      <c r="H350" s="9"/>
      <c r="I350" s="45"/>
      <c r="N350" s="25"/>
      <c r="O350" s="25"/>
      <c r="P350" s="25"/>
      <c r="Q350" s="25"/>
      <c r="R350" s="25"/>
      <c r="S350" s="77"/>
    </row>
    <row r="351" spans="2:19">
      <c r="B351" s="18"/>
      <c r="D351" s="16"/>
      <c r="G351" s="9"/>
      <c r="H351" s="9"/>
      <c r="I351" s="45"/>
      <c r="N351" s="25"/>
      <c r="O351" s="25"/>
      <c r="P351" s="25"/>
      <c r="Q351" s="25"/>
      <c r="R351" s="25"/>
      <c r="S351" s="77"/>
    </row>
    <row r="352" spans="2:19">
      <c r="B352" s="18"/>
      <c r="D352" s="16"/>
      <c r="G352" s="9"/>
      <c r="H352" s="9"/>
      <c r="I352" s="45"/>
      <c r="N352" s="25"/>
      <c r="O352" s="25"/>
      <c r="P352" s="25"/>
      <c r="Q352" s="25"/>
      <c r="R352" s="25"/>
      <c r="S352" s="77"/>
    </row>
    <row r="353" spans="2:19">
      <c r="B353" s="18"/>
      <c r="D353" s="16"/>
      <c r="G353" s="9"/>
      <c r="H353" s="9"/>
      <c r="I353" s="45"/>
      <c r="N353" s="25"/>
      <c r="O353" s="25"/>
      <c r="P353" s="25"/>
      <c r="Q353" s="25"/>
      <c r="R353" s="25"/>
      <c r="S353" s="77"/>
    </row>
    <row r="354" spans="2:19">
      <c r="B354" s="18"/>
      <c r="D354" s="16"/>
      <c r="G354" s="9"/>
      <c r="H354" s="9"/>
      <c r="I354" s="45"/>
      <c r="N354" s="25"/>
      <c r="O354" s="25"/>
      <c r="P354" s="25"/>
      <c r="Q354" s="25"/>
      <c r="R354" s="25"/>
      <c r="S354" s="77"/>
    </row>
    <row r="355" spans="2:19">
      <c r="B355" s="18"/>
      <c r="D355" s="16"/>
      <c r="G355" s="9"/>
      <c r="H355" s="9"/>
      <c r="I355" s="45"/>
      <c r="N355" s="25"/>
      <c r="O355" s="25"/>
      <c r="P355" s="25"/>
      <c r="Q355" s="25"/>
      <c r="R355" s="25"/>
      <c r="S355" s="77"/>
    </row>
    <row r="356" spans="2:19">
      <c r="B356" s="18"/>
      <c r="D356" s="16"/>
      <c r="G356" s="9"/>
      <c r="H356" s="9"/>
      <c r="I356" s="45"/>
      <c r="N356" s="25"/>
      <c r="O356" s="25"/>
      <c r="P356" s="25"/>
      <c r="Q356" s="25"/>
      <c r="R356" s="25"/>
      <c r="S356" s="77"/>
    </row>
    <row r="357" spans="2:19">
      <c r="B357" s="18"/>
      <c r="D357" s="16"/>
      <c r="G357" s="9"/>
      <c r="H357" s="9"/>
      <c r="I357" s="45"/>
      <c r="N357" s="25"/>
      <c r="O357" s="25"/>
      <c r="P357" s="25"/>
      <c r="Q357" s="25"/>
      <c r="R357" s="25"/>
      <c r="S357" s="77"/>
    </row>
    <row r="358" spans="2:19">
      <c r="B358" s="18"/>
      <c r="D358" s="16"/>
      <c r="G358" s="9"/>
      <c r="H358" s="9"/>
      <c r="I358" s="45"/>
      <c r="N358" s="25"/>
      <c r="O358" s="25"/>
      <c r="P358" s="25"/>
      <c r="Q358" s="25"/>
      <c r="R358" s="25"/>
      <c r="S358" s="77"/>
    </row>
    <row r="359" spans="2:19">
      <c r="B359" s="18"/>
      <c r="D359" s="16"/>
      <c r="G359" s="9"/>
      <c r="H359" s="9"/>
      <c r="I359" s="45"/>
      <c r="N359" s="25"/>
      <c r="O359" s="25"/>
      <c r="P359" s="25"/>
      <c r="Q359" s="25"/>
      <c r="R359" s="25"/>
      <c r="S359" s="77"/>
    </row>
    <row r="360" spans="2:19">
      <c r="B360" s="18"/>
      <c r="D360" s="16"/>
      <c r="G360" s="9"/>
      <c r="H360" s="9"/>
      <c r="I360" s="45"/>
      <c r="N360" s="25"/>
      <c r="O360" s="25"/>
      <c r="P360" s="25"/>
      <c r="Q360" s="25"/>
      <c r="R360" s="25"/>
      <c r="S360" s="77"/>
    </row>
    <row r="361" spans="2:19">
      <c r="B361" s="18"/>
      <c r="D361" s="16"/>
      <c r="G361" s="9"/>
      <c r="H361" s="9"/>
      <c r="I361" s="45"/>
      <c r="N361" s="25"/>
      <c r="O361" s="25"/>
      <c r="P361" s="25"/>
      <c r="Q361" s="25"/>
      <c r="R361" s="25"/>
      <c r="S361" s="77"/>
    </row>
    <row r="362" spans="2:19">
      <c r="B362" s="18"/>
      <c r="D362" s="16"/>
      <c r="G362" s="9"/>
      <c r="H362" s="9"/>
      <c r="I362" s="45"/>
      <c r="N362" s="25"/>
      <c r="O362" s="25"/>
      <c r="P362" s="25"/>
      <c r="Q362" s="25"/>
      <c r="R362" s="25"/>
      <c r="S362" s="77"/>
    </row>
    <row r="363" spans="2:19">
      <c r="B363" s="18"/>
      <c r="D363" s="16"/>
      <c r="G363" s="9"/>
      <c r="H363" s="9"/>
      <c r="I363" s="45"/>
      <c r="N363" s="25"/>
      <c r="O363" s="25"/>
      <c r="P363" s="25"/>
      <c r="Q363" s="25"/>
      <c r="R363" s="25"/>
      <c r="S363" s="77"/>
    </row>
    <row r="364" spans="2:19">
      <c r="B364" s="18"/>
      <c r="D364" s="16"/>
      <c r="G364" s="9"/>
      <c r="H364" s="9"/>
      <c r="I364" s="45"/>
      <c r="N364" s="25"/>
      <c r="O364" s="25"/>
      <c r="P364" s="25"/>
      <c r="Q364" s="25"/>
      <c r="R364" s="25"/>
      <c r="S364" s="77"/>
    </row>
    <row r="365" spans="2:19">
      <c r="B365" s="18"/>
      <c r="D365" s="16"/>
      <c r="G365" s="9"/>
      <c r="H365" s="9"/>
      <c r="I365" s="45"/>
      <c r="N365" s="25"/>
      <c r="O365" s="25"/>
      <c r="P365" s="25"/>
      <c r="Q365" s="25"/>
      <c r="R365" s="25"/>
      <c r="S365" s="77"/>
    </row>
    <row r="366" spans="2:19">
      <c r="B366" s="18"/>
      <c r="D366" s="16"/>
      <c r="G366" s="9"/>
      <c r="H366" s="9"/>
      <c r="I366" s="45"/>
      <c r="N366" s="25"/>
      <c r="O366" s="25"/>
      <c r="P366" s="25"/>
      <c r="Q366" s="25"/>
      <c r="R366" s="25"/>
      <c r="S366" s="77"/>
    </row>
    <row r="367" spans="2:19">
      <c r="B367" s="18"/>
      <c r="D367" s="16"/>
      <c r="G367" s="9"/>
      <c r="H367" s="9"/>
      <c r="I367" s="45"/>
      <c r="N367" s="25"/>
      <c r="O367" s="25"/>
      <c r="P367" s="25"/>
      <c r="Q367" s="25"/>
      <c r="R367" s="25"/>
      <c r="S367" s="77"/>
    </row>
    <row r="368" spans="2:19">
      <c r="B368" s="18"/>
      <c r="D368" s="16"/>
      <c r="G368" s="9"/>
      <c r="H368" s="9"/>
      <c r="I368" s="45"/>
      <c r="N368" s="25"/>
      <c r="O368" s="25"/>
      <c r="P368" s="25"/>
      <c r="Q368" s="25"/>
      <c r="R368" s="25"/>
      <c r="S368" s="77"/>
    </row>
    <row r="369" spans="2:19">
      <c r="B369" s="18"/>
      <c r="D369" s="16"/>
      <c r="G369" s="9"/>
      <c r="H369" s="9"/>
      <c r="I369" s="45"/>
      <c r="N369" s="25"/>
      <c r="O369" s="25"/>
      <c r="P369" s="25"/>
      <c r="Q369" s="25"/>
      <c r="R369" s="25"/>
      <c r="S369" s="77"/>
    </row>
    <row r="370" spans="2:19">
      <c r="B370" s="18"/>
      <c r="D370" s="16"/>
      <c r="G370" s="9"/>
      <c r="H370" s="9"/>
      <c r="I370" s="45"/>
      <c r="N370" s="25"/>
      <c r="O370" s="25"/>
      <c r="P370" s="25"/>
      <c r="Q370" s="25"/>
      <c r="R370" s="25"/>
      <c r="S370" s="77"/>
    </row>
    <row r="371" spans="2:19">
      <c r="B371" s="18"/>
      <c r="D371" s="16"/>
      <c r="G371" s="9"/>
      <c r="H371" s="9"/>
      <c r="I371" s="45"/>
      <c r="N371" s="25"/>
      <c r="O371" s="25"/>
      <c r="P371" s="25"/>
      <c r="Q371" s="25"/>
      <c r="R371" s="25"/>
      <c r="S371" s="77"/>
    </row>
    <row r="372" spans="2:19">
      <c r="B372" s="18"/>
      <c r="D372" s="16"/>
      <c r="G372" s="9"/>
      <c r="H372" s="9"/>
      <c r="I372" s="45"/>
      <c r="N372" s="25"/>
      <c r="O372" s="25"/>
      <c r="P372" s="25"/>
      <c r="Q372" s="25"/>
      <c r="R372" s="25"/>
      <c r="S372" s="77"/>
    </row>
    <row r="373" spans="2:19">
      <c r="B373" s="18"/>
      <c r="D373" s="16"/>
      <c r="G373" s="9"/>
      <c r="H373" s="9"/>
      <c r="I373" s="45"/>
      <c r="N373" s="25"/>
      <c r="O373" s="25"/>
      <c r="P373" s="25"/>
      <c r="Q373" s="25"/>
      <c r="R373" s="25"/>
      <c r="S373" s="77"/>
    </row>
    <row r="374" spans="2:19">
      <c r="B374" s="18"/>
      <c r="D374" s="16"/>
      <c r="G374" s="9"/>
      <c r="H374" s="9"/>
      <c r="I374" s="45"/>
      <c r="N374" s="25"/>
      <c r="O374" s="25"/>
      <c r="P374" s="25"/>
      <c r="Q374" s="25"/>
      <c r="R374" s="25"/>
      <c r="S374" s="77"/>
    </row>
    <row r="375" spans="2:19">
      <c r="B375" s="18"/>
      <c r="D375" s="16"/>
      <c r="G375" s="9"/>
      <c r="H375" s="9"/>
      <c r="I375" s="45"/>
      <c r="N375" s="25"/>
      <c r="O375" s="25"/>
      <c r="P375" s="25"/>
      <c r="Q375" s="25"/>
      <c r="R375" s="25"/>
      <c r="S375" s="77"/>
    </row>
    <row r="376" spans="2:19">
      <c r="B376" s="18"/>
      <c r="D376" s="16"/>
      <c r="G376" s="9"/>
      <c r="H376" s="9"/>
      <c r="I376" s="45"/>
      <c r="N376" s="25"/>
      <c r="O376" s="25"/>
      <c r="P376" s="25"/>
      <c r="Q376" s="25"/>
      <c r="R376" s="25"/>
      <c r="S376" s="77"/>
    </row>
    <row r="377" spans="2:19">
      <c r="B377" s="18"/>
      <c r="D377" s="16"/>
      <c r="G377" s="9"/>
      <c r="H377" s="9"/>
      <c r="I377" s="45"/>
      <c r="N377" s="25"/>
      <c r="O377" s="25"/>
      <c r="P377" s="25"/>
      <c r="Q377" s="25"/>
      <c r="R377" s="25"/>
      <c r="S377" s="77"/>
    </row>
    <row r="378" spans="2:19">
      <c r="B378" s="18"/>
      <c r="D378" s="16"/>
      <c r="G378" s="9"/>
      <c r="H378" s="9"/>
      <c r="I378" s="45"/>
      <c r="N378" s="25"/>
      <c r="O378" s="25"/>
      <c r="P378" s="25"/>
      <c r="Q378" s="25"/>
      <c r="R378" s="25"/>
      <c r="S378" s="77"/>
    </row>
    <row r="379" spans="2:19">
      <c r="B379" s="18"/>
      <c r="D379" s="16"/>
      <c r="G379" s="9"/>
      <c r="H379" s="9"/>
      <c r="I379" s="45"/>
      <c r="N379" s="25"/>
      <c r="O379" s="25"/>
      <c r="P379" s="25"/>
      <c r="Q379" s="25"/>
      <c r="R379" s="25"/>
      <c r="S379" s="77"/>
    </row>
    <row r="380" spans="2:19">
      <c r="B380" s="18"/>
      <c r="D380" s="16"/>
      <c r="G380" s="9"/>
      <c r="H380" s="9"/>
      <c r="I380" s="45"/>
      <c r="N380" s="25"/>
      <c r="O380" s="25"/>
      <c r="P380" s="25"/>
      <c r="Q380" s="25"/>
      <c r="R380" s="25"/>
      <c r="S380" s="77"/>
    </row>
    <row r="381" spans="2:19">
      <c r="B381" s="18"/>
      <c r="D381" s="16"/>
      <c r="G381" s="9"/>
      <c r="H381" s="9"/>
      <c r="I381" s="45"/>
      <c r="N381" s="25"/>
      <c r="O381" s="25"/>
      <c r="P381" s="25"/>
      <c r="Q381" s="25"/>
      <c r="R381" s="25"/>
      <c r="S381" s="77"/>
    </row>
    <row r="382" spans="2:19">
      <c r="B382" s="18"/>
      <c r="D382" s="16"/>
      <c r="G382" s="9"/>
      <c r="H382" s="9"/>
      <c r="I382" s="45"/>
      <c r="N382" s="25"/>
      <c r="O382" s="25"/>
      <c r="P382" s="25"/>
      <c r="Q382" s="25"/>
      <c r="R382" s="25"/>
      <c r="S382" s="77"/>
    </row>
    <row r="383" spans="2:19">
      <c r="D383" s="16"/>
      <c r="G383" s="9"/>
      <c r="H383" s="9"/>
      <c r="I383" s="45"/>
      <c r="N383" s="25"/>
      <c r="O383" s="25"/>
      <c r="P383" s="25"/>
      <c r="Q383" s="25"/>
      <c r="R383" s="25"/>
      <c r="S383" s="77"/>
    </row>
    <row r="384" spans="2:19">
      <c r="D384" s="16"/>
      <c r="G384" s="9"/>
      <c r="H384" s="9"/>
      <c r="I384" s="45"/>
      <c r="N384" s="25"/>
      <c r="O384" s="25"/>
      <c r="P384" s="25"/>
      <c r="Q384" s="25"/>
      <c r="R384" s="25"/>
      <c r="S384" s="77"/>
    </row>
    <row r="385" spans="2:19">
      <c r="B385" s="18"/>
      <c r="D385" s="16"/>
      <c r="G385" s="9"/>
      <c r="H385" s="9"/>
      <c r="I385" s="45"/>
      <c r="N385" s="25"/>
      <c r="O385" s="25"/>
      <c r="P385" s="25"/>
      <c r="Q385" s="25"/>
      <c r="R385" s="25"/>
      <c r="S385" s="77"/>
    </row>
    <row r="386" spans="2:19">
      <c r="B386" s="18"/>
      <c r="D386" s="16"/>
      <c r="G386" s="9"/>
      <c r="H386" s="9"/>
      <c r="I386" s="45"/>
      <c r="N386" s="25"/>
      <c r="O386" s="25"/>
      <c r="P386" s="25"/>
      <c r="Q386" s="25"/>
      <c r="R386" s="25"/>
      <c r="S386" s="77"/>
    </row>
    <row r="387" spans="2:19">
      <c r="B387" s="18"/>
      <c r="D387" s="16"/>
      <c r="G387" s="9"/>
      <c r="H387" s="9"/>
      <c r="I387" s="45"/>
      <c r="N387" s="25"/>
      <c r="O387" s="25"/>
      <c r="P387" s="25"/>
      <c r="Q387" s="25"/>
      <c r="R387" s="25"/>
      <c r="S387" s="77"/>
    </row>
    <row r="388" spans="2:19">
      <c r="B388" s="18"/>
      <c r="D388" s="16"/>
      <c r="G388" s="9"/>
      <c r="H388" s="9"/>
      <c r="I388" s="45"/>
      <c r="N388" s="25"/>
      <c r="O388" s="25"/>
      <c r="P388" s="25"/>
      <c r="Q388" s="25"/>
      <c r="R388" s="25"/>
      <c r="S388" s="77"/>
    </row>
    <row r="389" spans="2:19">
      <c r="B389" s="18"/>
      <c r="D389" s="16"/>
      <c r="G389" s="9"/>
      <c r="H389" s="9"/>
      <c r="I389" s="45"/>
      <c r="N389" s="25"/>
      <c r="O389" s="25"/>
      <c r="P389" s="25"/>
      <c r="Q389" s="25"/>
      <c r="R389" s="25"/>
      <c r="S389" s="77"/>
    </row>
    <row r="390" spans="2:19">
      <c r="B390" s="18"/>
      <c r="D390" s="16"/>
      <c r="G390" s="9"/>
      <c r="H390" s="9"/>
      <c r="I390" s="45"/>
      <c r="N390" s="25"/>
      <c r="O390" s="25"/>
      <c r="P390" s="25"/>
      <c r="Q390" s="25"/>
      <c r="R390" s="25"/>
      <c r="S390" s="77"/>
    </row>
    <row r="391" spans="2:19">
      <c r="B391" s="18"/>
      <c r="D391" s="16"/>
      <c r="G391" s="9"/>
      <c r="H391" s="9"/>
      <c r="I391" s="45"/>
      <c r="N391" s="25"/>
      <c r="O391" s="25"/>
      <c r="P391" s="25"/>
      <c r="Q391" s="25"/>
      <c r="R391" s="25"/>
      <c r="S391" s="77"/>
    </row>
    <row r="392" spans="2:19">
      <c r="B392" s="18"/>
      <c r="D392" s="16"/>
      <c r="G392" s="9"/>
      <c r="H392" s="9"/>
      <c r="I392" s="45"/>
      <c r="N392" s="25"/>
      <c r="O392" s="25"/>
      <c r="P392" s="25"/>
      <c r="Q392" s="25"/>
      <c r="R392" s="25"/>
      <c r="S392" s="77"/>
    </row>
    <row r="393" spans="2:19">
      <c r="B393" s="18"/>
      <c r="D393" s="16"/>
      <c r="F393" s="45"/>
      <c r="G393" s="9"/>
      <c r="H393" s="9"/>
      <c r="I393" s="45"/>
      <c r="N393" s="25"/>
      <c r="O393" s="25"/>
      <c r="P393" s="25"/>
      <c r="Q393" s="25"/>
      <c r="R393" s="25"/>
      <c r="S393" s="77"/>
    </row>
    <row r="394" spans="2:19">
      <c r="B394" s="18"/>
      <c r="D394" s="16"/>
      <c r="F394" s="45"/>
      <c r="G394" s="9"/>
      <c r="H394" s="9"/>
      <c r="I394" s="45"/>
      <c r="N394" s="25"/>
      <c r="O394" s="25"/>
      <c r="P394" s="25"/>
      <c r="Q394" s="25"/>
      <c r="R394" s="25"/>
      <c r="S394" s="77"/>
    </row>
    <row r="395" spans="2:19">
      <c r="B395" s="18"/>
      <c r="D395" s="16"/>
      <c r="F395" s="45"/>
      <c r="G395" s="9"/>
      <c r="H395" s="9"/>
      <c r="I395" s="45"/>
      <c r="N395" s="25"/>
      <c r="O395" s="25"/>
      <c r="P395" s="25"/>
      <c r="Q395" s="25"/>
      <c r="R395" s="25"/>
      <c r="S395" s="77"/>
    </row>
    <row r="396" spans="2:19">
      <c r="B396" s="18"/>
      <c r="D396" s="16"/>
      <c r="F396" s="45"/>
      <c r="G396" s="9"/>
      <c r="H396" s="9"/>
      <c r="I396" s="45"/>
      <c r="N396" s="25"/>
      <c r="O396" s="25"/>
      <c r="P396" s="25"/>
      <c r="Q396" s="25"/>
      <c r="R396" s="25"/>
      <c r="S396" s="25"/>
    </row>
    <row r="397" spans="2:19">
      <c r="B397" s="18"/>
      <c r="D397" s="16"/>
      <c r="F397" s="45"/>
      <c r="G397" s="9"/>
      <c r="H397" s="9"/>
      <c r="I397" s="45"/>
      <c r="N397" s="25"/>
      <c r="O397" s="25"/>
      <c r="P397" s="25"/>
      <c r="Q397" s="25"/>
      <c r="R397" s="25"/>
      <c r="S397" s="25"/>
    </row>
    <row r="398" spans="2:19">
      <c r="B398" s="18"/>
      <c r="D398" s="16"/>
      <c r="F398" s="45"/>
      <c r="G398" s="9"/>
      <c r="H398" s="9"/>
      <c r="I398" s="45"/>
      <c r="N398" s="25"/>
      <c r="O398" s="25"/>
      <c r="P398" s="25"/>
      <c r="Q398" s="25"/>
      <c r="R398" s="25"/>
      <c r="S398" s="25"/>
    </row>
    <row r="399" spans="2:19">
      <c r="B399" s="18"/>
      <c r="D399" s="16"/>
      <c r="F399" s="45"/>
      <c r="G399" s="9"/>
      <c r="H399" s="9"/>
      <c r="I399" s="45"/>
      <c r="N399" s="25"/>
      <c r="O399" s="25"/>
      <c r="P399" s="25"/>
      <c r="Q399" s="25"/>
      <c r="R399" s="25"/>
      <c r="S399" s="25"/>
    </row>
    <row r="400" spans="2:19">
      <c r="B400" s="18"/>
      <c r="D400" s="16"/>
      <c r="F400" s="45"/>
      <c r="G400" s="9"/>
      <c r="H400" s="9"/>
      <c r="I400" s="45"/>
      <c r="N400" s="25"/>
      <c r="O400" s="25"/>
      <c r="P400" s="25"/>
      <c r="Q400" s="25"/>
      <c r="R400" s="25"/>
      <c r="S400" s="25"/>
    </row>
    <row r="401" spans="2:19">
      <c r="B401" s="18"/>
      <c r="D401" s="16"/>
      <c r="F401" s="45"/>
      <c r="G401" s="9"/>
      <c r="H401" s="9"/>
      <c r="I401" s="45"/>
      <c r="N401" s="25"/>
      <c r="O401" s="25"/>
      <c r="P401" s="25"/>
      <c r="Q401" s="25"/>
      <c r="R401" s="25"/>
      <c r="S401" s="25"/>
    </row>
    <row r="402" spans="2:19">
      <c r="B402" s="18"/>
      <c r="D402" s="16"/>
      <c r="G402" s="9"/>
      <c r="H402" s="9"/>
      <c r="I402" s="45"/>
      <c r="N402" s="25"/>
      <c r="O402" s="25"/>
      <c r="P402" s="25"/>
      <c r="Q402" s="25"/>
      <c r="R402" s="25"/>
      <c r="S402" s="25"/>
    </row>
    <row r="403" spans="2:19">
      <c r="B403" s="18"/>
      <c r="D403" s="16"/>
      <c r="G403" s="9"/>
      <c r="H403" s="9"/>
      <c r="I403" s="45"/>
      <c r="N403" s="25"/>
      <c r="O403" s="25"/>
      <c r="P403" s="25"/>
      <c r="Q403" s="25"/>
      <c r="R403" s="25"/>
      <c r="S403" s="25"/>
    </row>
    <row r="404" spans="2:19">
      <c r="B404" s="18"/>
      <c r="D404" s="16"/>
      <c r="G404" s="9"/>
      <c r="H404" s="9"/>
      <c r="I404" s="45"/>
      <c r="N404" s="25"/>
      <c r="O404" s="25"/>
      <c r="P404" s="25"/>
      <c r="Q404" s="25"/>
      <c r="R404" s="25"/>
      <c r="S404" s="77"/>
    </row>
    <row r="405" spans="2:19">
      <c r="B405" s="18"/>
      <c r="D405" s="16"/>
      <c r="G405" s="9"/>
      <c r="H405" s="9"/>
      <c r="I405" s="64"/>
      <c r="J405" s="45"/>
      <c r="N405" s="25"/>
      <c r="O405" s="25"/>
      <c r="P405" s="25"/>
      <c r="Q405" s="25"/>
      <c r="R405" s="25"/>
      <c r="S405" s="77"/>
    </row>
    <row r="406" spans="2:19">
      <c r="B406" s="18"/>
      <c r="D406" s="16"/>
      <c r="G406" s="9"/>
      <c r="H406" s="9"/>
      <c r="I406" s="64"/>
      <c r="J406" s="45"/>
      <c r="N406" s="25"/>
      <c r="O406" s="25"/>
      <c r="P406" s="25"/>
      <c r="Q406" s="25"/>
      <c r="R406" s="25"/>
      <c r="S406" s="77"/>
    </row>
    <row r="407" spans="2:19">
      <c r="B407" s="18"/>
      <c r="D407" s="16"/>
      <c r="G407" s="9"/>
      <c r="H407" s="9"/>
      <c r="I407" s="64"/>
      <c r="J407" s="45"/>
      <c r="N407" s="25"/>
      <c r="O407" s="25"/>
      <c r="P407" s="25"/>
      <c r="Q407" s="25"/>
      <c r="R407" s="25"/>
      <c r="S407" s="77"/>
    </row>
    <row r="408" spans="2:19">
      <c r="B408" s="18"/>
      <c r="D408" s="16"/>
      <c r="G408" s="9"/>
      <c r="H408" s="9"/>
      <c r="I408" s="64"/>
      <c r="J408" s="45"/>
      <c r="N408" s="25"/>
      <c r="O408" s="25"/>
      <c r="P408" s="25"/>
      <c r="Q408" s="25"/>
      <c r="R408" s="25"/>
      <c r="S408" s="77"/>
    </row>
    <row r="409" spans="2:19">
      <c r="B409" s="18"/>
      <c r="D409" s="16"/>
      <c r="G409" s="9"/>
      <c r="H409" s="9"/>
      <c r="I409" s="45"/>
      <c r="N409" s="25"/>
      <c r="O409" s="25"/>
      <c r="P409" s="25"/>
      <c r="Q409" s="25"/>
      <c r="R409" s="25"/>
      <c r="S409" s="77"/>
    </row>
    <row r="410" spans="2:19">
      <c r="B410" s="18"/>
      <c r="D410" s="16"/>
      <c r="G410" s="9"/>
      <c r="H410" s="9"/>
      <c r="I410" s="45"/>
      <c r="N410" s="25"/>
      <c r="O410" s="25"/>
      <c r="P410" s="25"/>
      <c r="Q410" s="25"/>
      <c r="R410" s="25"/>
      <c r="S410" s="77"/>
    </row>
    <row r="411" spans="2:19">
      <c r="B411" s="18"/>
      <c r="D411" s="16"/>
      <c r="G411" s="9"/>
      <c r="H411" s="9"/>
      <c r="I411" s="45"/>
      <c r="N411" s="25"/>
      <c r="O411" s="25"/>
      <c r="P411" s="25"/>
      <c r="Q411" s="25"/>
      <c r="R411" s="25"/>
      <c r="S411" s="77"/>
    </row>
    <row r="412" spans="2:19">
      <c r="B412" s="18"/>
      <c r="D412" s="16"/>
      <c r="G412" s="9"/>
      <c r="H412" s="9"/>
      <c r="I412" s="45"/>
      <c r="N412" s="25"/>
      <c r="O412" s="25"/>
      <c r="P412" s="25"/>
      <c r="Q412" s="25"/>
      <c r="R412" s="25"/>
      <c r="S412" s="77"/>
    </row>
    <row r="413" spans="2:19">
      <c r="B413" s="18"/>
      <c r="D413" s="16"/>
      <c r="G413" s="9"/>
      <c r="H413" s="9"/>
      <c r="I413" s="45"/>
      <c r="N413" s="25"/>
      <c r="O413" s="25"/>
      <c r="P413" s="25"/>
      <c r="Q413" s="25"/>
      <c r="R413" s="25"/>
      <c r="S413" s="77"/>
    </row>
    <row r="414" spans="2:19">
      <c r="B414" s="18"/>
      <c r="D414" s="16"/>
      <c r="G414" s="9"/>
      <c r="H414" s="9"/>
      <c r="I414" s="45"/>
      <c r="N414" s="25"/>
      <c r="O414" s="25"/>
      <c r="P414" s="25"/>
      <c r="Q414" s="25"/>
      <c r="R414" s="25"/>
      <c r="S414" s="77"/>
    </row>
    <row r="415" spans="2:19">
      <c r="B415" s="18"/>
      <c r="D415" s="16"/>
      <c r="G415" s="9"/>
      <c r="H415" s="9"/>
      <c r="I415" s="45"/>
      <c r="N415" s="25"/>
      <c r="O415" s="25"/>
      <c r="P415" s="25"/>
      <c r="Q415" s="25"/>
      <c r="R415" s="25"/>
      <c r="S415" s="77"/>
    </row>
    <row r="416" spans="2:19">
      <c r="B416" s="18"/>
      <c r="D416" s="16"/>
      <c r="G416" s="9"/>
      <c r="H416" s="9"/>
      <c r="I416" s="45"/>
      <c r="N416" s="25"/>
      <c r="O416" s="25"/>
      <c r="P416" s="25"/>
      <c r="Q416" s="25"/>
      <c r="R416" s="25"/>
      <c r="S416" s="77"/>
    </row>
    <row r="417" spans="2:19">
      <c r="B417" s="18"/>
      <c r="D417" s="16"/>
      <c r="G417" s="9"/>
      <c r="H417" s="9"/>
      <c r="I417" s="45"/>
      <c r="N417" s="25"/>
      <c r="O417" s="25"/>
      <c r="P417" s="25"/>
      <c r="Q417" s="25"/>
      <c r="R417" s="25"/>
      <c r="S417" s="77"/>
    </row>
    <row r="418" spans="2:19">
      <c r="B418" s="18"/>
      <c r="D418" s="16"/>
      <c r="G418" s="9"/>
      <c r="H418" s="9"/>
      <c r="I418" s="45"/>
      <c r="N418" s="25"/>
      <c r="O418" s="25"/>
      <c r="P418" s="25"/>
      <c r="Q418" s="25"/>
      <c r="R418" s="25"/>
      <c r="S418" s="77"/>
    </row>
    <row r="419" spans="2:19">
      <c r="B419" s="18"/>
      <c r="D419" s="16"/>
      <c r="G419" s="9"/>
      <c r="H419" s="9"/>
      <c r="I419" s="45"/>
      <c r="N419" s="25"/>
      <c r="O419" s="25"/>
      <c r="P419" s="25"/>
      <c r="Q419" s="25"/>
      <c r="R419" s="25"/>
      <c r="S419" s="77"/>
    </row>
    <row r="420" spans="2:19">
      <c r="B420" s="18"/>
      <c r="D420" s="16"/>
      <c r="G420" s="9"/>
      <c r="H420" s="9"/>
      <c r="I420" s="45"/>
      <c r="N420" s="25"/>
      <c r="O420" s="25"/>
      <c r="P420" s="25"/>
      <c r="Q420" s="25"/>
      <c r="R420" s="25"/>
      <c r="S420" s="77"/>
    </row>
    <row r="421" spans="2:19">
      <c r="B421" s="18"/>
      <c r="D421" s="16"/>
      <c r="G421" s="9"/>
      <c r="H421" s="9"/>
      <c r="I421" s="45"/>
      <c r="N421" s="25"/>
      <c r="O421" s="25"/>
      <c r="P421" s="25"/>
      <c r="Q421" s="25"/>
      <c r="R421" s="25"/>
      <c r="S421" s="77"/>
    </row>
    <row r="422" spans="2:19">
      <c r="B422" s="18"/>
      <c r="D422" s="16"/>
      <c r="G422" s="9"/>
      <c r="H422" s="9"/>
      <c r="I422" s="45"/>
      <c r="N422" s="25"/>
      <c r="O422" s="25"/>
      <c r="P422" s="25"/>
      <c r="Q422" s="25"/>
      <c r="R422" s="25"/>
      <c r="S422" s="77"/>
    </row>
    <row r="423" spans="2:19">
      <c r="B423" s="18"/>
      <c r="D423" s="16"/>
      <c r="G423" s="9"/>
      <c r="H423" s="9"/>
      <c r="I423" s="45"/>
      <c r="N423" s="25"/>
      <c r="O423" s="25"/>
      <c r="P423" s="25"/>
      <c r="Q423" s="25"/>
      <c r="R423" s="25"/>
      <c r="S423" s="77"/>
    </row>
    <row r="424" spans="2:19">
      <c r="B424" s="18"/>
      <c r="D424" s="16"/>
      <c r="G424" s="9"/>
      <c r="H424" s="9"/>
      <c r="I424" s="45"/>
      <c r="N424" s="25"/>
      <c r="O424" s="25"/>
      <c r="P424" s="25"/>
      <c r="Q424" s="25"/>
      <c r="R424" s="25"/>
      <c r="S424" s="77"/>
    </row>
    <row r="425" spans="2:19">
      <c r="B425" s="18"/>
      <c r="D425" s="16"/>
      <c r="G425" s="9"/>
      <c r="H425" s="9"/>
      <c r="I425" s="45"/>
      <c r="N425" s="25"/>
      <c r="O425" s="25"/>
      <c r="P425" s="25"/>
      <c r="Q425" s="25"/>
      <c r="R425" s="25"/>
      <c r="S425" s="77"/>
    </row>
    <row r="426" spans="2:19">
      <c r="B426" s="18"/>
      <c r="D426" s="16"/>
      <c r="G426" s="9"/>
      <c r="H426" s="9"/>
      <c r="I426" s="45"/>
      <c r="N426" s="25"/>
      <c r="O426" s="25"/>
      <c r="P426" s="25"/>
      <c r="Q426" s="25"/>
      <c r="R426" s="25"/>
      <c r="S426" s="77"/>
    </row>
    <row r="427" spans="2:19">
      <c r="B427" s="18"/>
      <c r="D427" s="16"/>
      <c r="G427" s="9"/>
      <c r="H427" s="9"/>
      <c r="I427" s="45"/>
      <c r="N427" s="25"/>
      <c r="O427" s="25"/>
      <c r="P427" s="25"/>
      <c r="Q427" s="25"/>
      <c r="R427" s="25"/>
      <c r="S427" s="77"/>
    </row>
    <row r="428" spans="2:19">
      <c r="B428" s="18"/>
      <c r="D428" s="16"/>
      <c r="G428" s="9"/>
      <c r="H428" s="9"/>
      <c r="I428" s="45"/>
      <c r="N428" s="25"/>
      <c r="O428" s="25"/>
      <c r="P428" s="25"/>
      <c r="Q428" s="25"/>
      <c r="R428" s="25"/>
      <c r="S428" s="77"/>
    </row>
    <row r="429" spans="2:19">
      <c r="B429" s="18"/>
      <c r="D429" s="16"/>
      <c r="G429" s="9"/>
      <c r="H429" s="9"/>
      <c r="I429" s="45"/>
      <c r="N429" s="25"/>
      <c r="O429" s="25"/>
      <c r="P429" s="25"/>
      <c r="Q429" s="25"/>
      <c r="R429" s="25"/>
      <c r="S429" s="77"/>
    </row>
    <row r="430" spans="2:19">
      <c r="B430" s="18"/>
      <c r="D430" s="16"/>
      <c r="G430" s="9"/>
      <c r="H430" s="9"/>
      <c r="I430" s="45"/>
      <c r="N430" s="25"/>
      <c r="O430" s="25"/>
      <c r="P430" s="25"/>
      <c r="Q430" s="25"/>
      <c r="R430" s="25"/>
      <c r="S430" s="77"/>
    </row>
    <row r="431" spans="2:19">
      <c r="B431" s="18"/>
      <c r="D431" s="16"/>
      <c r="G431" s="9"/>
      <c r="H431" s="9"/>
      <c r="I431" s="45"/>
      <c r="N431" s="25"/>
      <c r="O431" s="25"/>
      <c r="P431" s="25"/>
      <c r="Q431" s="25"/>
      <c r="R431" s="25"/>
      <c r="S431" s="77"/>
    </row>
    <row r="432" spans="2:19">
      <c r="B432" s="18"/>
      <c r="D432" s="16"/>
      <c r="G432" s="9"/>
      <c r="H432" s="9"/>
      <c r="I432" s="45"/>
      <c r="N432" s="25"/>
      <c r="O432" s="25"/>
      <c r="P432" s="25"/>
      <c r="Q432" s="25"/>
      <c r="R432" s="25"/>
      <c r="S432" s="77"/>
    </row>
    <row r="433" spans="2:19">
      <c r="B433" s="18"/>
      <c r="D433" s="16"/>
      <c r="G433" s="9"/>
      <c r="H433" s="9"/>
      <c r="I433" s="45"/>
      <c r="N433" s="25"/>
      <c r="O433" s="25"/>
      <c r="P433" s="25"/>
      <c r="Q433" s="25"/>
      <c r="R433" s="25"/>
      <c r="S433" s="77"/>
    </row>
    <row r="434" spans="2:19">
      <c r="B434" s="18"/>
      <c r="D434" s="16"/>
      <c r="G434" s="9"/>
      <c r="H434" s="9"/>
      <c r="I434" s="45"/>
      <c r="N434" s="25"/>
      <c r="O434" s="25"/>
      <c r="P434" s="25"/>
      <c r="Q434" s="25"/>
      <c r="R434" s="25"/>
      <c r="S434" s="77"/>
    </row>
    <row r="435" spans="2:19">
      <c r="B435" s="18"/>
      <c r="D435" s="16"/>
      <c r="G435" s="9"/>
      <c r="H435" s="9"/>
      <c r="I435" s="45"/>
      <c r="N435" s="25"/>
      <c r="O435" s="25"/>
      <c r="P435" s="25"/>
      <c r="Q435" s="25"/>
      <c r="R435" s="25"/>
      <c r="S435" s="77"/>
    </row>
    <row r="436" spans="2:19">
      <c r="B436" s="18"/>
      <c r="D436" s="16"/>
      <c r="G436" s="9"/>
      <c r="H436" s="9"/>
      <c r="I436" s="45"/>
      <c r="N436" s="25"/>
      <c r="O436" s="25"/>
      <c r="P436" s="25"/>
      <c r="Q436" s="25"/>
      <c r="R436" s="25"/>
      <c r="S436" s="77"/>
    </row>
    <row r="437" spans="2:19">
      <c r="B437" s="18"/>
      <c r="D437" s="16"/>
      <c r="G437" s="9"/>
      <c r="H437" s="9"/>
      <c r="I437" s="45"/>
      <c r="N437" s="25"/>
      <c r="O437" s="25"/>
      <c r="P437" s="25"/>
      <c r="Q437" s="25"/>
      <c r="R437" s="25"/>
      <c r="S437" s="77"/>
    </row>
    <row r="438" spans="2:19">
      <c r="B438" s="18"/>
      <c r="D438" s="16"/>
      <c r="G438" s="9"/>
      <c r="H438" s="9"/>
      <c r="I438" s="45"/>
      <c r="N438" s="25"/>
      <c r="O438" s="25"/>
      <c r="P438" s="25"/>
      <c r="Q438" s="25"/>
      <c r="R438" s="25"/>
      <c r="S438" s="77"/>
    </row>
    <row r="439" spans="2:19">
      <c r="B439" s="18"/>
      <c r="D439" s="16"/>
      <c r="G439" s="9"/>
      <c r="H439" s="9"/>
      <c r="I439" s="45"/>
      <c r="N439" s="25"/>
      <c r="O439" s="25"/>
      <c r="P439" s="25"/>
      <c r="Q439" s="25"/>
      <c r="R439" s="25"/>
      <c r="S439" s="77"/>
    </row>
    <row r="440" spans="2:19">
      <c r="B440" s="18"/>
      <c r="D440" s="16"/>
      <c r="G440" s="44"/>
      <c r="I440" s="45"/>
      <c r="N440" s="25"/>
      <c r="O440" s="25"/>
      <c r="P440" s="25"/>
      <c r="Q440" s="25"/>
      <c r="R440" s="25"/>
      <c r="S440" s="77"/>
    </row>
    <row r="441" spans="2:19">
      <c r="B441" s="18"/>
      <c r="D441" s="16"/>
      <c r="G441" s="44"/>
      <c r="I441" s="45"/>
      <c r="N441" s="25"/>
      <c r="O441" s="25"/>
      <c r="P441" s="25"/>
      <c r="Q441" s="25"/>
      <c r="R441" s="25"/>
      <c r="S441" s="77"/>
    </row>
    <row r="442" spans="2:19">
      <c r="B442" s="18"/>
      <c r="D442" s="16"/>
      <c r="F442" s="122"/>
      <c r="G442" s="44"/>
      <c r="I442" s="45"/>
      <c r="N442" s="25"/>
      <c r="O442" s="25"/>
      <c r="P442" s="25"/>
      <c r="Q442" s="25"/>
      <c r="R442" s="25"/>
      <c r="S442" s="77"/>
    </row>
    <row r="443" spans="2:19">
      <c r="B443" s="18"/>
      <c r="D443" s="16"/>
      <c r="F443" s="122"/>
      <c r="G443" s="44"/>
      <c r="I443" s="45"/>
      <c r="N443" s="25"/>
      <c r="O443" s="25"/>
      <c r="P443" s="25"/>
      <c r="Q443" s="25"/>
      <c r="R443" s="25"/>
      <c r="S443" s="77"/>
    </row>
    <row r="444" spans="2:19">
      <c r="B444" s="18"/>
      <c r="D444" s="16"/>
      <c r="F444" s="122"/>
      <c r="G444" s="44"/>
      <c r="I444" s="45"/>
      <c r="N444" s="25"/>
      <c r="O444" s="25"/>
      <c r="P444" s="25"/>
      <c r="Q444" s="25"/>
      <c r="R444" s="25"/>
      <c r="S444" s="77"/>
    </row>
    <row r="445" spans="2:19">
      <c r="B445" s="18"/>
      <c r="D445" s="16"/>
      <c r="F445" s="122"/>
      <c r="G445" s="44"/>
      <c r="I445" s="45"/>
      <c r="N445" s="25"/>
      <c r="O445" s="25"/>
      <c r="P445" s="25"/>
      <c r="Q445" s="25"/>
      <c r="R445" s="25"/>
      <c r="S445" s="77"/>
    </row>
    <row r="446" spans="2:19">
      <c r="B446" s="18"/>
      <c r="D446" s="16"/>
      <c r="F446" s="122"/>
      <c r="G446" s="44"/>
      <c r="I446" s="45"/>
      <c r="N446" s="25"/>
      <c r="O446" s="25"/>
      <c r="P446" s="25"/>
      <c r="Q446" s="25"/>
      <c r="R446" s="25"/>
      <c r="S446" s="77"/>
    </row>
    <row r="447" spans="2:19">
      <c r="B447" s="18"/>
      <c r="D447" s="16"/>
      <c r="F447" s="122"/>
      <c r="G447" s="44"/>
      <c r="I447" s="45"/>
      <c r="N447" s="25"/>
      <c r="O447" s="25"/>
      <c r="P447" s="25"/>
      <c r="Q447" s="25"/>
      <c r="R447" s="25"/>
      <c r="S447" s="77"/>
    </row>
    <row r="448" spans="2:19">
      <c r="B448" s="18"/>
      <c r="D448" s="16"/>
      <c r="F448" s="122"/>
      <c r="G448" s="44"/>
      <c r="I448" s="45"/>
      <c r="N448" s="25"/>
      <c r="O448" s="25"/>
      <c r="P448" s="25"/>
      <c r="Q448" s="25"/>
      <c r="R448" s="25"/>
      <c r="S448" s="77"/>
    </row>
    <row r="449" spans="2:19">
      <c r="B449" s="18"/>
      <c r="D449" s="16"/>
      <c r="F449" s="122"/>
      <c r="G449" s="44"/>
      <c r="I449" s="45"/>
      <c r="N449" s="25"/>
      <c r="O449" s="25"/>
      <c r="P449" s="25"/>
      <c r="Q449" s="25"/>
      <c r="R449" s="25"/>
      <c r="S449" s="77"/>
    </row>
    <row r="450" spans="2:19">
      <c r="B450" s="18"/>
      <c r="D450" s="16"/>
      <c r="G450" s="44"/>
      <c r="I450" s="45"/>
      <c r="N450" s="25"/>
      <c r="O450" s="25"/>
      <c r="P450" s="25"/>
      <c r="Q450" s="25"/>
      <c r="R450" s="25"/>
      <c r="S450" s="77"/>
    </row>
    <row r="451" spans="2:19">
      <c r="B451" s="18"/>
      <c r="D451" s="16"/>
      <c r="G451" s="44"/>
      <c r="I451" s="45"/>
      <c r="N451" s="25"/>
      <c r="O451" s="25"/>
      <c r="P451" s="25"/>
      <c r="Q451" s="25"/>
      <c r="R451" s="25"/>
      <c r="S451" s="77"/>
    </row>
    <row r="452" spans="2:19">
      <c r="B452" s="18"/>
      <c r="D452" s="16"/>
      <c r="G452" s="44"/>
      <c r="I452" s="45"/>
      <c r="N452" s="25"/>
      <c r="O452" s="25"/>
      <c r="P452" s="25"/>
      <c r="Q452" s="25"/>
      <c r="R452" s="25"/>
      <c r="S452" s="77"/>
    </row>
    <row r="453" spans="2:19">
      <c r="B453" s="18"/>
      <c r="D453" s="16"/>
      <c r="G453" s="44"/>
      <c r="I453" s="45"/>
      <c r="N453" s="25"/>
      <c r="O453" s="25"/>
      <c r="P453" s="25"/>
      <c r="Q453" s="25"/>
      <c r="R453" s="25"/>
      <c r="S453" s="77"/>
    </row>
    <row r="454" spans="2:19">
      <c r="B454" s="18"/>
      <c r="D454" s="16"/>
      <c r="G454" s="44"/>
      <c r="I454" s="45"/>
      <c r="N454" s="25"/>
      <c r="O454" s="25"/>
      <c r="P454" s="25"/>
      <c r="Q454" s="25"/>
      <c r="R454" s="25"/>
      <c r="S454" s="77"/>
    </row>
    <row r="455" spans="2:19">
      <c r="B455" s="18"/>
      <c r="D455" s="16"/>
      <c r="G455" s="44"/>
      <c r="I455" s="45"/>
      <c r="N455" s="25"/>
      <c r="O455" s="25"/>
      <c r="P455" s="25"/>
      <c r="Q455" s="25"/>
      <c r="R455" s="25"/>
      <c r="S455" s="77"/>
    </row>
    <row r="456" spans="2:19">
      <c r="B456" s="18"/>
      <c r="D456" s="16"/>
      <c r="G456" s="44"/>
      <c r="I456" s="45"/>
      <c r="N456" s="25"/>
      <c r="O456" s="25"/>
      <c r="P456" s="25"/>
      <c r="Q456" s="25"/>
      <c r="R456" s="25"/>
      <c r="S456" s="77"/>
    </row>
    <row r="457" spans="2:19">
      <c r="B457" s="18"/>
      <c r="G457" s="44"/>
      <c r="I457" s="45"/>
      <c r="N457" s="25"/>
      <c r="O457" s="25"/>
      <c r="P457" s="25"/>
      <c r="Q457" s="25"/>
      <c r="R457" s="25"/>
      <c r="S457" s="77"/>
    </row>
    <row r="458" spans="2:19">
      <c r="B458" s="18"/>
      <c r="G458" s="44"/>
      <c r="I458" s="45"/>
      <c r="N458" s="25"/>
      <c r="O458" s="25"/>
      <c r="P458" s="25"/>
      <c r="Q458" s="25"/>
      <c r="R458" s="25"/>
      <c r="S458" s="77"/>
    </row>
    <row r="459" spans="2:19">
      <c r="B459" s="18"/>
      <c r="G459" s="44"/>
      <c r="I459" s="45"/>
      <c r="N459" s="25"/>
      <c r="O459" s="25"/>
      <c r="P459" s="25"/>
      <c r="Q459" s="25"/>
      <c r="R459" s="25"/>
      <c r="S459" s="77"/>
    </row>
    <row r="460" spans="2:19">
      <c r="B460" s="18"/>
      <c r="G460" s="44"/>
      <c r="I460" s="45"/>
      <c r="N460" s="25"/>
      <c r="O460" s="25"/>
      <c r="P460" s="25"/>
      <c r="Q460" s="25"/>
      <c r="R460" s="25"/>
      <c r="S460" s="77"/>
    </row>
    <row r="461" spans="2:19">
      <c r="B461" s="18"/>
      <c r="G461" s="44"/>
      <c r="I461" s="45"/>
      <c r="N461" s="25"/>
      <c r="O461" s="25"/>
      <c r="P461" s="25"/>
      <c r="Q461" s="25"/>
      <c r="R461" s="25"/>
      <c r="S461" s="77"/>
    </row>
    <row r="462" spans="2:19">
      <c r="B462" s="18"/>
      <c r="G462" s="44"/>
      <c r="I462" s="45"/>
      <c r="N462" s="25"/>
      <c r="O462" s="25"/>
      <c r="P462" s="25"/>
      <c r="Q462" s="25"/>
      <c r="R462" s="25"/>
      <c r="S462" s="25"/>
    </row>
    <row r="463" spans="2:19">
      <c r="B463" s="18"/>
      <c r="G463" s="44"/>
      <c r="I463" s="45"/>
      <c r="N463" s="25"/>
      <c r="O463" s="25"/>
      <c r="P463" s="25"/>
      <c r="Q463" s="25"/>
      <c r="R463" s="25"/>
      <c r="S463" s="25"/>
    </row>
    <row r="464" spans="2:19">
      <c r="B464" s="18"/>
      <c r="G464" s="44"/>
      <c r="I464" s="45"/>
      <c r="N464" s="25"/>
      <c r="O464" s="25"/>
      <c r="P464" s="25"/>
      <c r="Q464" s="25"/>
      <c r="R464" s="25"/>
      <c r="S464" s="25"/>
    </row>
    <row r="465" spans="2:19">
      <c r="B465" s="18"/>
      <c r="G465" s="44"/>
      <c r="I465" s="45"/>
      <c r="N465" s="25"/>
      <c r="O465" s="25"/>
      <c r="P465" s="25"/>
      <c r="Q465" s="25"/>
      <c r="R465" s="25"/>
      <c r="S465" s="25"/>
    </row>
    <row r="466" spans="2:19">
      <c r="B466" s="18"/>
      <c r="G466" s="44"/>
      <c r="I466" s="45"/>
      <c r="N466" s="25"/>
      <c r="O466" s="25"/>
      <c r="P466" s="25"/>
      <c r="Q466" s="25"/>
      <c r="R466" s="25"/>
      <c r="S466" s="25"/>
    </row>
    <row r="467" spans="2:19">
      <c r="B467" s="18"/>
      <c r="G467" s="44"/>
      <c r="I467" s="45"/>
      <c r="N467" s="25"/>
      <c r="O467" s="25"/>
      <c r="P467" s="25"/>
      <c r="Q467" s="25"/>
      <c r="R467" s="25"/>
      <c r="S467" s="25"/>
    </row>
    <row r="468" spans="2:19">
      <c r="B468" s="18"/>
      <c r="G468" s="44"/>
      <c r="I468" s="45"/>
      <c r="N468" s="25"/>
      <c r="O468" s="25"/>
      <c r="P468" s="25"/>
      <c r="Q468" s="25"/>
      <c r="R468" s="25"/>
      <c r="S468" s="25"/>
    </row>
    <row r="469" spans="2:19">
      <c r="B469" s="18"/>
      <c r="G469" s="44"/>
      <c r="I469" s="45"/>
      <c r="N469" s="25"/>
      <c r="O469" s="25"/>
      <c r="P469" s="25"/>
      <c r="Q469" s="25"/>
      <c r="R469" s="25"/>
      <c r="S469" s="25"/>
    </row>
    <row r="470" spans="2:19">
      <c r="B470" s="18"/>
      <c r="G470" s="44"/>
      <c r="I470" s="45"/>
      <c r="N470" s="25"/>
      <c r="O470" s="25"/>
      <c r="P470" s="25"/>
      <c r="Q470" s="25"/>
      <c r="R470" s="25"/>
      <c r="S470" s="25"/>
    </row>
    <row r="471" spans="2:19">
      <c r="B471" s="18"/>
      <c r="G471" s="44"/>
      <c r="I471" s="45"/>
      <c r="N471" s="25"/>
      <c r="O471" s="25"/>
      <c r="P471" s="25"/>
      <c r="Q471" s="25"/>
      <c r="R471" s="25"/>
      <c r="S471" s="25"/>
    </row>
    <row r="472" spans="2:19">
      <c r="B472" s="18"/>
      <c r="G472" s="44"/>
      <c r="I472" s="45"/>
      <c r="N472" s="25"/>
      <c r="O472" s="25"/>
      <c r="P472" s="25"/>
      <c r="Q472" s="25"/>
      <c r="R472" s="25"/>
      <c r="S472" s="25"/>
    </row>
    <row r="473" spans="2:19">
      <c r="B473" s="18"/>
      <c r="G473" s="44"/>
      <c r="I473" s="45"/>
      <c r="N473" s="25"/>
      <c r="O473" s="25"/>
      <c r="P473" s="25"/>
      <c r="Q473" s="25"/>
      <c r="R473" s="25"/>
      <c r="S473" s="77"/>
    </row>
    <row r="474" spans="2:19">
      <c r="B474" s="18"/>
      <c r="G474" s="44"/>
      <c r="I474" s="45"/>
      <c r="N474" s="25"/>
      <c r="O474" s="25"/>
      <c r="P474" s="25"/>
      <c r="Q474" s="25"/>
      <c r="R474" s="25"/>
      <c r="S474" s="77"/>
    </row>
    <row r="475" spans="2:19">
      <c r="G475" s="44"/>
      <c r="I475" s="45"/>
      <c r="N475" s="25"/>
      <c r="O475" s="25"/>
      <c r="P475" s="25"/>
      <c r="Q475" s="25"/>
      <c r="R475" s="25"/>
      <c r="S475" s="77"/>
    </row>
    <row r="476" spans="2:19">
      <c r="G476" s="44"/>
      <c r="I476" s="45"/>
      <c r="N476" s="25"/>
      <c r="O476" s="25"/>
      <c r="P476" s="25"/>
      <c r="Q476" s="25"/>
      <c r="R476" s="25"/>
      <c r="S476" s="77"/>
    </row>
    <row r="477" spans="2:19">
      <c r="G477" s="44"/>
      <c r="I477" s="45"/>
      <c r="N477" s="25"/>
      <c r="O477" s="25"/>
      <c r="P477" s="25"/>
      <c r="Q477" s="25"/>
      <c r="R477" s="25"/>
      <c r="S477" s="77"/>
    </row>
    <row r="478" spans="2:19">
      <c r="G478" s="44"/>
      <c r="I478" s="45"/>
      <c r="N478" s="25"/>
      <c r="O478" s="25"/>
      <c r="P478" s="25"/>
      <c r="Q478" s="25"/>
      <c r="R478" s="25"/>
      <c r="S478" s="77"/>
    </row>
    <row r="479" spans="2:19">
      <c r="G479" s="44"/>
      <c r="I479" s="45"/>
      <c r="N479" s="25"/>
      <c r="O479" s="25"/>
      <c r="P479" s="25"/>
      <c r="Q479" s="25"/>
      <c r="R479" s="25"/>
      <c r="S479" s="77"/>
    </row>
    <row r="480" spans="2:19">
      <c r="G480" s="44"/>
      <c r="I480" s="45"/>
      <c r="N480" s="25"/>
      <c r="O480" s="25"/>
      <c r="P480" s="25"/>
      <c r="Q480" s="25"/>
      <c r="R480" s="25"/>
      <c r="S480" s="77"/>
    </row>
    <row r="481" spans="7:19">
      <c r="G481" s="44"/>
      <c r="I481" s="45"/>
      <c r="N481" s="25"/>
      <c r="O481" s="25"/>
      <c r="P481" s="25"/>
      <c r="Q481" s="25"/>
      <c r="R481" s="25"/>
      <c r="S481" s="77"/>
    </row>
    <row r="482" spans="7:19">
      <c r="G482" s="44"/>
      <c r="I482" s="45"/>
      <c r="N482" s="25"/>
      <c r="O482" s="25"/>
      <c r="P482" s="25"/>
      <c r="Q482" s="25"/>
      <c r="R482" s="25"/>
      <c r="S482" s="77"/>
    </row>
    <row r="483" spans="7:19">
      <c r="G483" s="44"/>
      <c r="I483" s="45"/>
      <c r="N483" s="25"/>
      <c r="O483" s="25"/>
      <c r="P483" s="25"/>
      <c r="Q483" s="25"/>
      <c r="R483" s="25"/>
      <c r="S483" s="77"/>
    </row>
    <row r="484" spans="7:19">
      <c r="G484" s="44"/>
      <c r="I484" s="45"/>
      <c r="N484" s="25"/>
      <c r="O484" s="25"/>
      <c r="P484" s="25"/>
      <c r="Q484" s="25"/>
      <c r="R484" s="25"/>
      <c r="S484" s="77"/>
    </row>
    <row r="485" spans="7:19">
      <c r="G485" s="44"/>
      <c r="I485" s="45"/>
      <c r="N485" s="25"/>
      <c r="O485" s="25"/>
      <c r="P485" s="25"/>
      <c r="Q485" s="25"/>
      <c r="R485" s="25"/>
      <c r="S485" s="77"/>
    </row>
    <row r="486" spans="7:19">
      <c r="G486" s="44"/>
      <c r="I486" s="45"/>
      <c r="N486" s="25"/>
      <c r="O486" s="25"/>
      <c r="P486" s="25"/>
      <c r="Q486" s="25"/>
      <c r="R486" s="25"/>
      <c r="S486" s="77"/>
    </row>
    <row r="487" spans="7:19">
      <c r="G487" s="44"/>
      <c r="I487" s="45"/>
      <c r="N487" s="25"/>
      <c r="O487" s="25"/>
      <c r="P487" s="25"/>
      <c r="Q487" s="25"/>
      <c r="R487" s="25"/>
      <c r="S487" s="77"/>
    </row>
    <row r="488" spans="7:19">
      <c r="G488" s="44"/>
      <c r="I488" s="45"/>
      <c r="N488" s="25"/>
      <c r="O488" s="25"/>
      <c r="P488" s="25"/>
      <c r="Q488" s="25"/>
      <c r="R488" s="25"/>
      <c r="S488" s="77"/>
    </row>
    <row r="489" spans="7:19">
      <c r="G489" s="44"/>
      <c r="I489" s="45"/>
      <c r="N489" s="25"/>
      <c r="O489" s="25"/>
      <c r="P489" s="25"/>
      <c r="Q489" s="25"/>
      <c r="R489" s="25"/>
      <c r="S489" s="77"/>
    </row>
    <row r="490" spans="7:19">
      <c r="G490" s="44"/>
      <c r="I490" s="45"/>
      <c r="N490" s="25"/>
      <c r="O490" s="25"/>
      <c r="P490" s="25"/>
      <c r="Q490" s="25"/>
      <c r="R490" s="25"/>
      <c r="S490" s="77"/>
    </row>
    <row r="491" spans="7:19">
      <c r="G491" s="44"/>
      <c r="I491" s="45"/>
      <c r="N491" s="25"/>
      <c r="O491" s="25"/>
      <c r="P491" s="25"/>
      <c r="Q491" s="25"/>
      <c r="R491" s="25"/>
      <c r="S491" s="77"/>
    </row>
    <row r="492" spans="7:19">
      <c r="G492" s="44"/>
      <c r="I492" s="45"/>
      <c r="N492" s="25"/>
      <c r="O492" s="25"/>
      <c r="P492" s="25"/>
      <c r="Q492" s="25"/>
      <c r="R492" s="25"/>
      <c r="S492" s="77"/>
    </row>
    <row r="493" spans="7:19">
      <c r="G493" s="44"/>
      <c r="I493" s="45"/>
      <c r="N493" s="25"/>
      <c r="O493" s="25"/>
      <c r="P493" s="25"/>
      <c r="Q493" s="25"/>
      <c r="R493" s="25"/>
      <c r="S493" s="77"/>
    </row>
    <row r="494" spans="7:19">
      <c r="G494" s="44"/>
      <c r="I494" s="45"/>
      <c r="N494" s="25"/>
      <c r="O494" s="25"/>
      <c r="P494" s="25"/>
      <c r="Q494" s="25"/>
      <c r="R494" s="25"/>
      <c r="S494" s="77"/>
    </row>
    <row r="495" spans="7:19">
      <c r="G495" s="44"/>
      <c r="I495" s="45"/>
      <c r="N495" s="25"/>
      <c r="O495" s="25"/>
      <c r="P495" s="25"/>
      <c r="Q495" s="25"/>
      <c r="R495" s="25"/>
      <c r="S495" s="77"/>
    </row>
    <row r="496" spans="7:19">
      <c r="G496" s="44"/>
      <c r="I496" s="45"/>
      <c r="N496" s="25"/>
      <c r="O496" s="25"/>
      <c r="P496" s="25"/>
      <c r="Q496" s="25"/>
      <c r="R496" s="25"/>
      <c r="S496" s="77"/>
    </row>
    <row r="497" spans="7:19">
      <c r="G497" s="44"/>
      <c r="I497" s="45"/>
      <c r="N497" s="25"/>
      <c r="O497" s="25"/>
      <c r="P497" s="25"/>
      <c r="Q497" s="25"/>
      <c r="R497" s="25"/>
      <c r="S497" s="77"/>
    </row>
    <row r="498" spans="7:19">
      <c r="G498" s="44"/>
      <c r="I498" s="45"/>
      <c r="N498" s="25"/>
      <c r="O498" s="25"/>
      <c r="P498" s="25"/>
      <c r="Q498" s="25"/>
      <c r="R498" s="25"/>
      <c r="S498" s="77"/>
    </row>
    <row r="499" spans="7:19">
      <c r="G499" s="44"/>
      <c r="I499" s="45"/>
      <c r="N499" s="25"/>
      <c r="O499" s="25"/>
      <c r="P499" s="25"/>
      <c r="Q499" s="25"/>
      <c r="R499" s="25"/>
      <c r="S499" s="77"/>
    </row>
    <row r="500" spans="7:19">
      <c r="G500" s="44"/>
      <c r="I500" s="45"/>
      <c r="N500" s="25"/>
      <c r="O500" s="25"/>
      <c r="P500" s="25"/>
      <c r="Q500" s="25"/>
      <c r="R500" s="25"/>
      <c r="S500" s="77"/>
    </row>
    <row r="501" spans="7:19">
      <c r="G501" s="44"/>
      <c r="I501" s="45"/>
      <c r="N501" s="25"/>
      <c r="O501" s="25"/>
      <c r="P501" s="25"/>
      <c r="Q501" s="25"/>
      <c r="R501" s="25"/>
      <c r="S501" s="77"/>
    </row>
    <row r="502" spans="7:19">
      <c r="G502" s="44"/>
      <c r="I502" s="45"/>
      <c r="N502" s="25"/>
      <c r="O502" s="25"/>
      <c r="P502" s="25"/>
      <c r="Q502" s="25"/>
      <c r="R502" s="25"/>
      <c r="S502" s="77"/>
    </row>
    <row r="503" spans="7:19">
      <c r="G503" s="44"/>
      <c r="I503" s="45"/>
      <c r="N503" s="25"/>
      <c r="O503" s="25"/>
      <c r="P503" s="25"/>
      <c r="Q503" s="25"/>
      <c r="R503" s="25"/>
      <c r="S503" s="77"/>
    </row>
    <row r="504" spans="7:19">
      <c r="G504" s="44"/>
      <c r="I504" s="45"/>
      <c r="N504" s="25"/>
      <c r="O504" s="25"/>
      <c r="P504" s="25"/>
      <c r="Q504" s="25"/>
      <c r="R504" s="25"/>
      <c r="S504" s="77"/>
    </row>
    <row r="505" spans="7:19">
      <c r="G505" s="44"/>
      <c r="I505" s="45"/>
      <c r="N505" s="25"/>
      <c r="O505" s="25"/>
      <c r="P505" s="25"/>
      <c r="Q505" s="25"/>
      <c r="R505" s="25"/>
      <c r="S505" s="77"/>
    </row>
    <row r="506" spans="7:19">
      <c r="G506" s="44"/>
      <c r="I506" s="45"/>
      <c r="N506" s="25"/>
      <c r="O506" s="25"/>
      <c r="P506" s="25"/>
      <c r="Q506" s="25"/>
      <c r="R506" s="25"/>
      <c r="S506" s="77"/>
    </row>
    <row r="507" spans="7:19">
      <c r="G507" s="44"/>
      <c r="I507" s="45"/>
      <c r="N507" s="25"/>
      <c r="O507" s="25"/>
      <c r="P507" s="25"/>
      <c r="Q507" s="25"/>
      <c r="R507" s="25"/>
      <c r="S507" s="77"/>
    </row>
    <row r="508" spans="7:19">
      <c r="G508" s="44"/>
      <c r="I508" s="45"/>
      <c r="N508" s="25"/>
      <c r="O508" s="25"/>
      <c r="P508" s="25"/>
      <c r="Q508" s="25"/>
      <c r="R508" s="25"/>
      <c r="S508" s="77"/>
    </row>
    <row r="509" spans="7:19">
      <c r="G509" s="44"/>
      <c r="I509" s="45"/>
      <c r="N509" s="25"/>
      <c r="O509" s="25"/>
      <c r="P509" s="25"/>
      <c r="Q509" s="25"/>
      <c r="R509" s="25"/>
      <c r="S509" s="77"/>
    </row>
    <row r="510" spans="7:19">
      <c r="G510" s="44"/>
      <c r="I510" s="45"/>
      <c r="N510" s="25"/>
      <c r="O510" s="25"/>
      <c r="P510" s="25"/>
      <c r="Q510" s="25"/>
      <c r="R510" s="25"/>
      <c r="S510" s="77"/>
    </row>
    <row r="511" spans="7:19">
      <c r="G511" s="44"/>
      <c r="I511" s="45"/>
      <c r="N511" s="25"/>
      <c r="O511" s="25"/>
      <c r="P511" s="25"/>
      <c r="Q511" s="25"/>
      <c r="R511" s="25"/>
      <c r="S511" s="77"/>
    </row>
    <row r="512" spans="7:19">
      <c r="G512" s="44"/>
      <c r="I512" s="45"/>
      <c r="N512" s="25"/>
      <c r="O512" s="25"/>
      <c r="P512" s="25"/>
      <c r="Q512" s="25"/>
      <c r="R512" s="25"/>
      <c r="S512" s="77"/>
    </row>
    <row r="513" spans="7:19">
      <c r="G513" s="44"/>
      <c r="I513" s="45"/>
      <c r="N513" s="25"/>
      <c r="O513" s="25"/>
      <c r="P513" s="25"/>
      <c r="Q513" s="25"/>
      <c r="R513" s="25"/>
      <c r="S513" s="77"/>
    </row>
    <row r="514" spans="7:19">
      <c r="G514" s="44"/>
      <c r="I514" s="45"/>
      <c r="N514" s="25"/>
      <c r="O514" s="25"/>
      <c r="P514" s="25"/>
      <c r="Q514" s="25"/>
      <c r="R514" s="25"/>
      <c r="S514" s="77"/>
    </row>
    <row r="515" spans="7:19">
      <c r="G515" s="44"/>
      <c r="I515" s="45"/>
      <c r="N515" s="25"/>
      <c r="O515" s="25"/>
      <c r="P515" s="25"/>
      <c r="Q515" s="25"/>
      <c r="R515" s="25"/>
      <c r="S515" s="77"/>
    </row>
    <row r="516" spans="7:19">
      <c r="G516" s="44"/>
      <c r="I516" s="45"/>
      <c r="N516" s="25"/>
      <c r="O516" s="25"/>
      <c r="P516" s="25"/>
      <c r="Q516" s="25"/>
      <c r="R516" s="25"/>
      <c r="S516" s="77"/>
    </row>
    <row r="517" spans="7:19">
      <c r="G517" s="44"/>
      <c r="I517" s="45"/>
      <c r="N517" s="25"/>
      <c r="O517" s="25"/>
      <c r="P517" s="25"/>
      <c r="Q517" s="25"/>
      <c r="R517" s="25"/>
      <c r="S517" s="77"/>
    </row>
    <row r="518" spans="7:19">
      <c r="G518" s="44"/>
      <c r="I518" s="45"/>
      <c r="N518" s="25"/>
      <c r="O518" s="25"/>
      <c r="P518" s="25"/>
      <c r="Q518" s="25"/>
      <c r="R518" s="25"/>
      <c r="S518" s="77"/>
    </row>
    <row r="519" spans="7:19">
      <c r="G519" s="44"/>
      <c r="I519" s="45"/>
      <c r="N519" s="25"/>
      <c r="O519" s="25"/>
      <c r="P519" s="25"/>
      <c r="Q519" s="25"/>
      <c r="R519" s="25"/>
      <c r="S519" s="77"/>
    </row>
    <row r="520" spans="7:19">
      <c r="G520" s="44"/>
      <c r="I520" s="45"/>
      <c r="N520" s="25"/>
      <c r="O520" s="25"/>
      <c r="P520" s="25"/>
      <c r="Q520" s="25"/>
      <c r="R520" s="25"/>
      <c r="S520" s="77"/>
    </row>
    <row r="521" spans="7:19">
      <c r="G521" s="44"/>
      <c r="I521" s="45"/>
      <c r="N521" s="25"/>
      <c r="O521" s="25"/>
      <c r="P521" s="25"/>
      <c r="Q521" s="25"/>
      <c r="R521" s="25"/>
      <c r="S521" s="77"/>
    </row>
    <row r="522" spans="7:19">
      <c r="G522" s="44"/>
      <c r="I522" s="45"/>
      <c r="N522" s="25"/>
      <c r="O522" s="25"/>
      <c r="P522" s="25"/>
      <c r="Q522" s="25"/>
      <c r="R522" s="25"/>
      <c r="S522" s="77"/>
    </row>
    <row r="523" spans="7:19">
      <c r="G523" s="44"/>
      <c r="I523" s="45"/>
      <c r="N523" s="25"/>
      <c r="O523" s="25"/>
      <c r="P523" s="25"/>
      <c r="Q523" s="25"/>
      <c r="R523" s="25"/>
      <c r="S523" s="77"/>
    </row>
    <row r="524" spans="7:19">
      <c r="G524" s="44"/>
      <c r="I524" s="45"/>
      <c r="N524" s="25"/>
      <c r="O524" s="25"/>
      <c r="P524" s="25"/>
      <c r="Q524" s="25"/>
      <c r="R524" s="25"/>
      <c r="S524" s="77"/>
    </row>
    <row r="525" spans="7:19">
      <c r="G525" s="44"/>
      <c r="I525" s="45"/>
      <c r="N525" s="25"/>
      <c r="O525" s="25"/>
      <c r="P525" s="25"/>
      <c r="Q525" s="25"/>
      <c r="R525" s="25"/>
      <c r="S525" s="77"/>
    </row>
    <row r="526" spans="7:19">
      <c r="G526" s="44"/>
      <c r="I526" s="45"/>
      <c r="N526" s="25"/>
      <c r="O526" s="25"/>
      <c r="P526" s="25"/>
      <c r="Q526" s="25"/>
      <c r="R526" s="25"/>
      <c r="S526" s="77"/>
    </row>
    <row r="527" spans="7:19">
      <c r="G527" s="44"/>
      <c r="I527" s="45"/>
      <c r="N527" s="25"/>
      <c r="O527" s="25"/>
      <c r="P527" s="25"/>
      <c r="Q527" s="25"/>
      <c r="R527" s="25"/>
      <c r="S527" s="77"/>
    </row>
    <row r="528" spans="7:19">
      <c r="G528" s="44"/>
      <c r="I528" s="45"/>
      <c r="N528" s="25"/>
      <c r="O528" s="25"/>
      <c r="P528" s="25"/>
      <c r="Q528" s="25"/>
      <c r="R528" s="25"/>
      <c r="S528" s="77"/>
    </row>
    <row r="529" spans="7:19">
      <c r="G529" s="44"/>
      <c r="I529" s="45"/>
      <c r="N529" s="25"/>
      <c r="O529" s="25"/>
      <c r="P529" s="25"/>
      <c r="Q529" s="25"/>
      <c r="R529" s="25"/>
      <c r="S529" s="77"/>
    </row>
    <row r="530" spans="7:19">
      <c r="G530" s="44"/>
      <c r="I530" s="45"/>
      <c r="N530" s="25"/>
      <c r="O530" s="25"/>
      <c r="P530" s="25"/>
      <c r="Q530" s="25"/>
      <c r="R530" s="25"/>
      <c r="S530" s="77"/>
    </row>
    <row r="531" spans="7:19">
      <c r="G531" s="44"/>
      <c r="I531" s="45"/>
      <c r="N531" s="25"/>
      <c r="O531" s="25"/>
      <c r="P531" s="25"/>
      <c r="Q531" s="25"/>
      <c r="R531" s="25"/>
      <c r="S531" s="77"/>
    </row>
    <row r="532" spans="7:19">
      <c r="G532" s="44"/>
      <c r="I532" s="45"/>
      <c r="N532" s="25"/>
      <c r="O532" s="25"/>
      <c r="P532" s="25"/>
      <c r="Q532" s="25"/>
      <c r="R532" s="25"/>
      <c r="S532" s="77"/>
    </row>
    <row r="533" spans="7:19">
      <c r="G533" s="44"/>
      <c r="I533" s="45"/>
      <c r="N533" s="25"/>
      <c r="O533" s="25"/>
      <c r="P533" s="25"/>
      <c r="Q533" s="25"/>
      <c r="R533" s="25"/>
      <c r="S533" s="77"/>
    </row>
    <row r="534" spans="7:19">
      <c r="G534" s="44"/>
      <c r="I534" s="45"/>
      <c r="N534" s="25"/>
      <c r="O534" s="25"/>
      <c r="P534" s="25"/>
      <c r="Q534" s="25"/>
      <c r="R534" s="25"/>
      <c r="S534" s="77"/>
    </row>
    <row r="535" spans="7:19">
      <c r="G535" s="44"/>
      <c r="I535" s="45"/>
      <c r="N535" s="25"/>
      <c r="O535" s="25"/>
      <c r="P535" s="25"/>
      <c r="Q535" s="25"/>
      <c r="R535" s="25"/>
      <c r="S535" s="77"/>
    </row>
    <row r="536" spans="7:19">
      <c r="G536" s="44"/>
      <c r="I536" s="45"/>
      <c r="N536" s="25"/>
      <c r="O536" s="25"/>
      <c r="P536" s="25"/>
      <c r="Q536" s="25"/>
      <c r="R536" s="25"/>
      <c r="S536" s="77"/>
    </row>
    <row r="537" spans="7:19">
      <c r="G537" s="44"/>
      <c r="I537" s="45"/>
      <c r="N537" s="25"/>
      <c r="O537" s="25"/>
      <c r="P537" s="25"/>
      <c r="Q537" s="25"/>
      <c r="R537" s="25"/>
      <c r="S537" s="77"/>
    </row>
    <row r="538" spans="7:19">
      <c r="G538" s="44"/>
      <c r="I538" s="45"/>
      <c r="N538" s="25"/>
      <c r="O538" s="25"/>
      <c r="P538" s="25"/>
      <c r="Q538" s="25"/>
      <c r="R538" s="25"/>
      <c r="S538" s="77"/>
    </row>
    <row r="539" spans="7:19">
      <c r="G539" s="44"/>
      <c r="I539" s="45"/>
      <c r="N539" s="25"/>
      <c r="O539" s="25"/>
      <c r="P539" s="25"/>
      <c r="Q539" s="25"/>
      <c r="R539" s="25"/>
      <c r="S539" s="77"/>
    </row>
    <row r="540" spans="7:19">
      <c r="G540" s="44"/>
      <c r="I540" s="45"/>
      <c r="N540" s="25"/>
      <c r="O540" s="25"/>
      <c r="P540" s="25"/>
      <c r="Q540" s="25"/>
      <c r="R540" s="25"/>
      <c r="S540" s="77"/>
    </row>
    <row r="541" spans="7:19">
      <c r="G541" s="44"/>
      <c r="I541" s="45"/>
      <c r="N541" s="25"/>
      <c r="O541" s="25"/>
      <c r="P541" s="25"/>
      <c r="Q541" s="25"/>
      <c r="R541" s="25"/>
      <c r="S541" s="77"/>
    </row>
    <row r="542" spans="7:19">
      <c r="G542" s="44"/>
      <c r="I542" s="45"/>
      <c r="N542" s="25"/>
      <c r="O542" s="25"/>
      <c r="P542" s="25"/>
      <c r="Q542" s="25"/>
      <c r="R542" s="25"/>
      <c r="S542" s="77"/>
    </row>
    <row r="543" spans="7:19">
      <c r="G543" s="44"/>
      <c r="I543" s="45"/>
      <c r="N543" s="25"/>
      <c r="O543" s="25"/>
      <c r="P543" s="25"/>
      <c r="Q543" s="25"/>
      <c r="R543" s="25"/>
      <c r="S543" s="77"/>
    </row>
    <row r="544" spans="7:19">
      <c r="G544" s="44"/>
      <c r="I544" s="45"/>
      <c r="N544" s="25"/>
      <c r="O544" s="25"/>
      <c r="P544" s="25"/>
      <c r="Q544" s="25"/>
      <c r="R544" s="25"/>
      <c r="S544" s="77"/>
    </row>
    <row r="545" spans="7:19">
      <c r="G545" s="44"/>
      <c r="I545" s="45"/>
      <c r="N545" s="25"/>
      <c r="O545" s="25"/>
      <c r="P545" s="25"/>
      <c r="Q545" s="25"/>
      <c r="R545" s="25"/>
      <c r="S545" s="77"/>
    </row>
    <row r="546" spans="7:19">
      <c r="G546" s="44"/>
      <c r="I546" s="45"/>
      <c r="N546" s="25"/>
      <c r="O546" s="25"/>
      <c r="P546" s="25"/>
      <c r="Q546" s="25"/>
      <c r="R546" s="25"/>
      <c r="S546" s="77"/>
    </row>
    <row r="547" spans="7:19">
      <c r="G547" s="44"/>
      <c r="I547" s="45"/>
      <c r="N547" s="25"/>
      <c r="O547" s="25"/>
      <c r="P547" s="25"/>
      <c r="Q547" s="25"/>
      <c r="R547" s="25"/>
      <c r="S547" s="77"/>
    </row>
    <row r="548" spans="7:19">
      <c r="G548" s="44"/>
      <c r="I548" s="45"/>
      <c r="N548" s="25"/>
      <c r="O548" s="25"/>
      <c r="P548" s="25"/>
      <c r="Q548" s="25"/>
      <c r="R548" s="25"/>
      <c r="S548" s="77"/>
    </row>
    <row r="549" spans="7:19">
      <c r="G549" s="44"/>
      <c r="I549" s="45"/>
      <c r="N549" s="25"/>
      <c r="O549" s="25"/>
      <c r="P549" s="25"/>
      <c r="Q549" s="25"/>
      <c r="R549" s="25"/>
      <c r="S549" s="77"/>
    </row>
    <row r="550" spans="7:19">
      <c r="G550" s="44"/>
      <c r="I550" s="45"/>
      <c r="N550" s="25"/>
      <c r="O550" s="25"/>
      <c r="P550" s="25"/>
      <c r="Q550" s="25"/>
      <c r="R550" s="25"/>
      <c r="S550" s="77"/>
    </row>
    <row r="551" spans="7:19">
      <c r="G551" s="44"/>
      <c r="I551" s="45"/>
      <c r="N551" s="25"/>
      <c r="O551" s="25"/>
      <c r="P551" s="25"/>
      <c r="Q551" s="25"/>
      <c r="R551" s="25"/>
      <c r="S551" s="77"/>
    </row>
    <row r="552" spans="7:19">
      <c r="G552" s="44"/>
      <c r="I552" s="45"/>
      <c r="N552" s="25"/>
      <c r="O552" s="25"/>
      <c r="P552" s="25"/>
      <c r="Q552" s="25"/>
      <c r="R552" s="25"/>
      <c r="S552" s="77"/>
    </row>
    <row r="553" spans="7:19">
      <c r="G553" s="44"/>
      <c r="I553" s="45"/>
      <c r="N553" s="25"/>
      <c r="O553" s="25"/>
      <c r="P553" s="25"/>
      <c r="Q553" s="25"/>
      <c r="R553" s="25"/>
      <c r="S553" s="77"/>
    </row>
    <row r="554" spans="7:19">
      <c r="G554" s="44"/>
      <c r="I554" s="45"/>
      <c r="N554" s="25"/>
      <c r="O554" s="25"/>
      <c r="P554" s="25"/>
      <c r="Q554" s="25"/>
      <c r="R554" s="25"/>
      <c r="S554" s="77"/>
    </row>
    <row r="555" spans="7:19">
      <c r="G555" s="44"/>
      <c r="I555" s="45"/>
      <c r="N555" s="25"/>
      <c r="O555" s="25"/>
      <c r="P555" s="25"/>
      <c r="Q555" s="25"/>
      <c r="R555" s="25"/>
      <c r="S555" s="77"/>
    </row>
    <row r="556" spans="7:19">
      <c r="G556" s="44"/>
      <c r="I556" s="45"/>
      <c r="N556" s="25"/>
      <c r="O556" s="25"/>
      <c r="P556" s="25"/>
      <c r="Q556" s="25"/>
      <c r="R556" s="25"/>
      <c r="S556" s="77"/>
    </row>
    <row r="557" spans="7:19">
      <c r="G557" s="44"/>
      <c r="I557" s="45"/>
      <c r="N557" s="25"/>
      <c r="O557" s="25"/>
      <c r="P557" s="25"/>
      <c r="Q557" s="25"/>
      <c r="R557" s="25"/>
      <c r="S557" s="77"/>
    </row>
    <row r="558" spans="7:19">
      <c r="G558" s="44"/>
      <c r="I558" s="45"/>
      <c r="N558" s="25"/>
      <c r="O558" s="25"/>
      <c r="P558" s="25"/>
      <c r="Q558" s="25"/>
      <c r="R558" s="25"/>
      <c r="S558" s="77"/>
    </row>
    <row r="559" spans="7:19">
      <c r="G559" s="44"/>
      <c r="I559" s="45"/>
      <c r="N559" s="25"/>
      <c r="O559" s="25"/>
      <c r="P559" s="25"/>
      <c r="Q559" s="25"/>
      <c r="R559" s="25"/>
      <c r="S559" s="77"/>
    </row>
    <row r="560" spans="7:19">
      <c r="G560" s="44"/>
      <c r="I560" s="45"/>
      <c r="N560" s="25"/>
      <c r="O560" s="25"/>
      <c r="P560" s="25"/>
      <c r="Q560" s="25"/>
      <c r="R560" s="25"/>
      <c r="S560" s="77"/>
    </row>
    <row r="561" spans="7:19">
      <c r="G561" s="44"/>
      <c r="I561" s="45"/>
      <c r="N561" s="25"/>
      <c r="O561" s="25"/>
      <c r="P561" s="25"/>
      <c r="Q561" s="25"/>
      <c r="R561" s="25"/>
      <c r="S561" s="77"/>
    </row>
    <row r="562" spans="7:19">
      <c r="G562" s="44"/>
      <c r="I562" s="45"/>
      <c r="N562" s="25"/>
      <c r="O562" s="25"/>
      <c r="P562" s="25"/>
      <c r="Q562" s="25"/>
      <c r="R562" s="25"/>
      <c r="S562" s="77"/>
    </row>
    <row r="563" spans="7:19">
      <c r="G563" s="44"/>
      <c r="I563" s="45"/>
      <c r="N563" s="25"/>
      <c r="O563" s="25"/>
      <c r="P563" s="25"/>
      <c r="Q563" s="25"/>
      <c r="R563" s="25"/>
      <c r="S563" s="77"/>
    </row>
    <row r="564" spans="7:19">
      <c r="G564" s="44"/>
      <c r="I564" s="45"/>
      <c r="N564" s="25"/>
      <c r="O564" s="25"/>
      <c r="P564" s="25"/>
      <c r="Q564" s="25"/>
      <c r="R564" s="25"/>
      <c r="S564" s="77"/>
    </row>
    <row r="565" spans="7:19">
      <c r="G565" s="44"/>
      <c r="I565" s="45"/>
      <c r="N565" s="25"/>
      <c r="O565" s="25"/>
      <c r="P565" s="25"/>
      <c r="Q565" s="25"/>
      <c r="R565" s="25"/>
      <c r="S565" s="77"/>
    </row>
    <row r="566" spans="7:19">
      <c r="G566" s="44"/>
      <c r="I566" s="45"/>
      <c r="N566" s="25"/>
      <c r="O566" s="25"/>
      <c r="P566" s="25"/>
      <c r="Q566" s="25"/>
      <c r="R566" s="25"/>
      <c r="S566" s="77"/>
    </row>
    <row r="567" spans="7:19">
      <c r="G567" s="44"/>
      <c r="I567" s="45"/>
      <c r="N567" s="25"/>
      <c r="O567" s="25"/>
      <c r="P567" s="25"/>
      <c r="Q567" s="25"/>
      <c r="R567" s="25"/>
      <c r="S567" s="77"/>
    </row>
    <row r="568" spans="7:19">
      <c r="G568" s="44"/>
      <c r="I568" s="45"/>
      <c r="N568" s="25"/>
      <c r="O568" s="25"/>
      <c r="P568" s="25"/>
      <c r="Q568" s="25"/>
      <c r="R568" s="25"/>
      <c r="S568" s="77"/>
    </row>
    <row r="569" spans="7:19">
      <c r="G569" s="44"/>
      <c r="I569" s="45"/>
      <c r="N569" s="25"/>
      <c r="O569" s="25"/>
      <c r="P569" s="25"/>
      <c r="Q569" s="25"/>
      <c r="R569" s="25"/>
      <c r="S569" s="77"/>
    </row>
    <row r="570" spans="7:19">
      <c r="G570" s="44"/>
      <c r="I570" s="45"/>
      <c r="N570" s="25"/>
      <c r="O570" s="25"/>
      <c r="P570" s="25"/>
      <c r="Q570" s="25"/>
      <c r="R570" s="25"/>
      <c r="S570" s="77"/>
    </row>
    <row r="571" spans="7:19">
      <c r="G571" s="44"/>
      <c r="I571" s="45"/>
      <c r="N571" s="25"/>
      <c r="O571" s="25"/>
      <c r="P571" s="25"/>
      <c r="Q571" s="25"/>
      <c r="R571" s="25"/>
      <c r="S571" s="77"/>
    </row>
    <row r="572" spans="7:19">
      <c r="G572" s="44"/>
      <c r="I572" s="45"/>
      <c r="N572" s="25"/>
      <c r="O572" s="25"/>
      <c r="P572" s="25"/>
      <c r="Q572" s="25"/>
      <c r="R572" s="25"/>
      <c r="S572" s="77"/>
    </row>
    <row r="573" spans="7:19">
      <c r="G573" s="44"/>
      <c r="I573" s="45"/>
      <c r="N573" s="25"/>
      <c r="O573" s="25"/>
      <c r="P573" s="25"/>
      <c r="Q573" s="25"/>
      <c r="R573" s="25"/>
      <c r="S573" s="77"/>
    </row>
    <row r="574" spans="7:19">
      <c r="G574" s="44"/>
      <c r="I574" s="45"/>
      <c r="N574" s="25"/>
      <c r="O574" s="25"/>
      <c r="P574" s="25"/>
      <c r="Q574" s="25"/>
      <c r="R574" s="25"/>
      <c r="S574" s="77"/>
    </row>
    <row r="575" spans="7:19">
      <c r="G575" s="44"/>
      <c r="I575" s="45"/>
      <c r="N575" s="25"/>
      <c r="O575" s="25"/>
      <c r="P575" s="25"/>
      <c r="Q575" s="25"/>
      <c r="R575" s="25"/>
      <c r="S575" s="77"/>
    </row>
    <row r="576" spans="7:19">
      <c r="G576" s="44"/>
      <c r="I576" s="45"/>
      <c r="N576" s="25"/>
      <c r="O576" s="25"/>
      <c r="P576" s="25"/>
      <c r="Q576" s="25"/>
      <c r="R576" s="25"/>
      <c r="S576" s="77"/>
    </row>
    <row r="577" spans="7:19">
      <c r="G577" s="44"/>
      <c r="I577" s="45"/>
      <c r="N577" s="25"/>
      <c r="O577" s="25"/>
      <c r="P577" s="25"/>
      <c r="Q577" s="25"/>
      <c r="R577" s="25"/>
      <c r="S577" s="77"/>
    </row>
    <row r="578" spans="7:19">
      <c r="G578" s="44"/>
      <c r="I578" s="45"/>
      <c r="N578" s="25"/>
      <c r="O578" s="25"/>
      <c r="P578" s="25"/>
      <c r="Q578" s="25"/>
      <c r="R578" s="25"/>
      <c r="S578" s="77"/>
    </row>
    <row r="579" spans="7:19">
      <c r="G579" s="44"/>
      <c r="I579" s="45"/>
      <c r="N579" s="25"/>
      <c r="O579" s="25"/>
      <c r="P579" s="25"/>
      <c r="Q579" s="25"/>
      <c r="R579" s="25"/>
      <c r="S579" s="77"/>
    </row>
    <row r="580" spans="7:19">
      <c r="G580" s="44"/>
      <c r="I580" s="45"/>
      <c r="N580" s="25"/>
      <c r="O580" s="25"/>
      <c r="P580" s="25"/>
      <c r="Q580" s="25"/>
      <c r="R580" s="25"/>
      <c r="S580" s="77"/>
    </row>
    <row r="581" spans="7:19">
      <c r="G581" s="44"/>
      <c r="I581" s="45"/>
      <c r="N581" s="25"/>
      <c r="O581" s="25"/>
      <c r="P581" s="25"/>
      <c r="Q581" s="25"/>
      <c r="R581" s="25"/>
      <c r="S581" s="77"/>
    </row>
    <row r="582" spans="7:19">
      <c r="G582" s="44"/>
      <c r="I582" s="45"/>
      <c r="N582" s="25"/>
      <c r="O582" s="25"/>
      <c r="P582" s="25"/>
      <c r="Q582" s="25"/>
      <c r="R582" s="25"/>
      <c r="S582" s="77"/>
    </row>
    <row r="583" spans="7:19">
      <c r="G583" s="44"/>
      <c r="I583" s="45"/>
      <c r="N583" s="25"/>
      <c r="O583" s="25"/>
      <c r="P583" s="25"/>
      <c r="Q583" s="25"/>
      <c r="R583" s="25"/>
      <c r="S583" s="77"/>
    </row>
    <row r="584" spans="7:19">
      <c r="G584" s="44"/>
      <c r="I584" s="45"/>
      <c r="N584" s="25"/>
      <c r="O584" s="25"/>
      <c r="P584" s="25"/>
      <c r="Q584" s="25"/>
      <c r="R584" s="25"/>
      <c r="S584" s="77"/>
    </row>
    <row r="585" spans="7:19">
      <c r="G585" s="44"/>
      <c r="I585" s="45"/>
      <c r="N585" s="25"/>
      <c r="O585" s="25"/>
      <c r="P585" s="25"/>
      <c r="Q585" s="25"/>
      <c r="R585" s="25"/>
      <c r="S585" s="77"/>
    </row>
    <row r="586" spans="7:19">
      <c r="G586" s="44"/>
      <c r="I586" s="45"/>
      <c r="N586" s="25"/>
      <c r="O586" s="25"/>
      <c r="P586" s="25"/>
      <c r="Q586" s="25"/>
      <c r="R586" s="25"/>
      <c r="S586" s="77"/>
    </row>
    <row r="587" spans="7:19">
      <c r="G587" s="44"/>
      <c r="I587" s="45"/>
      <c r="N587" s="25"/>
      <c r="O587" s="25"/>
      <c r="P587" s="25"/>
      <c r="Q587" s="25"/>
      <c r="R587" s="25"/>
      <c r="S587" s="77"/>
    </row>
    <row r="588" spans="7:19">
      <c r="G588" s="44"/>
      <c r="I588" s="45"/>
      <c r="N588" s="25"/>
      <c r="O588" s="25"/>
      <c r="P588" s="25"/>
      <c r="Q588" s="25"/>
      <c r="R588" s="25"/>
      <c r="S588" s="77"/>
    </row>
    <row r="589" spans="7:19">
      <c r="G589" s="44"/>
      <c r="I589" s="45"/>
      <c r="N589" s="25"/>
      <c r="O589" s="25"/>
      <c r="P589" s="25"/>
      <c r="Q589" s="25"/>
      <c r="R589" s="25"/>
      <c r="S589" s="77"/>
    </row>
    <row r="590" spans="7:19">
      <c r="G590" s="44"/>
      <c r="I590" s="45"/>
      <c r="N590" s="25"/>
      <c r="O590" s="25"/>
      <c r="P590" s="25"/>
      <c r="Q590" s="25"/>
      <c r="R590" s="25"/>
      <c r="S590" s="77"/>
    </row>
    <row r="591" spans="7:19">
      <c r="G591" s="44"/>
      <c r="I591" s="45"/>
      <c r="N591" s="25"/>
      <c r="O591" s="25"/>
      <c r="P591" s="25"/>
      <c r="Q591" s="25"/>
      <c r="R591" s="25"/>
      <c r="S591" s="77"/>
    </row>
    <row r="592" spans="7:19">
      <c r="G592" s="44"/>
      <c r="I592" s="45"/>
      <c r="N592" s="25"/>
      <c r="O592" s="25"/>
      <c r="P592" s="25"/>
      <c r="Q592" s="25"/>
      <c r="R592" s="25"/>
      <c r="S592" s="77"/>
    </row>
    <row r="593" spans="7:19">
      <c r="G593" s="44"/>
      <c r="I593" s="45"/>
      <c r="N593" s="25"/>
      <c r="O593" s="25"/>
      <c r="P593" s="25"/>
      <c r="Q593" s="25"/>
      <c r="R593" s="25"/>
      <c r="S593" s="77"/>
    </row>
    <row r="594" spans="7:19">
      <c r="G594" s="44"/>
      <c r="I594" s="45"/>
      <c r="N594" s="25"/>
      <c r="O594" s="25"/>
      <c r="P594" s="25"/>
      <c r="Q594" s="25"/>
      <c r="R594" s="25"/>
      <c r="S594" s="77"/>
    </row>
    <row r="595" spans="7:19">
      <c r="G595" s="44"/>
      <c r="I595" s="45"/>
      <c r="N595" s="25"/>
      <c r="O595" s="25"/>
      <c r="P595" s="25"/>
      <c r="Q595" s="25"/>
      <c r="R595" s="25"/>
      <c r="S595" s="77"/>
    </row>
    <row r="596" spans="7:19">
      <c r="G596" s="44"/>
      <c r="I596" s="45"/>
      <c r="N596" s="25"/>
      <c r="O596" s="25"/>
      <c r="P596" s="25"/>
      <c r="Q596" s="25"/>
      <c r="R596" s="25"/>
      <c r="S596" s="77"/>
    </row>
    <row r="597" spans="7:19">
      <c r="G597" s="44"/>
      <c r="I597" s="45"/>
      <c r="N597" s="25"/>
      <c r="O597" s="25"/>
      <c r="P597" s="25"/>
      <c r="Q597" s="25"/>
      <c r="R597" s="25"/>
      <c r="S597" s="77"/>
    </row>
    <row r="598" spans="7:19">
      <c r="G598" s="44"/>
      <c r="I598" s="45"/>
      <c r="N598" s="25"/>
      <c r="O598" s="25"/>
      <c r="P598" s="25"/>
      <c r="Q598" s="25"/>
      <c r="R598" s="25"/>
      <c r="S598" s="77"/>
    </row>
    <row r="599" spans="7:19">
      <c r="G599" s="44"/>
      <c r="I599" s="45"/>
      <c r="N599" s="25"/>
      <c r="O599" s="25"/>
      <c r="P599" s="25"/>
      <c r="Q599" s="25"/>
      <c r="R599" s="25"/>
      <c r="S599" s="77"/>
    </row>
    <row r="600" spans="7:19">
      <c r="G600" s="44"/>
      <c r="I600" s="45"/>
      <c r="N600" s="25"/>
      <c r="O600" s="25"/>
      <c r="P600" s="25"/>
      <c r="Q600" s="25"/>
      <c r="R600" s="25"/>
      <c r="S600" s="77"/>
    </row>
    <row r="601" spans="7:19">
      <c r="G601" s="44"/>
      <c r="I601" s="45"/>
      <c r="N601" s="25"/>
      <c r="O601" s="25"/>
      <c r="P601" s="25"/>
      <c r="Q601" s="25"/>
      <c r="R601" s="25"/>
      <c r="S601" s="77"/>
    </row>
    <row r="602" spans="7:19">
      <c r="G602" s="44"/>
      <c r="I602" s="45"/>
      <c r="N602" s="25"/>
      <c r="O602" s="25"/>
      <c r="P602" s="25"/>
      <c r="Q602" s="25"/>
      <c r="R602" s="25"/>
      <c r="S602" s="77"/>
    </row>
    <row r="603" spans="7:19">
      <c r="G603" s="44"/>
      <c r="I603" s="45"/>
      <c r="N603" s="25"/>
      <c r="O603" s="25"/>
      <c r="P603" s="25"/>
      <c r="Q603" s="25"/>
      <c r="R603" s="25"/>
      <c r="S603" s="77"/>
    </row>
    <row r="604" spans="7:19">
      <c r="G604" s="44"/>
      <c r="I604" s="45"/>
      <c r="N604" s="25"/>
      <c r="O604" s="25"/>
      <c r="P604" s="25"/>
      <c r="Q604" s="25"/>
      <c r="R604" s="25"/>
      <c r="S604" s="77"/>
    </row>
    <row r="605" spans="7:19">
      <c r="G605" s="44"/>
      <c r="I605" s="45"/>
      <c r="N605" s="25"/>
      <c r="O605" s="25"/>
      <c r="P605" s="25"/>
      <c r="Q605" s="25"/>
      <c r="R605" s="25"/>
      <c r="S605" s="77"/>
    </row>
    <row r="606" spans="7:19">
      <c r="G606" s="44"/>
      <c r="I606" s="45"/>
      <c r="N606" s="25"/>
      <c r="O606" s="25"/>
      <c r="P606" s="25"/>
      <c r="Q606" s="25"/>
      <c r="R606" s="25"/>
      <c r="S606" s="77"/>
    </row>
    <row r="607" spans="7:19">
      <c r="G607" s="44"/>
      <c r="I607" s="45"/>
      <c r="N607" s="25"/>
      <c r="O607" s="25"/>
      <c r="P607" s="25"/>
      <c r="Q607" s="25"/>
      <c r="R607" s="25"/>
      <c r="S607" s="77"/>
    </row>
    <row r="608" spans="7:19">
      <c r="G608" s="44"/>
      <c r="I608" s="45"/>
      <c r="N608" s="25"/>
      <c r="O608" s="25"/>
      <c r="P608" s="25"/>
      <c r="Q608" s="25"/>
      <c r="R608" s="25"/>
      <c r="S608" s="77"/>
    </row>
    <row r="609" spans="7:19">
      <c r="G609" s="44"/>
      <c r="I609" s="45"/>
      <c r="N609" s="25"/>
      <c r="O609" s="25"/>
      <c r="P609" s="25"/>
      <c r="Q609" s="25"/>
      <c r="R609" s="25"/>
      <c r="S609" s="77"/>
    </row>
    <row r="610" spans="7:19">
      <c r="G610" s="44"/>
      <c r="I610" s="45"/>
      <c r="N610" s="25"/>
      <c r="O610" s="25"/>
      <c r="P610" s="25"/>
      <c r="Q610" s="25"/>
      <c r="R610" s="25"/>
      <c r="S610" s="77"/>
    </row>
    <row r="611" spans="7:19">
      <c r="G611" s="44"/>
      <c r="I611" s="45"/>
      <c r="N611" s="25"/>
      <c r="O611" s="25"/>
      <c r="P611" s="25"/>
      <c r="Q611" s="25"/>
      <c r="R611" s="25"/>
      <c r="S611" s="77"/>
    </row>
    <row r="612" spans="7:19">
      <c r="G612" s="44"/>
      <c r="I612" s="45"/>
      <c r="N612" s="25"/>
      <c r="O612" s="25"/>
      <c r="P612" s="25"/>
      <c r="Q612" s="25"/>
      <c r="R612" s="25"/>
      <c r="S612" s="77"/>
    </row>
    <row r="613" spans="7:19">
      <c r="G613" s="44"/>
      <c r="I613" s="45"/>
      <c r="N613" s="25"/>
      <c r="O613" s="25"/>
      <c r="P613" s="25"/>
      <c r="Q613" s="25"/>
      <c r="R613" s="25"/>
      <c r="S613" s="77"/>
    </row>
    <row r="614" spans="7:19">
      <c r="G614" s="44"/>
      <c r="I614" s="45"/>
      <c r="N614" s="25"/>
      <c r="O614" s="25"/>
      <c r="P614" s="25"/>
      <c r="Q614" s="25"/>
      <c r="R614" s="25"/>
      <c r="S614" s="77"/>
    </row>
    <row r="615" spans="7:19">
      <c r="G615" s="44"/>
      <c r="I615" s="45"/>
      <c r="N615" s="25"/>
      <c r="O615" s="25"/>
      <c r="P615" s="25"/>
      <c r="Q615" s="25"/>
      <c r="R615" s="25"/>
      <c r="S615" s="77"/>
    </row>
    <row r="616" spans="7:19">
      <c r="G616" s="44"/>
      <c r="I616" s="45"/>
      <c r="N616" s="25"/>
      <c r="O616" s="25"/>
      <c r="P616" s="25"/>
      <c r="Q616" s="25"/>
      <c r="R616" s="25"/>
      <c r="S616" s="77"/>
    </row>
    <row r="617" spans="7:19">
      <c r="G617" s="44"/>
      <c r="I617" s="45"/>
      <c r="N617" s="25"/>
      <c r="O617" s="25"/>
      <c r="P617" s="25"/>
      <c r="Q617" s="25"/>
      <c r="R617" s="25"/>
      <c r="S617" s="77"/>
    </row>
    <row r="618" spans="7:19">
      <c r="G618" s="44"/>
      <c r="I618" s="45"/>
      <c r="N618" s="25"/>
      <c r="O618" s="25"/>
      <c r="P618" s="25"/>
      <c r="Q618" s="25"/>
      <c r="R618" s="25"/>
      <c r="S618" s="77"/>
    </row>
    <row r="619" spans="7:19">
      <c r="G619" s="44"/>
      <c r="I619" s="45"/>
      <c r="N619" s="25"/>
      <c r="O619" s="25"/>
      <c r="P619" s="25"/>
      <c r="Q619" s="25"/>
      <c r="R619" s="25"/>
      <c r="S619" s="77"/>
    </row>
    <row r="620" spans="7:19">
      <c r="G620" s="44"/>
      <c r="I620" s="45"/>
      <c r="N620" s="25"/>
      <c r="O620" s="25"/>
      <c r="P620" s="25"/>
      <c r="Q620" s="25"/>
      <c r="R620" s="25"/>
      <c r="S620" s="77"/>
    </row>
    <row r="621" spans="7:19">
      <c r="G621" s="44"/>
      <c r="I621" s="45"/>
      <c r="N621" s="25"/>
      <c r="O621" s="25"/>
      <c r="P621" s="25"/>
      <c r="Q621" s="25"/>
      <c r="R621" s="25"/>
      <c r="S621" s="77"/>
    </row>
    <row r="622" spans="7:19">
      <c r="G622" s="44"/>
      <c r="I622" s="45"/>
      <c r="N622" s="25"/>
      <c r="O622" s="25"/>
      <c r="P622" s="25"/>
      <c r="Q622" s="25"/>
      <c r="R622" s="25"/>
      <c r="S622" s="77"/>
    </row>
    <row r="623" spans="7:19">
      <c r="G623" s="44"/>
      <c r="I623" s="45"/>
      <c r="N623" s="25"/>
      <c r="O623" s="25"/>
      <c r="P623" s="25"/>
      <c r="Q623" s="25"/>
      <c r="R623" s="25"/>
      <c r="S623" s="77"/>
    </row>
    <row r="624" spans="7:19">
      <c r="G624" s="44"/>
      <c r="I624" s="45"/>
      <c r="N624" s="25"/>
      <c r="O624" s="25"/>
      <c r="P624" s="25"/>
      <c r="Q624" s="25"/>
      <c r="R624" s="25"/>
      <c r="S624" s="77"/>
    </row>
    <row r="625" spans="7:19">
      <c r="G625" s="44"/>
      <c r="I625" s="45"/>
      <c r="N625" s="25"/>
      <c r="O625" s="25"/>
      <c r="P625" s="25"/>
      <c r="Q625" s="25"/>
      <c r="R625" s="25"/>
      <c r="S625" s="77"/>
    </row>
    <row r="626" spans="7:19">
      <c r="G626" s="44"/>
      <c r="I626" s="45"/>
      <c r="N626" s="25"/>
      <c r="O626" s="25"/>
      <c r="P626" s="25"/>
      <c r="Q626" s="25"/>
      <c r="R626" s="25"/>
      <c r="S626" s="77"/>
    </row>
    <row r="627" spans="7:19">
      <c r="G627" s="44"/>
      <c r="I627" s="45"/>
      <c r="N627" s="25"/>
      <c r="O627" s="25"/>
      <c r="P627" s="25"/>
      <c r="Q627" s="25"/>
      <c r="R627" s="25"/>
      <c r="S627" s="77"/>
    </row>
    <row r="628" spans="7:19">
      <c r="G628" s="44"/>
      <c r="I628" s="45"/>
      <c r="N628" s="25"/>
      <c r="O628" s="25"/>
      <c r="P628" s="25"/>
      <c r="Q628" s="25"/>
      <c r="R628" s="25"/>
      <c r="S628" s="77"/>
    </row>
    <row r="629" spans="7:19">
      <c r="G629" s="44"/>
      <c r="I629" s="45"/>
      <c r="N629" s="25"/>
      <c r="O629" s="25"/>
      <c r="P629" s="25"/>
      <c r="Q629" s="25"/>
      <c r="R629" s="25"/>
      <c r="S629" s="77"/>
    </row>
    <row r="630" spans="7:19">
      <c r="G630" s="44"/>
      <c r="I630" s="45"/>
      <c r="N630" s="25"/>
      <c r="O630" s="25"/>
      <c r="P630" s="25"/>
      <c r="Q630" s="25"/>
      <c r="R630" s="25"/>
      <c r="S630" s="77"/>
    </row>
    <row r="631" spans="7:19">
      <c r="G631" s="44"/>
      <c r="I631" s="45"/>
      <c r="N631" s="25"/>
      <c r="O631" s="25"/>
      <c r="P631" s="25"/>
      <c r="Q631" s="25"/>
      <c r="R631" s="25"/>
      <c r="S631" s="77"/>
    </row>
    <row r="632" spans="7:19">
      <c r="G632" s="44"/>
      <c r="I632" s="45"/>
      <c r="N632" s="25"/>
      <c r="O632" s="25"/>
      <c r="P632" s="25"/>
      <c r="Q632" s="25"/>
      <c r="R632" s="25"/>
      <c r="S632" s="77"/>
    </row>
    <row r="633" spans="7:19">
      <c r="G633" s="44"/>
      <c r="I633" s="45"/>
      <c r="N633" s="25"/>
      <c r="O633" s="25"/>
      <c r="P633" s="25"/>
      <c r="Q633" s="25"/>
      <c r="R633" s="25"/>
      <c r="S633" s="77"/>
    </row>
    <row r="634" spans="7:19">
      <c r="G634" s="44"/>
      <c r="I634" s="45"/>
      <c r="N634" s="25"/>
      <c r="O634" s="25"/>
      <c r="P634" s="25"/>
      <c r="Q634" s="25"/>
      <c r="R634" s="25"/>
      <c r="S634" s="77"/>
    </row>
    <row r="635" spans="7:19">
      <c r="G635" s="44"/>
      <c r="I635" s="45"/>
      <c r="N635" s="25"/>
      <c r="O635" s="25"/>
      <c r="P635" s="25"/>
      <c r="Q635" s="25"/>
      <c r="R635" s="25"/>
      <c r="S635" s="77"/>
    </row>
    <row r="636" spans="7:19">
      <c r="G636" s="44"/>
      <c r="I636" s="45"/>
      <c r="N636" s="25"/>
      <c r="O636" s="25"/>
      <c r="P636" s="25"/>
      <c r="Q636" s="25"/>
      <c r="R636" s="25"/>
      <c r="S636" s="77"/>
    </row>
    <row r="637" spans="7:19">
      <c r="G637" s="44"/>
      <c r="I637" s="45"/>
      <c r="N637" s="25"/>
      <c r="O637" s="25"/>
      <c r="P637" s="25"/>
      <c r="Q637" s="25"/>
      <c r="R637" s="25"/>
      <c r="S637" s="77"/>
    </row>
    <row r="638" spans="7:19">
      <c r="G638" s="44"/>
      <c r="I638" s="45"/>
      <c r="N638" s="25"/>
      <c r="O638" s="25"/>
      <c r="P638" s="25"/>
      <c r="Q638" s="25"/>
      <c r="R638" s="25"/>
      <c r="S638" s="77"/>
    </row>
    <row r="639" spans="7:19">
      <c r="G639" s="44"/>
      <c r="I639" s="45"/>
      <c r="N639" s="25"/>
      <c r="O639" s="25"/>
      <c r="P639" s="25"/>
      <c r="Q639" s="25"/>
      <c r="R639" s="25"/>
      <c r="S639" s="77"/>
    </row>
    <row r="640" spans="7:19">
      <c r="G640" s="44"/>
      <c r="I640" s="45"/>
      <c r="N640" s="25"/>
      <c r="O640" s="25"/>
      <c r="P640" s="25"/>
      <c r="Q640" s="25"/>
      <c r="R640" s="25"/>
      <c r="S640" s="77"/>
    </row>
    <row r="641" spans="7:19">
      <c r="G641" s="44"/>
      <c r="I641" s="45"/>
      <c r="N641" s="25"/>
      <c r="O641" s="25"/>
      <c r="P641" s="25"/>
      <c r="Q641" s="25"/>
      <c r="R641" s="25"/>
      <c r="S641" s="77"/>
    </row>
    <row r="642" spans="7:19">
      <c r="G642" s="44"/>
      <c r="I642" s="45"/>
      <c r="N642" s="25"/>
      <c r="O642" s="25"/>
      <c r="P642" s="25"/>
      <c r="Q642" s="25"/>
      <c r="R642" s="25"/>
      <c r="S642" s="77"/>
    </row>
    <row r="643" spans="7:19">
      <c r="G643" s="44"/>
      <c r="I643" s="45"/>
      <c r="N643" s="25"/>
      <c r="O643" s="25"/>
      <c r="P643" s="25"/>
      <c r="Q643" s="25"/>
      <c r="R643" s="25"/>
      <c r="S643" s="77"/>
    </row>
    <row r="644" spans="7:19">
      <c r="G644" s="44"/>
      <c r="I644" s="45"/>
      <c r="N644" s="25"/>
      <c r="O644" s="25"/>
      <c r="P644" s="25"/>
      <c r="Q644" s="25"/>
      <c r="R644" s="25"/>
      <c r="S644" s="77"/>
    </row>
    <row r="645" spans="7:19">
      <c r="G645" s="44"/>
      <c r="I645" s="45"/>
      <c r="N645" s="25"/>
      <c r="O645" s="25"/>
      <c r="P645" s="25"/>
      <c r="Q645" s="25"/>
      <c r="R645" s="25"/>
      <c r="S645" s="77"/>
    </row>
    <row r="646" spans="7:19">
      <c r="G646" s="44"/>
      <c r="I646" s="45"/>
      <c r="N646" s="25"/>
      <c r="O646" s="25"/>
      <c r="P646" s="25"/>
      <c r="Q646" s="25"/>
      <c r="R646" s="25"/>
      <c r="S646" s="77"/>
    </row>
    <row r="647" spans="7:19">
      <c r="G647" s="44"/>
      <c r="I647" s="45"/>
      <c r="N647" s="25"/>
      <c r="O647" s="25"/>
      <c r="P647" s="25"/>
      <c r="Q647" s="25"/>
      <c r="R647" s="25"/>
      <c r="S647" s="77"/>
    </row>
    <row r="648" spans="7:19">
      <c r="G648" s="44"/>
      <c r="I648" s="45"/>
      <c r="N648" s="25"/>
      <c r="O648" s="25"/>
      <c r="P648" s="25"/>
      <c r="Q648" s="25"/>
      <c r="R648" s="25"/>
      <c r="S648" s="77"/>
    </row>
    <row r="649" spans="7:19">
      <c r="G649" s="44"/>
      <c r="I649" s="45"/>
      <c r="N649" s="25"/>
      <c r="O649" s="25"/>
      <c r="P649" s="25"/>
      <c r="Q649" s="25"/>
      <c r="R649" s="25"/>
      <c r="S649" s="77"/>
    </row>
    <row r="650" spans="7:19">
      <c r="G650" s="44"/>
      <c r="I650" s="45"/>
      <c r="N650" s="25"/>
      <c r="O650" s="25"/>
      <c r="P650" s="25"/>
      <c r="Q650" s="25"/>
      <c r="R650" s="25"/>
      <c r="S650" s="77"/>
    </row>
    <row r="651" spans="7:19">
      <c r="G651" s="44"/>
      <c r="I651" s="45"/>
      <c r="N651" s="25"/>
      <c r="O651" s="25"/>
      <c r="P651" s="25"/>
      <c r="Q651" s="25"/>
      <c r="R651" s="25"/>
      <c r="S651" s="77"/>
    </row>
    <row r="652" spans="7:19">
      <c r="G652" s="44"/>
      <c r="I652" s="45"/>
      <c r="N652" s="25"/>
      <c r="O652" s="25"/>
      <c r="P652" s="25"/>
      <c r="Q652" s="25"/>
      <c r="R652" s="25"/>
      <c r="S652" s="77"/>
    </row>
    <row r="653" spans="7:19">
      <c r="G653" s="44"/>
      <c r="I653" s="45"/>
      <c r="N653" s="25"/>
      <c r="O653" s="25"/>
      <c r="P653" s="25"/>
      <c r="Q653" s="25"/>
      <c r="R653" s="25"/>
      <c r="S653" s="77"/>
    </row>
    <row r="654" spans="7:19">
      <c r="G654" s="44"/>
      <c r="I654" s="45"/>
      <c r="N654" s="25"/>
      <c r="O654" s="25"/>
      <c r="P654" s="25"/>
      <c r="Q654" s="25"/>
      <c r="R654" s="25"/>
      <c r="S654" s="77"/>
    </row>
    <row r="655" spans="7:19">
      <c r="G655" s="44"/>
      <c r="I655" s="45"/>
      <c r="N655" s="25"/>
      <c r="O655" s="25"/>
      <c r="P655" s="25"/>
      <c r="Q655" s="25"/>
      <c r="R655" s="25"/>
      <c r="S655" s="77"/>
    </row>
    <row r="656" spans="7:19">
      <c r="G656" s="44"/>
      <c r="I656" s="45"/>
      <c r="N656" s="25"/>
      <c r="O656" s="25"/>
      <c r="P656" s="25"/>
      <c r="Q656" s="25"/>
      <c r="R656" s="25"/>
      <c r="S656" s="77"/>
    </row>
    <row r="657" spans="7:19">
      <c r="G657" s="44"/>
      <c r="I657" s="45"/>
      <c r="N657" s="25"/>
      <c r="O657" s="25"/>
      <c r="P657" s="25"/>
      <c r="Q657" s="25"/>
      <c r="R657" s="25"/>
      <c r="S657" s="77"/>
    </row>
    <row r="658" spans="7:19">
      <c r="G658" s="44"/>
      <c r="I658" s="45"/>
      <c r="N658" s="25"/>
      <c r="O658" s="25"/>
      <c r="P658" s="25"/>
      <c r="Q658" s="25"/>
      <c r="R658" s="25"/>
      <c r="S658" s="77"/>
    </row>
    <row r="659" spans="7:19">
      <c r="G659" s="44"/>
      <c r="I659" s="45"/>
      <c r="N659" s="25"/>
      <c r="O659" s="25"/>
      <c r="P659" s="25"/>
      <c r="Q659" s="25"/>
      <c r="R659" s="25"/>
      <c r="S659" s="77"/>
    </row>
    <row r="660" spans="7:19">
      <c r="G660" s="44"/>
      <c r="I660" s="45"/>
      <c r="N660" s="25"/>
      <c r="O660" s="25"/>
      <c r="P660" s="25"/>
      <c r="Q660" s="25"/>
      <c r="R660" s="25"/>
      <c r="S660" s="77"/>
    </row>
    <row r="661" spans="7:19">
      <c r="G661" s="44"/>
      <c r="I661" s="45"/>
      <c r="N661" s="25"/>
      <c r="O661" s="25"/>
      <c r="P661" s="25"/>
      <c r="Q661" s="25"/>
      <c r="R661" s="25"/>
      <c r="S661" s="77"/>
    </row>
    <row r="662" spans="7:19">
      <c r="G662" s="44"/>
      <c r="I662" s="45"/>
      <c r="N662" s="25"/>
      <c r="O662" s="25"/>
      <c r="P662" s="25"/>
      <c r="Q662" s="25"/>
      <c r="R662" s="25"/>
      <c r="S662" s="77"/>
    </row>
    <row r="663" spans="7:19">
      <c r="G663" s="44"/>
      <c r="I663" s="45"/>
      <c r="N663" s="25"/>
      <c r="O663" s="25"/>
      <c r="P663" s="25"/>
      <c r="Q663" s="25"/>
      <c r="R663" s="25"/>
      <c r="S663" s="77"/>
    </row>
    <row r="664" spans="7:19">
      <c r="G664" s="44"/>
      <c r="I664" s="45"/>
      <c r="N664" s="25"/>
      <c r="O664" s="25"/>
      <c r="P664" s="25"/>
      <c r="Q664" s="25"/>
      <c r="R664" s="25"/>
      <c r="S664" s="77"/>
    </row>
    <row r="665" spans="7:19">
      <c r="G665" s="44"/>
      <c r="I665" s="45"/>
      <c r="N665" s="25"/>
      <c r="O665" s="25"/>
      <c r="P665" s="25"/>
      <c r="Q665" s="25"/>
      <c r="R665" s="25"/>
      <c r="S665" s="77"/>
    </row>
    <row r="666" spans="7:19">
      <c r="G666" s="44"/>
      <c r="I666" s="45"/>
      <c r="N666" s="25"/>
      <c r="O666" s="25"/>
      <c r="P666" s="25"/>
      <c r="Q666" s="25"/>
      <c r="R666" s="25"/>
      <c r="S666" s="77"/>
    </row>
    <row r="667" spans="7:19">
      <c r="G667" s="44"/>
      <c r="I667" s="45"/>
      <c r="N667" s="25"/>
      <c r="O667" s="25"/>
      <c r="P667" s="25"/>
      <c r="Q667" s="25"/>
      <c r="R667" s="25"/>
      <c r="S667" s="77"/>
    </row>
    <row r="668" spans="7:19">
      <c r="G668" s="44"/>
      <c r="I668" s="45"/>
      <c r="N668" s="25"/>
      <c r="O668" s="25"/>
      <c r="P668" s="25"/>
      <c r="Q668" s="25"/>
      <c r="R668" s="25"/>
      <c r="S668" s="77"/>
    </row>
    <row r="669" spans="7:19">
      <c r="G669" s="44"/>
      <c r="I669" s="45"/>
      <c r="N669" s="25"/>
      <c r="O669" s="25"/>
      <c r="P669" s="25"/>
      <c r="Q669" s="25"/>
      <c r="R669" s="25"/>
      <c r="S669" s="77"/>
    </row>
    <row r="670" spans="7:19">
      <c r="G670" s="44"/>
      <c r="I670" s="45"/>
      <c r="N670" s="25"/>
      <c r="O670" s="25"/>
      <c r="P670" s="25"/>
      <c r="Q670" s="25"/>
      <c r="R670" s="25"/>
      <c r="S670" s="77"/>
    </row>
    <row r="671" spans="7:19">
      <c r="G671" s="44"/>
      <c r="I671" s="45"/>
      <c r="N671" s="25"/>
      <c r="O671" s="25"/>
      <c r="P671" s="25"/>
      <c r="Q671" s="25"/>
      <c r="R671" s="25"/>
      <c r="S671" s="77"/>
    </row>
    <row r="672" spans="7:19">
      <c r="G672" s="44"/>
      <c r="I672" s="45"/>
      <c r="N672" s="25"/>
      <c r="O672" s="25"/>
      <c r="P672" s="25"/>
      <c r="Q672" s="25"/>
      <c r="R672" s="25"/>
      <c r="S672" s="77"/>
    </row>
    <row r="673" spans="7:19">
      <c r="G673" s="44"/>
      <c r="I673" s="45"/>
      <c r="N673" s="25"/>
      <c r="O673" s="25"/>
      <c r="P673" s="25"/>
      <c r="Q673" s="25"/>
      <c r="R673" s="25"/>
      <c r="S673" s="77"/>
    </row>
    <row r="674" spans="7:19">
      <c r="G674" s="44"/>
      <c r="I674" s="45"/>
      <c r="N674" s="25"/>
      <c r="O674" s="25"/>
      <c r="P674" s="25"/>
      <c r="Q674" s="25"/>
      <c r="R674" s="25"/>
      <c r="S674" s="77"/>
    </row>
    <row r="675" spans="7:19">
      <c r="G675" s="44"/>
      <c r="I675" s="45"/>
      <c r="N675" s="25"/>
      <c r="O675" s="25"/>
      <c r="P675" s="25"/>
      <c r="Q675" s="25"/>
      <c r="R675" s="25"/>
      <c r="S675" s="77"/>
    </row>
    <row r="676" spans="7:19">
      <c r="G676" s="44"/>
      <c r="I676" s="45"/>
      <c r="N676" s="25"/>
      <c r="O676" s="25"/>
      <c r="P676" s="25"/>
      <c r="Q676" s="25"/>
      <c r="R676" s="25"/>
      <c r="S676" s="77"/>
    </row>
    <row r="677" spans="7:19">
      <c r="G677" s="44"/>
      <c r="I677" s="45"/>
      <c r="N677" s="25"/>
      <c r="O677" s="25"/>
      <c r="P677" s="25"/>
      <c r="Q677" s="25"/>
      <c r="R677" s="25"/>
      <c r="S677" s="77"/>
    </row>
    <row r="678" spans="7:19">
      <c r="G678" s="44"/>
      <c r="I678" s="45"/>
      <c r="N678" s="25"/>
      <c r="O678" s="25"/>
      <c r="P678" s="25"/>
      <c r="Q678" s="25"/>
      <c r="R678" s="25"/>
      <c r="S678" s="77"/>
    </row>
    <row r="679" spans="7:19">
      <c r="G679" s="44"/>
      <c r="I679" s="45"/>
      <c r="N679" s="25"/>
      <c r="O679" s="25"/>
      <c r="P679" s="25"/>
      <c r="Q679" s="25"/>
      <c r="R679" s="25"/>
      <c r="S679" s="77"/>
    </row>
    <row r="680" spans="7:19">
      <c r="G680" s="44"/>
      <c r="I680" s="45"/>
      <c r="N680" s="25"/>
      <c r="O680" s="25"/>
      <c r="P680" s="25"/>
      <c r="Q680" s="25"/>
      <c r="R680" s="25"/>
      <c r="S680" s="77"/>
    </row>
    <row r="681" spans="7:19">
      <c r="G681" s="44"/>
      <c r="I681" s="45"/>
      <c r="N681" s="25"/>
      <c r="O681" s="25"/>
      <c r="P681" s="25"/>
      <c r="Q681" s="25"/>
      <c r="R681" s="25"/>
      <c r="S681" s="77"/>
    </row>
    <row r="682" spans="7:19">
      <c r="G682" s="44"/>
      <c r="I682" s="45"/>
      <c r="N682" s="25"/>
      <c r="O682" s="25"/>
      <c r="P682" s="25"/>
      <c r="Q682" s="25"/>
      <c r="R682" s="25"/>
      <c r="S682" s="77"/>
    </row>
    <row r="683" spans="7:19">
      <c r="G683" s="44"/>
      <c r="I683" s="45"/>
      <c r="N683" s="25"/>
      <c r="O683" s="25"/>
      <c r="P683" s="25"/>
      <c r="Q683" s="25"/>
      <c r="R683" s="25"/>
      <c r="S683" s="77"/>
    </row>
    <row r="684" spans="7:19">
      <c r="G684" s="44"/>
      <c r="I684" s="45"/>
      <c r="N684" s="25"/>
      <c r="O684" s="25"/>
      <c r="P684" s="25"/>
      <c r="Q684" s="25"/>
      <c r="R684" s="25"/>
      <c r="S684" s="77"/>
    </row>
    <row r="685" spans="7:19">
      <c r="G685" s="44"/>
      <c r="I685" s="45"/>
      <c r="N685" s="25"/>
      <c r="O685" s="25"/>
      <c r="P685" s="25"/>
      <c r="Q685" s="25"/>
      <c r="R685" s="25"/>
      <c r="S685" s="77"/>
    </row>
    <row r="686" spans="7:19">
      <c r="G686" s="44"/>
      <c r="I686" s="45"/>
      <c r="N686" s="25"/>
      <c r="O686" s="25"/>
      <c r="P686" s="25"/>
      <c r="Q686" s="25"/>
      <c r="R686" s="25"/>
      <c r="S686" s="77"/>
    </row>
    <row r="687" spans="7:19">
      <c r="G687" s="44"/>
      <c r="I687" s="45"/>
      <c r="N687" s="25"/>
      <c r="O687" s="25"/>
      <c r="P687" s="25"/>
      <c r="Q687" s="25"/>
      <c r="R687" s="25"/>
      <c r="S687" s="77"/>
    </row>
    <row r="688" spans="7:19">
      <c r="G688" s="44"/>
      <c r="I688" s="45"/>
      <c r="N688" s="25"/>
      <c r="O688" s="25"/>
      <c r="P688" s="25"/>
      <c r="Q688" s="25"/>
      <c r="R688" s="25"/>
      <c r="S688" s="77"/>
    </row>
    <row r="689" spans="7:19">
      <c r="G689" s="44"/>
      <c r="I689" s="45"/>
      <c r="N689" s="25"/>
      <c r="O689" s="25"/>
      <c r="P689" s="25"/>
      <c r="Q689" s="25"/>
      <c r="R689" s="25"/>
      <c r="S689" s="77"/>
    </row>
    <row r="690" spans="7:19">
      <c r="G690" s="44"/>
      <c r="I690" s="45"/>
      <c r="N690" s="25"/>
      <c r="O690" s="25"/>
      <c r="P690" s="25"/>
      <c r="Q690" s="25"/>
      <c r="R690" s="25"/>
      <c r="S690" s="77"/>
    </row>
    <row r="691" spans="7:19">
      <c r="G691" s="44"/>
      <c r="I691" s="45"/>
      <c r="N691" s="25"/>
      <c r="O691" s="25"/>
      <c r="P691" s="25"/>
      <c r="Q691" s="25"/>
      <c r="R691" s="25"/>
      <c r="S691" s="77"/>
    </row>
    <row r="692" spans="7:19">
      <c r="G692" s="44"/>
      <c r="I692" s="45"/>
      <c r="N692" s="25"/>
      <c r="O692" s="25"/>
      <c r="P692" s="25"/>
      <c r="Q692" s="25"/>
      <c r="R692" s="25"/>
      <c r="S692" s="77"/>
    </row>
    <row r="693" spans="7:19">
      <c r="G693" s="44"/>
      <c r="I693" s="45"/>
      <c r="N693" s="25"/>
      <c r="O693" s="25"/>
      <c r="P693" s="25"/>
      <c r="Q693" s="25"/>
      <c r="R693" s="25"/>
      <c r="S693" s="77"/>
    </row>
    <row r="694" spans="7:19">
      <c r="G694" s="44"/>
      <c r="I694" s="45"/>
      <c r="N694" s="25"/>
      <c r="O694" s="25"/>
      <c r="P694" s="25"/>
      <c r="Q694" s="25"/>
      <c r="R694" s="25"/>
      <c r="S694" s="77"/>
    </row>
    <row r="695" spans="7:19">
      <c r="G695" s="44"/>
      <c r="I695" s="45"/>
      <c r="N695" s="25"/>
      <c r="O695" s="25"/>
      <c r="P695" s="25"/>
      <c r="Q695" s="25"/>
      <c r="R695" s="25"/>
      <c r="S695" s="77"/>
    </row>
    <row r="696" spans="7:19">
      <c r="G696" s="44"/>
      <c r="I696" s="45"/>
      <c r="N696" s="25"/>
      <c r="O696" s="25"/>
      <c r="P696" s="25"/>
      <c r="Q696" s="25"/>
      <c r="R696" s="25"/>
      <c r="S696" s="77"/>
    </row>
    <row r="697" spans="7:19">
      <c r="G697" s="44"/>
      <c r="I697" s="45"/>
      <c r="N697" s="25"/>
      <c r="O697" s="25"/>
      <c r="P697" s="25"/>
      <c r="Q697" s="25"/>
      <c r="R697" s="25"/>
      <c r="S697" s="77"/>
    </row>
    <row r="698" spans="7:19">
      <c r="G698" s="44"/>
      <c r="I698" s="45"/>
      <c r="N698" s="25"/>
      <c r="O698" s="25"/>
      <c r="P698" s="25"/>
      <c r="Q698" s="25"/>
      <c r="R698" s="25"/>
      <c r="S698" s="77"/>
    </row>
    <row r="699" spans="7:19">
      <c r="G699" s="44"/>
      <c r="I699" s="45"/>
      <c r="N699" s="25"/>
      <c r="O699" s="25"/>
      <c r="P699" s="25"/>
      <c r="Q699" s="25"/>
      <c r="R699" s="25"/>
      <c r="S699" s="77"/>
    </row>
    <row r="700" spans="7:19">
      <c r="G700" s="44"/>
      <c r="I700" s="45"/>
      <c r="N700" s="25"/>
      <c r="O700" s="25"/>
      <c r="P700" s="25"/>
      <c r="Q700" s="25"/>
      <c r="R700" s="25"/>
      <c r="S700" s="77"/>
    </row>
    <row r="701" spans="7:19">
      <c r="G701" s="44"/>
      <c r="I701" s="45"/>
      <c r="N701" s="25"/>
      <c r="O701" s="25"/>
      <c r="P701" s="25"/>
      <c r="Q701" s="25"/>
      <c r="R701" s="25"/>
      <c r="S701" s="77"/>
    </row>
    <row r="702" spans="7:19">
      <c r="G702" s="44"/>
      <c r="I702" s="45"/>
      <c r="N702" s="25"/>
      <c r="O702" s="25"/>
      <c r="P702" s="25"/>
      <c r="Q702" s="25"/>
      <c r="R702" s="25"/>
      <c r="S702" s="77"/>
    </row>
    <row r="703" spans="7:19">
      <c r="G703" s="44"/>
      <c r="I703" s="45"/>
      <c r="N703" s="25"/>
      <c r="O703" s="25"/>
      <c r="P703" s="25"/>
      <c r="Q703" s="25"/>
      <c r="R703" s="25"/>
      <c r="S703" s="77"/>
    </row>
    <row r="704" spans="7:19">
      <c r="G704" s="44"/>
      <c r="I704" s="45"/>
      <c r="N704" s="25"/>
      <c r="O704" s="25"/>
      <c r="P704" s="25"/>
      <c r="Q704" s="25"/>
      <c r="R704" s="25"/>
      <c r="S704" s="77"/>
    </row>
    <row r="705" spans="7:19">
      <c r="G705" s="44"/>
      <c r="I705" s="45"/>
      <c r="N705" s="25"/>
      <c r="O705" s="25"/>
      <c r="P705" s="25"/>
      <c r="Q705" s="25"/>
      <c r="R705" s="25"/>
      <c r="S705" s="77"/>
    </row>
    <row r="706" spans="7:19">
      <c r="G706" s="44"/>
      <c r="I706" s="45"/>
      <c r="N706" s="25"/>
      <c r="O706" s="25"/>
      <c r="P706" s="25"/>
      <c r="Q706" s="25"/>
      <c r="R706" s="25"/>
      <c r="S706" s="77"/>
    </row>
    <row r="707" spans="7:19">
      <c r="G707" s="44"/>
      <c r="I707" s="45"/>
      <c r="N707" s="25"/>
      <c r="O707" s="25"/>
      <c r="P707" s="25"/>
      <c r="Q707" s="25"/>
      <c r="R707" s="25"/>
      <c r="S707" s="77"/>
    </row>
    <row r="708" spans="7:19">
      <c r="G708" s="44"/>
      <c r="I708" s="45"/>
      <c r="N708" s="25"/>
      <c r="O708" s="25"/>
      <c r="P708" s="25"/>
      <c r="Q708" s="25"/>
      <c r="R708" s="25"/>
      <c r="S708" s="77"/>
    </row>
    <row r="709" spans="7:19">
      <c r="G709" s="44"/>
      <c r="I709" s="45"/>
      <c r="N709" s="25"/>
      <c r="O709" s="25"/>
      <c r="P709" s="25"/>
      <c r="Q709" s="25"/>
      <c r="R709" s="25"/>
      <c r="S709" s="77"/>
    </row>
    <row r="710" spans="7:19">
      <c r="G710" s="44"/>
      <c r="I710" s="45"/>
      <c r="N710" s="25"/>
      <c r="O710" s="25"/>
      <c r="P710" s="25"/>
      <c r="Q710" s="25"/>
      <c r="R710" s="25"/>
      <c r="S710" s="77"/>
    </row>
    <row r="711" spans="7:19">
      <c r="G711" s="44"/>
      <c r="I711" s="45"/>
      <c r="N711" s="25"/>
      <c r="O711" s="25"/>
      <c r="P711" s="25"/>
      <c r="Q711" s="25"/>
      <c r="R711" s="25"/>
      <c r="S711" s="77"/>
    </row>
    <row r="712" spans="7:19">
      <c r="G712" s="44"/>
      <c r="I712" s="45"/>
      <c r="N712" s="25"/>
      <c r="O712" s="25"/>
      <c r="P712" s="25"/>
      <c r="Q712" s="25"/>
      <c r="R712" s="25"/>
      <c r="S712" s="77"/>
    </row>
    <row r="713" spans="7:19">
      <c r="G713" s="44"/>
      <c r="I713" s="45"/>
      <c r="N713" s="25"/>
      <c r="O713" s="25"/>
      <c r="P713" s="25"/>
      <c r="Q713" s="25"/>
      <c r="R713" s="25"/>
      <c r="S713" s="77"/>
    </row>
    <row r="714" spans="7:19">
      <c r="G714" s="44"/>
      <c r="I714" s="45"/>
      <c r="N714" s="25"/>
      <c r="O714" s="25"/>
      <c r="P714" s="25"/>
      <c r="Q714" s="25"/>
      <c r="R714" s="25"/>
      <c r="S714" s="77"/>
    </row>
    <row r="715" spans="7:19">
      <c r="G715" s="44"/>
      <c r="I715" s="45"/>
      <c r="N715" s="25"/>
      <c r="O715" s="25"/>
      <c r="P715" s="25"/>
      <c r="Q715" s="25"/>
      <c r="R715" s="25"/>
      <c r="S715" s="77"/>
    </row>
    <row r="716" spans="7:19">
      <c r="G716" s="44"/>
      <c r="I716" s="45"/>
      <c r="N716" s="25"/>
      <c r="O716" s="25"/>
      <c r="P716" s="25"/>
      <c r="Q716" s="25"/>
      <c r="R716" s="25"/>
      <c r="S716" s="77"/>
    </row>
    <row r="717" spans="7:19">
      <c r="G717" s="44"/>
      <c r="I717" s="45"/>
      <c r="N717" s="25"/>
      <c r="O717" s="25"/>
      <c r="P717" s="25"/>
      <c r="Q717" s="25"/>
      <c r="R717" s="25"/>
      <c r="S717" s="77"/>
    </row>
    <row r="718" spans="7:19">
      <c r="G718" s="44"/>
      <c r="I718" s="45"/>
      <c r="N718" s="25"/>
      <c r="O718" s="25"/>
      <c r="P718" s="25"/>
      <c r="Q718" s="25"/>
      <c r="R718" s="25"/>
      <c r="S718" s="77"/>
    </row>
    <row r="719" spans="7:19">
      <c r="G719" s="44"/>
      <c r="I719" s="45"/>
      <c r="N719" s="25"/>
      <c r="O719" s="25"/>
      <c r="P719" s="25"/>
      <c r="Q719" s="25"/>
      <c r="R719" s="25"/>
      <c r="S719" s="77"/>
    </row>
    <row r="720" spans="7:19">
      <c r="G720" s="44"/>
      <c r="I720" s="45"/>
      <c r="N720" s="25"/>
      <c r="O720" s="25"/>
      <c r="P720" s="25"/>
      <c r="Q720" s="25"/>
      <c r="R720" s="25"/>
      <c r="S720" s="77"/>
    </row>
    <row r="721" spans="7:19">
      <c r="G721" s="44"/>
      <c r="I721" s="45"/>
      <c r="N721" s="25"/>
      <c r="O721" s="25"/>
      <c r="P721" s="25"/>
      <c r="Q721" s="25"/>
      <c r="R721" s="25"/>
      <c r="S721" s="77"/>
    </row>
    <row r="722" spans="7:19">
      <c r="G722" s="44"/>
      <c r="I722" s="45"/>
      <c r="N722" s="25"/>
      <c r="O722" s="25"/>
      <c r="P722" s="25"/>
      <c r="Q722" s="25"/>
      <c r="R722" s="25"/>
      <c r="S722" s="77"/>
    </row>
    <row r="723" spans="7:19">
      <c r="G723" s="44"/>
      <c r="I723" s="45"/>
      <c r="N723" s="25"/>
      <c r="O723" s="25"/>
      <c r="P723" s="25"/>
      <c r="Q723" s="25"/>
      <c r="R723" s="25"/>
      <c r="S723" s="77"/>
    </row>
    <row r="724" spans="7:19">
      <c r="G724" s="44"/>
      <c r="I724" s="45"/>
      <c r="N724" s="25"/>
      <c r="O724" s="25"/>
      <c r="P724" s="25"/>
      <c r="Q724" s="25"/>
      <c r="R724" s="25"/>
      <c r="S724" s="77"/>
    </row>
    <row r="725" spans="7:19">
      <c r="G725" s="44"/>
      <c r="I725" s="45"/>
      <c r="N725" s="25"/>
      <c r="O725" s="25"/>
      <c r="P725" s="25"/>
      <c r="Q725" s="25"/>
      <c r="R725" s="25"/>
      <c r="S725" s="77"/>
    </row>
    <row r="726" spans="7:19">
      <c r="G726" s="44"/>
      <c r="I726" s="45"/>
      <c r="N726" s="25"/>
      <c r="O726" s="25"/>
      <c r="P726" s="25"/>
      <c r="Q726" s="25"/>
      <c r="R726" s="25"/>
      <c r="S726" s="77"/>
    </row>
    <row r="727" spans="7:19">
      <c r="G727" s="44"/>
      <c r="I727" s="45"/>
      <c r="N727" s="25"/>
      <c r="O727" s="25"/>
      <c r="P727" s="25"/>
      <c r="Q727" s="25"/>
      <c r="R727" s="25"/>
      <c r="S727" s="77"/>
    </row>
    <row r="728" spans="7:19">
      <c r="G728" s="44"/>
      <c r="I728" s="45"/>
      <c r="N728" s="25"/>
      <c r="O728" s="25"/>
      <c r="P728" s="25"/>
      <c r="Q728" s="25"/>
      <c r="R728" s="25"/>
      <c r="S728" s="77"/>
    </row>
    <row r="729" spans="7:19">
      <c r="G729" s="44"/>
      <c r="I729" s="45"/>
      <c r="N729" s="25"/>
      <c r="O729" s="25"/>
      <c r="P729" s="25"/>
      <c r="Q729" s="25"/>
      <c r="R729" s="25"/>
      <c r="S729" s="77"/>
    </row>
    <row r="730" spans="7:19">
      <c r="G730" s="44"/>
      <c r="I730" s="45"/>
      <c r="N730" s="25"/>
      <c r="O730" s="25"/>
      <c r="P730" s="25"/>
      <c r="Q730" s="25"/>
      <c r="R730" s="25"/>
      <c r="S730" s="77"/>
    </row>
    <row r="731" spans="7:19">
      <c r="G731" s="44"/>
      <c r="I731" s="45"/>
      <c r="N731" s="25"/>
      <c r="O731" s="25"/>
      <c r="P731" s="25"/>
      <c r="Q731" s="25"/>
      <c r="R731" s="25"/>
      <c r="S731" s="77"/>
    </row>
    <row r="732" spans="7:19">
      <c r="G732" s="44"/>
      <c r="I732" s="45"/>
      <c r="N732" s="25"/>
      <c r="O732" s="25"/>
      <c r="P732" s="25"/>
      <c r="Q732" s="25"/>
      <c r="R732" s="25"/>
      <c r="S732" s="77"/>
    </row>
    <row r="733" spans="7:19">
      <c r="G733" s="44"/>
      <c r="I733" s="45"/>
      <c r="N733" s="25"/>
      <c r="O733" s="25"/>
      <c r="P733" s="25"/>
      <c r="Q733" s="25"/>
      <c r="R733" s="25"/>
      <c r="S733" s="77"/>
    </row>
    <row r="734" spans="7:19">
      <c r="G734" s="44"/>
      <c r="I734" s="45"/>
      <c r="N734" s="25"/>
      <c r="O734" s="25"/>
      <c r="P734" s="25"/>
      <c r="Q734" s="25"/>
      <c r="R734" s="25"/>
      <c r="S734" s="77"/>
    </row>
    <row r="735" spans="7:19">
      <c r="G735" s="44"/>
      <c r="I735" s="45"/>
      <c r="N735" s="25"/>
      <c r="O735" s="25"/>
      <c r="P735" s="25"/>
      <c r="Q735" s="25"/>
      <c r="R735" s="25"/>
      <c r="S735" s="77"/>
    </row>
    <row r="736" spans="7:19">
      <c r="G736" s="44"/>
      <c r="I736" s="45"/>
      <c r="N736" s="25"/>
      <c r="O736" s="25"/>
      <c r="P736" s="25"/>
      <c r="Q736" s="25"/>
      <c r="R736" s="25"/>
      <c r="S736" s="77"/>
    </row>
    <row r="737" spans="7:19">
      <c r="G737" s="44"/>
      <c r="I737" s="45"/>
      <c r="N737" s="25"/>
      <c r="O737" s="25"/>
      <c r="P737" s="25"/>
      <c r="Q737" s="25"/>
      <c r="R737" s="25"/>
      <c r="S737" s="77"/>
    </row>
    <row r="738" spans="7:19">
      <c r="G738" s="44"/>
      <c r="I738" s="45"/>
      <c r="N738" s="25"/>
      <c r="O738" s="25"/>
      <c r="P738" s="25"/>
      <c r="Q738" s="25"/>
      <c r="R738" s="25"/>
      <c r="S738" s="77"/>
    </row>
    <row r="739" spans="7:19">
      <c r="G739" s="44"/>
      <c r="I739" s="45"/>
      <c r="N739" s="25"/>
      <c r="O739" s="25"/>
      <c r="P739" s="25"/>
      <c r="Q739" s="25"/>
      <c r="R739" s="25"/>
      <c r="S739" s="77"/>
    </row>
    <row r="740" spans="7:19">
      <c r="G740" s="44"/>
      <c r="I740" s="45"/>
      <c r="N740" s="25"/>
      <c r="O740" s="25"/>
      <c r="P740" s="25"/>
      <c r="Q740" s="25"/>
      <c r="R740" s="25"/>
      <c r="S740" s="77"/>
    </row>
    <row r="741" spans="7:19">
      <c r="G741" s="44"/>
      <c r="I741" s="45"/>
      <c r="N741" s="25"/>
      <c r="O741" s="25"/>
      <c r="P741" s="25"/>
      <c r="Q741" s="25"/>
      <c r="R741" s="25"/>
      <c r="S741" s="77"/>
    </row>
    <row r="742" spans="7:19">
      <c r="G742" s="44"/>
      <c r="I742" s="45"/>
      <c r="N742" s="25"/>
      <c r="O742" s="25"/>
      <c r="P742" s="25"/>
      <c r="Q742" s="25"/>
      <c r="R742" s="25"/>
      <c r="S742" s="77"/>
    </row>
    <row r="743" spans="7:19">
      <c r="G743" s="44"/>
      <c r="I743" s="45"/>
      <c r="N743" s="25"/>
      <c r="O743" s="25"/>
      <c r="P743" s="25"/>
      <c r="Q743" s="25"/>
      <c r="R743" s="25"/>
      <c r="S743" s="77"/>
    </row>
    <row r="744" spans="7:19">
      <c r="G744" s="44"/>
      <c r="I744" s="45"/>
      <c r="N744" s="25"/>
      <c r="O744" s="25"/>
      <c r="P744" s="25"/>
      <c r="Q744" s="25"/>
      <c r="R744" s="25"/>
      <c r="S744" s="77"/>
    </row>
    <row r="745" spans="7:19">
      <c r="G745" s="44"/>
      <c r="I745" s="45"/>
      <c r="N745" s="25"/>
      <c r="O745" s="25"/>
      <c r="P745" s="25"/>
      <c r="Q745" s="25"/>
      <c r="R745" s="25"/>
      <c r="S745" s="77"/>
    </row>
    <row r="746" spans="7:19">
      <c r="G746" s="44"/>
      <c r="I746" s="45"/>
      <c r="N746" s="25"/>
      <c r="O746" s="25"/>
      <c r="P746" s="25"/>
      <c r="Q746" s="25"/>
      <c r="R746" s="25"/>
      <c r="S746" s="77"/>
    </row>
    <row r="747" spans="7:19">
      <c r="G747" s="44"/>
      <c r="I747" s="45"/>
      <c r="N747" s="25"/>
      <c r="O747" s="25"/>
      <c r="P747" s="25"/>
      <c r="Q747" s="25"/>
      <c r="R747" s="25"/>
      <c r="S747" s="77"/>
    </row>
    <row r="748" spans="7:19">
      <c r="G748" s="44"/>
      <c r="I748" s="45"/>
      <c r="N748" s="25"/>
      <c r="O748" s="25"/>
      <c r="P748" s="25"/>
      <c r="Q748" s="25"/>
      <c r="R748" s="25"/>
      <c r="S748" s="77"/>
    </row>
    <row r="749" spans="7:19">
      <c r="G749" s="44"/>
      <c r="I749" s="45"/>
      <c r="N749" s="25"/>
      <c r="O749" s="25"/>
      <c r="P749" s="25"/>
      <c r="Q749" s="25"/>
      <c r="R749" s="25"/>
      <c r="S749" s="77"/>
    </row>
    <row r="750" spans="7:19">
      <c r="G750" s="44"/>
      <c r="I750" s="45"/>
      <c r="N750" s="25"/>
      <c r="O750" s="25"/>
      <c r="P750" s="25"/>
      <c r="Q750" s="25"/>
      <c r="R750" s="25"/>
      <c r="S750" s="77"/>
    </row>
    <row r="751" spans="7:19">
      <c r="G751" s="44"/>
      <c r="I751" s="45"/>
      <c r="N751" s="25"/>
      <c r="O751" s="25"/>
      <c r="P751" s="25"/>
      <c r="Q751" s="25"/>
      <c r="R751" s="25"/>
      <c r="S751" s="77"/>
    </row>
    <row r="752" spans="7:19">
      <c r="G752" s="44"/>
      <c r="I752" s="45"/>
      <c r="N752" s="25"/>
    </row>
    <row r="753" spans="7:14">
      <c r="G753" s="44"/>
      <c r="I753" s="45"/>
      <c r="N753" s="25"/>
    </row>
    <row r="754" spans="7:14">
      <c r="G754" s="44"/>
      <c r="I754" s="45"/>
      <c r="N754" s="25"/>
    </row>
    <row r="755" spans="7:14">
      <c r="G755" s="44"/>
      <c r="I755" s="45"/>
      <c r="N755" s="25"/>
    </row>
    <row r="756" spans="7:14">
      <c r="G756" s="44"/>
      <c r="I756" s="45"/>
      <c r="N756" s="25"/>
    </row>
    <row r="757" spans="7:14">
      <c r="G757" s="44"/>
      <c r="I757" s="45"/>
      <c r="N757" s="25"/>
    </row>
    <row r="758" spans="7:14">
      <c r="G758" s="44"/>
      <c r="I758" s="45"/>
      <c r="N758" s="25"/>
    </row>
    <row r="759" spans="7:14">
      <c r="G759" s="44"/>
      <c r="I759" s="45"/>
      <c r="N759" s="25"/>
    </row>
    <row r="760" spans="7:14">
      <c r="G760" s="44"/>
      <c r="I760" s="45"/>
      <c r="N760" s="25"/>
    </row>
    <row r="761" spans="7:14">
      <c r="G761" s="44"/>
      <c r="I761" s="45"/>
      <c r="N761" s="25"/>
    </row>
    <row r="762" spans="7:14">
      <c r="G762" s="44"/>
      <c r="I762" s="45"/>
      <c r="N762" s="25"/>
    </row>
    <row r="763" spans="7:14">
      <c r="G763" s="44"/>
      <c r="I763" s="45"/>
      <c r="N763" s="25"/>
    </row>
    <row r="764" spans="7:14">
      <c r="G764" s="44"/>
      <c r="I764" s="45"/>
      <c r="N764" s="25"/>
    </row>
    <row r="765" spans="7:14">
      <c r="G765" s="44"/>
      <c r="I765" s="45"/>
      <c r="N765" s="25"/>
    </row>
    <row r="766" spans="7:14">
      <c r="G766" s="44"/>
      <c r="I766" s="45"/>
      <c r="N766" s="25"/>
    </row>
    <row r="767" spans="7:14">
      <c r="G767" s="44"/>
      <c r="I767" s="45"/>
      <c r="N767" s="25"/>
    </row>
    <row r="768" spans="7:14">
      <c r="G768" s="44"/>
      <c r="I768" s="45"/>
      <c r="N768" s="25"/>
    </row>
    <row r="769" spans="9:14">
      <c r="I769" s="45"/>
      <c r="N769" s="25"/>
    </row>
    <row r="770" spans="9:14">
      <c r="I770" s="45"/>
      <c r="N770" s="25"/>
    </row>
    <row r="771" spans="9:14">
      <c r="I771" s="45"/>
      <c r="N771" s="25"/>
    </row>
    <row r="772" spans="9:14">
      <c r="I772" s="45"/>
      <c r="N772" s="25"/>
    </row>
    <row r="773" spans="9:14">
      <c r="I773" s="45"/>
      <c r="N773" s="25"/>
    </row>
    <row r="774" spans="9:14">
      <c r="I774" s="45"/>
      <c r="N774" s="25"/>
    </row>
    <row r="775" spans="9:14">
      <c r="I775" s="45"/>
      <c r="N775" s="25"/>
    </row>
    <row r="776" spans="9:14">
      <c r="I776" s="45"/>
      <c r="N776" s="25"/>
    </row>
    <row r="777" spans="9:14">
      <c r="I777" s="45"/>
      <c r="N777" s="25"/>
    </row>
    <row r="778" spans="9:14">
      <c r="I778" s="45"/>
      <c r="N778" s="25"/>
    </row>
    <row r="779" spans="9:14">
      <c r="I779" s="45"/>
      <c r="N779" s="25"/>
    </row>
    <row r="780" spans="9:14">
      <c r="I780" s="45"/>
      <c r="N780" s="25"/>
    </row>
    <row r="781" spans="9:14">
      <c r="I781" s="45"/>
      <c r="N781" s="25"/>
    </row>
    <row r="782" spans="9:14">
      <c r="I782" s="45"/>
      <c r="N782" s="25"/>
    </row>
    <row r="783" spans="9:14">
      <c r="I783" s="45"/>
      <c r="N783" s="25"/>
    </row>
    <row r="784" spans="9:14">
      <c r="I784" s="45"/>
      <c r="N784" s="25"/>
    </row>
    <row r="785" spans="9:14">
      <c r="I785" s="45"/>
      <c r="N785" s="25"/>
    </row>
    <row r="786" spans="9:14">
      <c r="I786" s="45"/>
      <c r="N786" s="25"/>
    </row>
    <row r="787" spans="9:14">
      <c r="I787" s="45"/>
      <c r="N787" s="25"/>
    </row>
    <row r="788" spans="9:14">
      <c r="I788" s="45"/>
      <c r="N788" s="25"/>
    </row>
    <row r="789" spans="9:14">
      <c r="I789" s="45"/>
      <c r="N789" s="25"/>
    </row>
    <row r="790" spans="9:14">
      <c r="I790" s="45"/>
      <c r="N790" s="25"/>
    </row>
    <row r="791" spans="9:14">
      <c r="I791" s="45"/>
      <c r="N791" s="25"/>
    </row>
    <row r="792" spans="9:14">
      <c r="I792" s="45"/>
      <c r="N792" s="25"/>
    </row>
    <row r="793" spans="9:14">
      <c r="I793" s="45"/>
      <c r="N793" s="25"/>
    </row>
    <row r="794" spans="9:14">
      <c r="I794" s="45"/>
      <c r="N794" s="25"/>
    </row>
    <row r="795" spans="9:14">
      <c r="I795" s="45"/>
      <c r="N795" s="25"/>
    </row>
    <row r="796" spans="9:14">
      <c r="I796" s="45"/>
      <c r="N796" s="25"/>
    </row>
    <row r="797" spans="9:14">
      <c r="I797" s="45"/>
      <c r="N797" s="25"/>
    </row>
    <row r="798" spans="9:14">
      <c r="I798" s="45"/>
      <c r="N798" s="25"/>
    </row>
    <row r="799" spans="9:14">
      <c r="I799" s="45"/>
      <c r="N799" s="25"/>
    </row>
    <row r="800" spans="9:14">
      <c r="I800" s="45"/>
      <c r="N800" s="25"/>
    </row>
    <row r="801" spans="9:14">
      <c r="I801" s="45"/>
      <c r="N801" s="25"/>
    </row>
    <row r="802" spans="9:14">
      <c r="I802" s="45"/>
      <c r="N802" s="25"/>
    </row>
    <row r="803" spans="9:14">
      <c r="I803" s="45"/>
      <c r="N803" s="25"/>
    </row>
    <row r="804" spans="9:14">
      <c r="I804" s="45"/>
      <c r="N804" s="25"/>
    </row>
    <row r="805" spans="9:14">
      <c r="I805" s="45"/>
      <c r="N805" s="25"/>
    </row>
    <row r="806" spans="9:14">
      <c r="I806" s="45"/>
      <c r="N806" s="25"/>
    </row>
    <row r="807" spans="9:14">
      <c r="I807" s="45"/>
      <c r="N807" s="25"/>
    </row>
    <row r="808" spans="9:14">
      <c r="I808" s="45"/>
      <c r="N808" s="25"/>
    </row>
    <row r="809" spans="9:14">
      <c r="I809" s="45"/>
      <c r="N809" s="25"/>
    </row>
    <row r="810" spans="9:14">
      <c r="I810" s="45"/>
      <c r="N810" s="25"/>
    </row>
    <row r="811" spans="9:14">
      <c r="I811" s="45"/>
      <c r="N811" s="25"/>
    </row>
    <row r="812" spans="9:14">
      <c r="I812" s="45"/>
      <c r="N812" s="25"/>
    </row>
    <row r="813" spans="9:14">
      <c r="I813" s="45"/>
      <c r="N813" s="25"/>
    </row>
    <row r="814" spans="9:14">
      <c r="I814" s="45"/>
      <c r="N814" s="25"/>
    </row>
    <row r="815" spans="9:14">
      <c r="I815" s="45"/>
      <c r="N815" s="25"/>
    </row>
    <row r="816" spans="9:14">
      <c r="I816" s="45"/>
      <c r="N816" s="25"/>
    </row>
    <row r="817" spans="9:14">
      <c r="I817" s="45"/>
      <c r="N817" s="25"/>
    </row>
    <row r="818" spans="9:14">
      <c r="I818" s="45"/>
      <c r="N818" s="25"/>
    </row>
    <row r="819" spans="9:14">
      <c r="I819" s="45"/>
      <c r="N819" s="25"/>
    </row>
    <row r="820" spans="9:14">
      <c r="I820" s="45"/>
      <c r="N820" s="25"/>
    </row>
    <row r="821" spans="9:14">
      <c r="I821" s="45"/>
      <c r="N821" s="25"/>
    </row>
    <row r="822" spans="9:14">
      <c r="I822" s="45"/>
      <c r="N822" s="25"/>
    </row>
    <row r="823" spans="9:14">
      <c r="I823" s="45"/>
      <c r="N823" s="25"/>
    </row>
    <row r="824" spans="9:14">
      <c r="I824" s="45"/>
      <c r="N824" s="25"/>
    </row>
    <row r="825" spans="9:14">
      <c r="I825" s="45"/>
      <c r="N825" s="25"/>
    </row>
    <row r="826" spans="9:14">
      <c r="I826" s="45"/>
      <c r="N826" s="25"/>
    </row>
    <row r="827" spans="9:14">
      <c r="I827" s="45"/>
      <c r="N827" s="25"/>
    </row>
    <row r="828" spans="9:14">
      <c r="I828" s="45"/>
      <c r="N828" s="25"/>
    </row>
    <row r="829" spans="9:14">
      <c r="I829" s="45"/>
      <c r="N829" s="25"/>
    </row>
    <row r="830" spans="9:14">
      <c r="I830" s="45"/>
      <c r="N830" s="25"/>
    </row>
    <row r="831" spans="9:14">
      <c r="I831" s="45"/>
      <c r="N831" s="25"/>
    </row>
    <row r="832" spans="9:14">
      <c r="I832" s="45"/>
      <c r="N832" s="25"/>
    </row>
    <row r="833" spans="9:14">
      <c r="I833" s="45"/>
      <c r="N833" s="25"/>
    </row>
    <row r="834" spans="9:14">
      <c r="I834" s="45"/>
      <c r="N834" s="25"/>
    </row>
    <row r="835" spans="9:14">
      <c r="I835" s="45"/>
      <c r="N835" s="25"/>
    </row>
    <row r="836" spans="9:14">
      <c r="I836" s="45"/>
      <c r="N836" s="25"/>
    </row>
    <row r="837" spans="9:14">
      <c r="I837" s="45"/>
      <c r="N837" s="25"/>
    </row>
    <row r="838" spans="9:14">
      <c r="I838" s="45"/>
      <c r="N838" s="25"/>
    </row>
    <row r="839" spans="9:14">
      <c r="I839" s="45"/>
      <c r="N839" s="25"/>
    </row>
    <row r="840" spans="9:14">
      <c r="I840" s="45"/>
      <c r="N840" s="25"/>
    </row>
    <row r="841" spans="9:14">
      <c r="I841" s="45"/>
      <c r="N841" s="25"/>
    </row>
    <row r="842" spans="9:14">
      <c r="I842" s="45"/>
      <c r="N842" s="25"/>
    </row>
    <row r="843" spans="9:14">
      <c r="I843" s="45"/>
      <c r="N843" s="25"/>
    </row>
    <row r="844" spans="9:14">
      <c r="I844" s="45"/>
      <c r="N844" s="25"/>
    </row>
    <row r="845" spans="9:14">
      <c r="I845" s="45"/>
      <c r="N845" s="25"/>
    </row>
    <row r="846" spans="9:14">
      <c r="I846" s="45"/>
      <c r="N846" s="25"/>
    </row>
    <row r="847" spans="9:14">
      <c r="I847" s="45"/>
      <c r="N847" s="25"/>
    </row>
    <row r="848" spans="9:14">
      <c r="I848" s="45"/>
      <c r="N848" s="25"/>
    </row>
    <row r="849" spans="9:14">
      <c r="I849" s="45"/>
      <c r="N849" s="25"/>
    </row>
    <row r="850" spans="9:14">
      <c r="I850" s="45"/>
      <c r="N850" s="25"/>
    </row>
    <row r="851" spans="9:14">
      <c r="I851" s="45"/>
      <c r="N851" s="25"/>
    </row>
    <row r="852" spans="9:14">
      <c r="I852" s="45"/>
      <c r="N852" s="25"/>
    </row>
    <row r="853" spans="9:14">
      <c r="I853" s="45"/>
      <c r="N853" s="25"/>
    </row>
    <row r="854" spans="9:14">
      <c r="I854" s="45"/>
      <c r="N854" s="25"/>
    </row>
    <row r="855" spans="9:14">
      <c r="I855" s="45"/>
      <c r="N855" s="25"/>
    </row>
    <row r="856" spans="9:14">
      <c r="I856" s="45"/>
      <c r="N856" s="25"/>
    </row>
    <row r="857" spans="9:14">
      <c r="I857" s="45"/>
      <c r="N857" s="25"/>
    </row>
    <row r="858" spans="9:14">
      <c r="I858" s="45"/>
      <c r="N858" s="25"/>
    </row>
    <row r="859" spans="9:14">
      <c r="I859" s="45"/>
      <c r="N859" s="25"/>
    </row>
    <row r="860" spans="9:14">
      <c r="I860" s="45"/>
      <c r="N860" s="25"/>
    </row>
    <row r="861" spans="9:14">
      <c r="I861" s="45"/>
      <c r="N861" s="25"/>
    </row>
    <row r="862" spans="9:14">
      <c r="I862" s="45"/>
      <c r="N862" s="25"/>
    </row>
    <row r="863" spans="9:14">
      <c r="I863" s="45"/>
      <c r="N863" s="25"/>
    </row>
    <row r="864" spans="9:14">
      <c r="I864" s="45"/>
      <c r="N864" s="25"/>
    </row>
    <row r="865" spans="9:14">
      <c r="I865" s="45"/>
      <c r="N865" s="25"/>
    </row>
    <row r="866" spans="9:14">
      <c r="I866" s="45"/>
      <c r="N866" s="25"/>
    </row>
    <row r="867" spans="9:14">
      <c r="I867" s="45"/>
      <c r="N867" s="25"/>
    </row>
    <row r="868" spans="9:14">
      <c r="I868" s="45"/>
      <c r="N868" s="25"/>
    </row>
    <row r="869" spans="9:14">
      <c r="I869" s="45"/>
      <c r="N869" s="25"/>
    </row>
    <row r="870" spans="9:14">
      <c r="I870" s="45"/>
      <c r="N870" s="25"/>
    </row>
    <row r="871" spans="9:14">
      <c r="I871" s="45"/>
      <c r="N871" s="25"/>
    </row>
    <row r="872" spans="9:14">
      <c r="I872" s="45"/>
      <c r="N872" s="25"/>
    </row>
    <row r="873" spans="9:14">
      <c r="I873" s="45"/>
      <c r="N873" s="25"/>
    </row>
    <row r="874" spans="9:14">
      <c r="I874" s="45"/>
      <c r="N874" s="25"/>
    </row>
    <row r="875" spans="9:14">
      <c r="I875" s="45"/>
      <c r="N875" s="25"/>
    </row>
    <row r="876" spans="9:14">
      <c r="I876" s="45"/>
      <c r="N876" s="25"/>
    </row>
    <row r="877" spans="9:14">
      <c r="I877" s="45"/>
      <c r="N877" s="25"/>
    </row>
    <row r="878" spans="9:14">
      <c r="I878" s="45"/>
      <c r="N878" s="25"/>
    </row>
    <row r="879" spans="9:14">
      <c r="I879" s="45"/>
      <c r="N879" s="25"/>
    </row>
    <row r="880" spans="9:14">
      <c r="I880" s="45"/>
      <c r="N880" s="25"/>
    </row>
    <row r="881" spans="9:14">
      <c r="I881" s="45"/>
      <c r="N881" s="25"/>
    </row>
    <row r="882" spans="9:14">
      <c r="I882" s="45"/>
      <c r="N882" s="25"/>
    </row>
    <row r="883" spans="9:14">
      <c r="I883" s="45"/>
      <c r="N883" s="25"/>
    </row>
    <row r="884" spans="9:14">
      <c r="I884" s="45"/>
      <c r="N884" s="25"/>
    </row>
    <row r="885" spans="9:14">
      <c r="I885" s="45"/>
      <c r="N885" s="25"/>
    </row>
    <row r="886" spans="9:14">
      <c r="I886" s="45"/>
      <c r="N886" s="25"/>
    </row>
    <row r="887" spans="9:14">
      <c r="I887" s="45"/>
      <c r="N887" s="25"/>
    </row>
    <row r="888" spans="9:14">
      <c r="I888" s="45"/>
      <c r="N888" s="25"/>
    </row>
    <row r="889" spans="9:14">
      <c r="I889" s="45"/>
      <c r="N889" s="25"/>
    </row>
    <row r="890" spans="9:14">
      <c r="I890" s="45"/>
      <c r="N890" s="25"/>
    </row>
    <row r="891" spans="9:14">
      <c r="I891" s="45"/>
      <c r="N891" s="25"/>
    </row>
    <row r="892" spans="9:14">
      <c r="I892" s="45"/>
      <c r="N892" s="25"/>
    </row>
    <row r="893" spans="9:14">
      <c r="I893" s="45"/>
      <c r="N893" s="25"/>
    </row>
    <row r="894" spans="9:14">
      <c r="I894" s="45"/>
      <c r="N894" s="25"/>
    </row>
    <row r="895" spans="9:14">
      <c r="I895" s="45"/>
      <c r="N895" s="25"/>
    </row>
    <row r="896" spans="9:14">
      <c r="I896" s="45"/>
      <c r="N896" s="25"/>
    </row>
    <row r="897" spans="9:14">
      <c r="I897" s="45"/>
      <c r="N897" s="25"/>
    </row>
    <row r="898" spans="9:14">
      <c r="I898" s="45"/>
      <c r="N898" s="25"/>
    </row>
    <row r="899" spans="9:14">
      <c r="I899" s="45"/>
      <c r="N899" s="25"/>
    </row>
    <row r="900" spans="9:14">
      <c r="I900" s="45"/>
      <c r="N900" s="25"/>
    </row>
    <row r="901" spans="9:14">
      <c r="I901" s="45"/>
      <c r="N901" s="25"/>
    </row>
    <row r="902" spans="9:14">
      <c r="I902" s="45"/>
      <c r="N902" s="25"/>
    </row>
    <row r="903" spans="9:14">
      <c r="I903" s="45"/>
      <c r="N903" s="25"/>
    </row>
    <row r="904" spans="9:14">
      <c r="I904" s="45"/>
      <c r="N904" s="25"/>
    </row>
    <row r="905" spans="9:14">
      <c r="I905" s="45"/>
      <c r="N905" s="25"/>
    </row>
    <row r="906" spans="9:14">
      <c r="I906" s="45"/>
      <c r="N906" s="25"/>
    </row>
    <row r="907" spans="9:14">
      <c r="I907" s="45"/>
      <c r="N907" s="25"/>
    </row>
    <row r="908" spans="9:14">
      <c r="I908" s="45"/>
      <c r="N908" s="25"/>
    </row>
    <row r="909" spans="9:14">
      <c r="I909" s="45"/>
      <c r="N909" s="25"/>
    </row>
    <row r="910" spans="9:14">
      <c r="I910" s="45"/>
      <c r="N910" s="25"/>
    </row>
    <row r="911" spans="9:14">
      <c r="I911" s="45"/>
      <c r="N911" s="25"/>
    </row>
    <row r="912" spans="9:14">
      <c r="I912" s="45"/>
      <c r="N912" s="25"/>
    </row>
    <row r="913" spans="9:14">
      <c r="I913" s="45"/>
      <c r="N913" s="25"/>
    </row>
    <row r="914" spans="9:14">
      <c r="I914" s="45"/>
      <c r="N914" s="25"/>
    </row>
    <row r="915" spans="9:14">
      <c r="I915" s="45"/>
      <c r="N915" s="25"/>
    </row>
    <row r="916" spans="9:14">
      <c r="I916" s="45"/>
      <c r="N916" s="25"/>
    </row>
    <row r="917" spans="9:14">
      <c r="I917" s="45"/>
      <c r="N917" s="25"/>
    </row>
    <row r="918" spans="9:14">
      <c r="I918" s="45"/>
      <c r="N918" s="25"/>
    </row>
    <row r="1048505" spans="12:12">
      <c r="L1048505" s="9"/>
    </row>
    <row r="1048506" spans="12:12">
      <c r="L1048506" s="9"/>
    </row>
    <row r="1048507" spans="12:12">
      <c r="L1048507" s="9"/>
    </row>
    <row r="1048508" spans="12:12">
      <c r="L1048508" s="9"/>
    </row>
    <row r="1048509" spans="12:12">
      <c r="L1048509" s="9"/>
    </row>
    <row r="1048510" spans="12:12">
      <c r="L1048510" s="9"/>
    </row>
    <row r="1048511" spans="12:12">
      <c r="L1048511" s="9"/>
    </row>
    <row r="1048512" spans="12:12">
      <c r="L1048512" s="9"/>
    </row>
    <row r="1048513" spans="12:12">
      <c r="L1048513" s="9"/>
    </row>
    <row r="1048514" spans="12:12">
      <c r="L1048514" s="9"/>
    </row>
    <row r="1048515" spans="12:12">
      <c r="L1048515" s="9"/>
    </row>
    <row r="1048516" spans="12:12">
      <c r="L1048516" s="9"/>
    </row>
    <row r="1048517" spans="12:12">
      <c r="L1048517" s="9"/>
    </row>
    <row r="1048518" spans="12:12">
      <c r="L1048518" s="9"/>
    </row>
    <row r="1048519" spans="12:12">
      <c r="L1048519" s="9"/>
    </row>
    <row r="1048520" spans="12:12">
      <c r="L1048520" s="9"/>
    </row>
  </sheetData>
  <phoneticPr fontId="10" type="noConversion"/>
  <conditionalFormatting sqref="A2:A879">
    <cfRule type="cellIs" dxfId="7" priority="6" operator="equal">
      <formula>"USCITA"</formula>
    </cfRule>
    <cfRule type="cellIs" dxfId="6" priority="7" operator="equal">
      <formula>"ENTRATA"</formula>
    </cfRule>
  </conditionalFormatting>
  <conditionalFormatting sqref="T2:T972">
    <cfRule type="cellIs" dxfId="5" priority="3" operator="equal">
      <formula>"TRASFERITO"</formula>
    </cfRule>
  </conditionalFormatting>
  <conditionalFormatting sqref="A2:A1048576">
    <cfRule type="cellIs" dxfId="4" priority="1" operator="equal">
      <formula>"TRASFERIMENTO"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462DC512-6538-425C-BF62-A66DC0229D14}">
          <x14:formula1>
            <xm:f>GUIDA_USO!$M$99:$M$108</xm:f>
          </x14:formula1>
          <xm:sqref>K2:K251 K253:K289 K1132:K1048576</xm:sqref>
        </x14:dataValidation>
        <x14:dataValidation type="list" allowBlank="1" showInputMessage="1" showErrorMessage="1" xr:uid="{4F2ADB6F-380E-457D-AC38-96F50241A1DE}">
          <x14:formula1>
            <xm:f>GUIDA_USO!$M$99:$M$109</xm:f>
          </x14:formula1>
          <xm:sqref>K252</xm:sqref>
        </x14:dataValidation>
        <x14:dataValidation type="list" allowBlank="1" showInputMessage="1" showErrorMessage="1" xr:uid="{B74F2D7B-E5E9-4973-B68B-2FB30C3CFC70}">
          <x14:formula1>
            <xm:f>GUIDA_USO!$P$87:$P$90</xm:f>
          </x14:formula1>
          <xm:sqref>N2:N255 N269:N270 N282:N459</xm:sqref>
        </x14:dataValidation>
        <x14:dataValidation type="list" allowBlank="1" showInputMessage="1" showErrorMessage="1" xr:uid="{9BD80A7E-F8C4-45DA-B952-BB0C73BC22EB}">
          <x14:formula1>
            <xm:f>GUIDA_USO!$K$99:$K$102</xm:f>
          </x14:formula1>
          <xm:sqref>I2:I295 I297:I377 I382:I384 J405:J408 I394:I404 I410:I433</xm:sqref>
        </x14:dataValidation>
        <x14:dataValidation type="list" allowBlank="1" showInputMessage="1" showErrorMessage="1" xr:uid="{5D0D70A9-43E9-4B44-BFE2-9A20A43A07F7}">
          <x14:formula1>
            <xm:f>GUIDA_USO!$L$99:$L$101</xm:f>
          </x14:formula1>
          <xm:sqref>J2:J295 J297 J303:J377 K405:K408 J382:J404 J409:J1048576</xm:sqref>
        </x14:dataValidation>
        <x14:dataValidation type="list" allowBlank="1" showInputMessage="1" showErrorMessage="1" xr:uid="{F21A1207-ED40-4983-B033-78D69F3752FB}">
          <x14:formula1>
            <xm:f>GUIDA_USO!$N$99:$N$100</xm:f>
          </x14:formula1>
          <xm:sqref>L2:L294 L459:L1048576 L297:L456</xm:sqref>
        </x14:dataValidation>
        <x14:dataValidation type="list" allowBlank="1" showInputMessage="1" showErrorMessage="1" xr:uid="{6703DEC9-E596-4682-A0EE-495B2452DE1C}">
          <x14:formula1>
            <xm:f>GUIDA_USO!$M$99:$M$1068</xm:f>
          </x14:formula1>
          <xm:sqref>K290:K295 K297:K377 K382:K1131</xm:sqref>
        </x14:dataValidation>
        <x14:dataValidation type="list" allowBlank="1" showInputMessage="1" showErrorMessage="1" xr:uid="{3A2597F0-8605-4CA9-BC67-D144D1AE22EF}">
          <x14:formula1>
            <xm:f>GUIDA_USO!$L$87:$L$88</xm:f>
          </x14:formula1>
          <xm:sqref>A2:A401</xm:sqref>
        </x14:dataValidation>
        <x14:dataValidation type="list" allowBlank="1" showInputMessage="1" showErrorMessage="1" xr:uid="{B26FDFF5-EC0E-4104-A46E-EE7B53A66951}">
          <x14:formula1>
            <xm:f>GUIDA_USO!$L$87:$L$89</xm:f>
          </x14:formula1>
          <xm:sqref>A402:A1048576</xm:sqref>
        </x14:dataValidation>
        <x14:dataValidation type="list" allowBlank="1" showInputMessage="1" showErrorMessage="1" xr:uid="{92ED845E-5CF7-4F6C-9907-ACB40B8BD486}">
          <x14:formula1>
            <xm:f>GUIDA_USO!$K$99:$K$103</xm:f>
          </x14:formula1>
          <xm:sqref>I409 I434:I1048576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4">
    <tabColor theme="5" tint="-0.499984740745262"/>
    <pageSetUpPr fitToPage="1"/>
  </sheetPr>
  <dimension ref="A1:S302"/>
  <sheetViews>
    <sheetView zoomScale="140" zoomScaleNormal="140" workbookViewId="0">
      <pane ySplit="1" topLeftCell="A2" activePane="bottomLeft" state="frozen"/>
      <selection pane="bottomLeft" activeCell="D24" sqref="A1:L301"/>
    </sheetView>
  </sheetViews>
  <sheetFormatPr baseColWidth="10" defaultColWidth="8.83203125" defaultRowHeight="15"/>
  <cols>
    <col min="1" max="1" width="14" style="9" bestFit="1" customWidth="1"/>
    <col min="2" max="4" width="17.33203125" style="9" bestFit="1" customWidth="1"/>
    <col min="5" max="5" width="13.33203125" style="9" bestFit="1" customWidth="1"/>
    <col min="6" max="6" width="13.6640625" style="9" bestFit="1" customWidth="1"/>
    <col min="7" max="7" width="9.5" style="9" bestFit="1" customWidth="1"/>
    <col min="8" max="8" width="9.33203125" style="9" bestFit="1" customWidth="1"/>
    <col min="9" max="9" width="19.5" style="9" bestFit="1" customWidth="1"/>
    <col min="10" max="10" width="18.6640625" style="9" bestFit="1" customWidth="1"/>
    <col min="11" max="11" width="12.6640625" style="9" bestFit="1" customWidth="1"/>
    <col min="12" max="12" width="10.1640625" style="9" bestFit="1" customWidth="1"/>
    <col min="17" max="17" width="20.5" bestFit="1" customWidth="1"/>
    <col min="19" max="19" width="11.5" bestFit="1" customWidth="1"/>
  </cols>
  <sheetData>
    <row r="1" spans="1:19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</row>
    <row r="2" spans="1:19">
      <c r="A2" s="6"/>
      <c r="B2" s="19"/>
      <c r="C2" s="19"/>
      <c r="D2" s="19"/>
      <c r="E2" s="10"/>
      <c r="F2" s="22"/>
      <c r="G2" s="49"/>
      <c r="H2" s="50"/>
      <c r="I2" s="20"/>
      <c r="J2" s="20"/>
      <c r="K2" s="20"/>
    </row>
    <row r="3" spans="1:19">
      <c r="A3" s="6"/>
      <c r="B3" s="19"/>
      <c r="C3" s="19"/>
      <c r="D3" s="19"/>
      <c r="E3" s="10"/>
      <c r="F3" s="22"/>
      <c r="G3" s="51"/>
      <c r="H3" s="51"/>
      <c r="I3" s="20"/>
      <c r="J3" s="20"/>
      <c r="K3" s="20"/>
    </row>
    <row r="4" spans="1:19">
      <c r="A4" s="6"/>
      <c r="B4" s="19"/>
      <c r="C4" s="19"/>
      <c r="D4" s="19"/>
      <c r="E4" s="10"/>
      <c r="F4" s="22"/>
      <c r="G4" s="51"/>
      <c r="H4" s="51"/>
      <c r="I4" s="20"/>
      <c r="J4" s="20"/>
      <c r="K4" s="20"/>
    </row>
    <row r="5" spans="1:19">
      <c r="A5" s="6"/>
      <c r="B5" s="19"/>
      <c r="C5" s="19"/>
      <c r="D5" s="19"/>
      <c r="E5" s="10"/>
      <c r="F5" s="22"/>
      <c r="G5" s="51"/>
      <c r="H5" s="51"/>
      <c r="I5" s="20"/>
      <c r="J5" s="20"/>
      <c r="K5" s="20"/>
    </row>
    <row r="6" spans="1:19">
      <c r="A6" s="6"/>
      <c r="B6" s="19"/>
      <c r="C6" s="19"/>
      <c r="D6" s="19"/>
      <c r="E6" s="6"/>
      <c r="F6" s="22"/>
      <c r="I6" s="20"/>
      <c r="J6" s="20"/>
      <c r="K6" s="20"/>
    </row>
    <row r="7" spans="1:19">
      <c r="A7" s="6"/>
      <c r="B7" s="19"/>
      <c r="C7" s="19"/>
      <c r="D7" s="19"/>
      <c r="E7" s="10"/>
      <c r="F7" s="22"/>
      <c r="G7" s="51"/>
      <c r="H7" s="51"/>
      <c r="I7" s="20"/>
      <c r="J7" s="20"/>
      <c r="K7" s="20"/>
    </row>
    <row r="8" spans="1:19">
      <c r="A8" s="6"/>
      <c r="B8" s="19"/>
      <c r="C8" s="19"/>
      <c r="D8" s="19"/>
      <c r="E8" s="10"/>
      <c r="F8" s="22"/>
      <c r="G8" s="51"/>
      <c r="H8" s="51"/>
      <c r="I8" s="20"/>
      <c r="J8" s="20"/>
      <c r="K8" s="20"/>
      <c r="N8" s="52"/>
    </row>
    <row r="9" spans="1:19">
      <c r="A9" s="6"/>
      <c r="B9" s="19"/>
      <c r="C9" s="19"/>
      <c r="D9" s="19"/>
      <c r="E9" s="10"/>
      <c r="F9" s="22"/>
      <c r="G9" s="51"/>
      <c r="H9" s="51"/>
      <c r="I9" s="20"/>
      <c r="J9" s="20"/>
      <c r="K9" s="20"/>
      <c r="S9" s="53"/>
    </row>
    <row r="10" spans="1:19">
      <c r="A10" s="6"/>
      <c r="B10" s="19"/>
      <c r="C10" s="19"/>
      <c r="D10" s="19"/>
      <c r="E10" s="10"/>
      <c r="F10" s="22"/>
      <c r="G10" s="51"/>
      <c r="H10" s="51"/>
      <c r="I10" s="20"/>
      <c r="J10" s="20"/>
      <c r="K10" s="20"/>
      <c r="S10" s="53"/>
    </row>
    <row r="11" spans="1:19">
      <c r="A11" s="6"/>
      <c r="B11" s="19"/>
      <c r="C11" s="19"/>
      <c r="D11" s="19"/>
      <c r="E11" s="10"/>
      <c r="F11" s="22"/>
      <c r="G11" s="51"/>
      <c r="H11" s="68"/>
      <c r="I11" s="20"/>
      <c r="J11" s="20"/>
      <c r="K11" s="20"/>
      <c r="S11" s="53"/>
    </row>
    <row r="12" spans="1:19">
      <c r="A12" s="6"/>
      <c r="B12" s="19"/>
      <c r="C12" s="19"/>
      <c r="D12" s="19"/>
      <c r="E12" s="10"/>
      <c r="F12" s="22"/>
      <c r="G12" s="51"/>
      <c r="H12" s="51"/>
      <c r="I12" s="20"/>
      <c r="J12" s="20"/>
      <c r="K12" s="20"/>
      <c r="S12" s="53"/>
    </row>
    <row r="13" spans="1:19">
      <c r="A13" s="6"/>
      <c r="B13" s="19"/>
      <c r="C13" s="19"/>
      <c r="D13" s="19"/>
      <c r="E13" s="10"/>
      <c r="F13" s="22"/>
      <c r="I13" s="20"/>
      <c r="J13" s="20"/>
      <c r="K13" s="20"/>
      <c r="S13" s="53"/>
    </row>
    <row r="14" spans="1:19">
      <c r="A14" s="6"/>
      <c r="B14" s="19"/>
      <c r="C14" s="19"/>
      <c r="D14" s="19"/>
      <c r="E14" s="10"/>
      <c r="F14" s="22"/>
      <c r="I14" s="20"/>
      <c r="J14" s="20"/>
      <c r="K14" s="20"/>
      <c r="S14" s="53"/>
    </row>
    <row r="15" spans="1:19">
      <c r="A15" s="6"/>
      <c r="B15" s="19"/>
      <c r="C15" s="19"/>
      <c r="D15" s="19"/>
      <c r="E15" s="10"/>
      <c r="F15" s="22"/>
      <c r="I15" s="20"/>
      <c r="J15" s="20"/>
      <c r="K15" s="20"/>
    </row>
    <row r="16" spans="1:19">
      <c r="A16" s="6"/>
      <c r="B16" s="19"/>
      <c r="C16" s="19"/>
      <c r="D16" s="19"/>
      <c r="E16" s="10"/>
      <c r="F16" s="22"/>
      <c r="I16" s="20"/>
      <c r="J16" s="20"/>
      <c r="K16" s="20"/>
    </row>
    <row r="17" spans="1:19">
      <c r="A17" s="6"/>
      <c r="B17" s="19"/>
      <c r="C17" s="19"/>
      <c r="D17" s="19"/>
      <c r="E17" s="10"/>
      <c r="F17" s="22"/>
      <c r="I17" s="20"/>
      <c r="J17" s="20"/>
      <c r="K17" s="20"/>
    </row>
    <row r="18" spans="1:19">
      <c r="A18" s="6"/>
      <c r="B18" s="19"/>
      <c r="C18" s="19"/>
      <c r="D18" s="19"/>
      <c r="E18" s="10"/>
      <c r="F18" s="22"/>
      <c r="I18" s="20"/>
      <c r="J18" s="20"/>
      <c r="K18" s="20"/>
    </row>
    <row r="19" spans="1:19">
      <c r="A19" s="6"/>
      <c r="B19" s="19"/>
      <c r="C19" s="19"/>
      <c r="D19" s="19"/>
      <c r="E19" s="10"/>
      <c r="F19" s="22"/>
      <c r="I19" s="20"/>
      <c r="J19" s="20"/>
      <c r="K19" s="20"/>
      <c r="N19" s="54"/>
    </row>
    <row r="20" spans="1:19">
      <c r="A20" s="6"/>
      <c r="B20" s="19"/>
      <c r="C20" s="19"/>
      <c r="D20" s="19"/>
      <c r="E20" s="10"/>
      <c r="F20" s="22"/>
      <c r="I20" s="20"/>
      <c r="J20" s="20"/>
      <c r="K20" s="20"/>
      <c r="N20" s="54"/>
      <c r="S20" s="53"/>
    </row>
    <row r="21" spans="1:19">
      <c r="A21" s="6"/>
      <c r="B21" s="19"/>
      <c r="C21" s="19"/>
      <c r="D21" s="19"/>
      <c r="E21" s="10"/>
      <c r="F21" s="22"/>
      <c r="I21" s="20"/>
      <c r="J21" s="20"/>
      <c r="K21" s="20"/>
      <c r="N21" s="54"/>
    </row>
    <row r="22" spans="1:19">
      <c r="A22" s="6"/>
      <c r="B22" s="19"/>
      <c r="C22" s="19"/>
      <c r="D22" s="19"/>
      <c r="E22" s="10"/>
      <c r="F22" s="22"/>
      <c r="I22" s="20"/>
      <c r="J22" s="20"/>
      <c r="K22" s="20"/>
      <c r="S22" s="53"/>
    </row>
    <row r="23" spans="1:19">
      <c r="A23" s="6"/>
      <c r="B23" s="19"/>
      <c r="C23" s="19"/>
      <c r="D23" s="19"/>
      <c r="E23" s="10"/>
      <c r="F23" s="22"/>
      <c r="I23" s="20"/>
      <c r="J23" s="20"/>
      <c r="K23" s="20"/>
      <c r="S23" s="53"/>
    </row>
    <row r="24" spans="1:19">
      <c r="A24" s="6"/>
      <c r="B24" s="19"/>
      <c r="C24" s="19"/>
      <c r="D24" s="19"/>
      <c r="E24" s="10"/>
      <c r="F24" s="22"/>
      <c r="I24" s="20"/>
      <c r="J24" s="20"/>
      <c r="K24" s="20"/>
      <c r="S24" s="53"/>
    </row>
    <row r="25" spans="1:19">
      <c r="A25" s="6"/>
      <c r="B25" s="19"/>
      <c r="C25" s="19"/>
      <c r="D25" s="19"/>
      <c r="E25" s="10"/>
      <c r="F25" s="22"/>
      <c r="G25" s="51"/>
      <c r="I25" s="20"/>
      <c r="J25" s="20"/>
      <c r="K25" s="20"/>
      <c r="S25" s="53"/>
    </row>
    <row r="26" spans="1:19">
      <c r="A26" s="6"/>
      <c r="B26" s="19"/>
      <c r="C26" s="19"/>
      <c r="D26" s="19"/>
      <c r="E26" s="10"/>
      <c r="F26" s="22"/>
      <c r="I26" s="20"/>
      <c r="J26" s="20"/>
      <c r="K26" s="20"/>
    </row>
    <row r="27" spans="1:19">
      <c r="A27" s="6"/>
      <c r="B27" s="19"/>
      <c r="C27" s="19"/>
      <c r="D27" s="19"/>
      <c r="E27" s="10"/>
      <c r="F27" s="22"/>
      <c r="I27" s="20"/>
      <c r="J27" s="20"/>
      <c r="K27" s="20"/>
    </row>
    <row r="28" spans="1:19">
      <c r="A28" s="6"/>
      <c r="B28" s="19"/>
      <c r="C28" s="19"/>
      <c r="D28" s="19"/>
      <c r="E28" s="10"/>
      <c r="F28" s="22"/>
      <c r="I28" s="20"/>
      <c r="J28" s="20"/>
      <c r="K28" s="20"/>
    </row>
    <row r="29" spans="1:19">
      <c r="A29" s="6"/>
      <c r="B29" s="19"/>
      <c r="C29" s="19"/>
      <c r="D29" s="19"/>
      <c r="E29" s="10"/>
      <c r="F29" s="22"/>
      <c r="I29" s="20"/>
      <c r="J29" s="20"/>
      <c r="K29" s="20"/>
      <c r="N29" s="144"/>
      <c r="O29" s="144"/>
      <c r="Q29" s="55"/>
    </row>
    <row r="30" spans="1:19">
      <c r="A30" s="6"/>
      <c r="B30" s="19"/>
      <c r="C30" s="19"/>
      <c r="D30" s="19"/>
      <c r="E30" s="10"/>
      <c r="F30" s="22"/>
      <c r="I30" s="20"/>
      <c r="J30" s="20"/>
      <c r="K30" s="20"/>
    </row>
    <row r="31" spans="1:19">
      <c r="A31" s="6"/>
      <c r="B31" s="19"/>
      <c r="C31" s="19"/>
      <c r="D31" s="19"/>
      <c r="E31" s="10"/>
      <c r="F31" s="22"/>
      <c r="I31" s="20"/>
      <c r="J31" s="20"/>
      <c r="K31" s="20"/>
    </row>
    <row r="32" spans="1:19">
      <c r="A32" s="6"/>
      <c r="B32" s="19"/>
      <c r="C32" s="19"/>
      <c r="D32" s="19"/>
      <c r="E32" s="10"/>
      <c r="F32" s="22"/>
      <c r="I32" s="20"/>
      <c r="J32" s="20"/>
      <c r="K32" s="20"/>
    </row>
    <row r="33" spans="1:11">
      <c r="A33" s="6"/>
      <c r="B33" s="19"/>
      <c r="C33" s="19"/>
      <c r="D33" s="19"/>
      <c r="E33" s="10"/>
      <c r="F33" s="22"/>
      <c r="I33" s="20"/>
      <c r="J33" s="20"/>
      <c r="K33" s="20"/>
    </row>
    <row r="34" spans="1:11">
      <c r="A34" s="6"/>
      <c r="B34" s="19"/>
      <c r="C34" s="19"/>
      <c r="D34" s="19"/>
      <c r="E34" s="10"/>
      <c r="F34" s="22"/>
      <c r="I34" s="20"/>
      <c r="J34" s="20"/>
      <c r="K34" s="20"/>
    </row>
    <row r="35" spans="1:11">
      <c r="A35" s="6"/>
      <c r="B35" s="19"/>
      <c r="C35" s="19"/>
      <c r="D35" s="19"/>
      <c r="E35" s="10"/>
      <c r="F35" s="22"/>
      <c r="I35" s="20"/>
      <c r="J35" s="20"/>
      <c r="K35" s="20"/>
    </row>
    <row r="36" spans="1:11">
      <c r="A36" s="6"/>
      <c r="B36" s="19"/>
      <c r="C36" s="19"/>
      <c r="D36" s="19"/>
      <c r="E36" s="10"/>
      <c r="F36" s="22"/>
      <c r="I36" s="20"/>
      <c r="J36" s="20"/>
      <c r="K36" s="20"/>
    </row>
    <row r="37" spans="1:11">
      <c r="A37" s="6"/>
      <c r="B37" s="19"/>
      <c r="C37" s="19"/>
      <c r="D37" s="19"/>
      <c r="E37" s="10"/>
      <c r="F37" s="22"/>
      <c r="I37" s="20"/>
      <c r="J37" s="20"/>
      <c r="K37" s="20"/>
    </row>
    <row r="38" spans="1:11">
      <c r="A38" s="6"/>
      <c r="B38" s="19"/>
      <c r="C38" s="19"/>
      <c r="D38" s="19"/>
      <c r="E38" s="10"/>
      <c r="F38" s="22"/>
      <c r="I38" s="20"/>
      <c r="J38" s="20"/>
      <c r="K38" s="20"/>
    </row>
    <row r="39" spans="1:11">
      <c r="A39" s="6"/>
      <c r="B39" s="19"/>
      <c r="C39" s="19"/>
      <c r="D39" s="19"/>
      <c r="E39" s="10"/>
      <c r="F39" s="22"/>
      <c r="I39" s="20"/>
      <c r="J39" s="20"/>
      <c r="K39" s="20"/>
    </row>
    <row r="40" spans="1:11">
      <c r="A40" s="6"/>
      <c r="B40" s="19"/>
      <c r="C40" s="19"/>
      <c r="D40" s="19"/>
      <c r="E40" s="10"/>
      <c r="F40" s="22"/>
      <c r="I40" s="20"/>
      <c r="J40" s="20"/>
      <c r="K40" s="20"/>
    </row>
    <row r="41" spans="1:11">
      <c r="A41" s="6"/>
      <c r="B41" s="19"/>
      <c r="C41" s="19"/>
      <c r="D41" s="19"/>
      <c r="E41" s="10"/>
      <c r="F41" s="22"/>
      <c r="I41" s="20"/>
      <c r="J41" s="20"/>
      <c r="K41" s="20"/>
    </row>
    <row r="42" spans="1:11">
      <c r="A42" s="6"/>
      <c r="B42" s="19"/>
      <c r="C42" s="19"/>
      <c r="D42" s="19"/>
      <c r="E42" s="10"/>
      <c r="F42" s="22"/>
      <c r="I42" s="20"/>
      <c r="J42" s="20"/>
      <c r="K42" s="20"/>
    </row>
    <row r="43" spans="1:11">
      <c r="A43" s="6"/>
      <c r="B43" s="19"/>
      <c r="C43" s="19"/>
      <c r="D43" s="19"/>
      <c r="E43" s="10"/>
      <c r="F43" s="22"/>
      <c r="I43" s="20"/>
      <c r="J43" s="20"/>
      <c r="K43" s="20"/>
    </row>
    <row r="44" spans="1:11">
      <c r="A44" s="6"/>
      <c r="B44" s="19"/>
      <c r="C44" s="19"/>
      <c r="D44" s="19"/>
      <c r="E44" s="10"/>
      <c r="F44" s="22"/>
      <c r="I44" s="20"/>
      <c r="J44" s="20"/>
      <c r="K44" s="20"/>
    </row>
    <row r="45" spans="1:11">
      <c r="A45" s="6"/>
      <c r="B45" s="19"/>
      <c r="C45" s="19"/>
      <c r="D45" s="19"/>
      <c r="E45" s="10"/>
      <c r="F45" s="22"/>
      <c r="I45" s="20"/>
      <c r="J45" s="20"/>
      <c r="K45" s="20"/>
    </row>
    <row r="46" spans="1:11">
      <c r="A46" s="6"/>
      <c r="B46" s="19"/>
      <c r="C46" s="19"/>
      <c r="D46" s="19"/>
      <c r="E46" s="10"/>
      <c r="F46" s="22"/>
      <c r="I46" s="20"/>
      <c r="J46" s="20"/>
      <c r="K46" s="20"/>
    </row>
    <row r="47" spans="1:11">
      <c r="A47" s="6"/>
      <c r="B47" s="19"/>
      <c r="C47" s="19"/>
      <c r="D47" s="19"/>
      <c r="E47" s="10"/>
      <c r="F47" s="22"/>
      <c r="I47" s="20"/>
      <c r="J47" s="20"/>
      <c r="K47" s="20"/>
    </row>
    <row r="48" spans="1:11">
      <c r="A48" s="6"/>
      <c r="B48" s="19"/>
      <c r="C48" s="19"/>
      <c r="D48" s="19"/>
      <c r="E48" s="10"/>
      <c r="F48" s="22"/>
      <c r="I48" s="20"/>
      <c r="J48" s="20"/>
      <c r="K48" s="20"/>
    </row>
    <row r="49" spans="1:11">
      <c r="A49" s="6"/>
      <c r="B49" s="19"/>
      <c r="C49" s="19"/>
      <c r="D49" s="19"/>
      <c r="E49" s="10"/>
      <c r="F49" s="22"/>
      <c r="I49" s="20"/>
      <c r="J49" s="20"/>
      <c r="K49" s="20"/>
    </row>
    <row r="50" spans="1:11">
      <c r="A50" s="6"/>
      <c r="B50" s="19"/>
      <c r="C50" s="19"/>
      <c r="D50" s="19"/>
      <c r="E50" s="10"/>
      <c r="F50" s="22"/>
      <c r="I50" s="20"/>
      <c r="J50" s="20"/>
      <c r="K50" s="20"/>
    </row>
    <row r="51" spans="1:11">
      <c r="A51" s="6"/>
      <c r="B51" s="19"/>
      <c r="C51" s="19"/>
      <c r="D51" s="19"/>
      <c r="E51" s="10"/>
      <c r="F51" s="22"/>
      <c r="I51" s="20"/>
      <c r="J51" s="20"/>
      <c r="K51" s="20"/>
    </row>
    <row r="52" spans="1:11">
      <c r="A52" s="6"/>
      <c r="B52" s="19"/>
      <c r="C52" s="19"/>
      <c r="D52" s="19"/>
      <c r="E52" s="10"/>
      <c r="F52" s="22"/>
      <c r="I52" s="20"/>
      <c r="J52" s="20"/>
      <c r="K52" s="20"/>
    </row>
    <row r="53" spans="1:11">
      <c r="A53" s="6"/>
      <c r="B53" s="19"/>
      <c r="C53" s="19"/>
      <c r="D53" s="19"/>
      <c r="E53" s="10"/>
      <c r="F53" s="22"/>
      <c r="I53" s="20"/>
      <c r="J53" s="20"/>
      <c r="K53" s="20"/>
    </row>
    <row r="54" spans="1:11">
      <c r="A54" s="6"/>
      <c r="B54" s="19"/>
      <c r="C54" s="19"/>
      <c r="D54" s="19"/>
      <c r="E54" s="10"/>
      <c r="F54" s="22"/>
      <c r="I54" s="20"/>
      <c r="J54" s="20"/>
      <c r="K54" s="20"/>
    </row>
    <row r="55" spans="1:11">
      <c r="A55" s="6"/>
      <c r="B55" s="19"/>
      <c r="C55" s="19"/>
      <c r="D55" s="19"/>
      <c r="E55" s="10"/>
      <c r="F55" s="22"/>
      <c r="I55" s="20"/>
      <c r="J55" s="20"/>
      <c r="K55" s="20"/>
    </row>
    <row r="56" spans="1:11">
      <c r="A56" s="6"/>
      <c r="B56" s="19"/>
      <c r="C56" s="19"/>
      <c r="D56" s="19"/>
      <c r="E56" s="10"/>
      <c r="F56" s="22"/>
      <c r="I56" s="20"/>
      <c r="J56" s="20"/>
      <c r="K56" s="20"/>
    </row>
    <row r="57" spans="1:11">
      <c r="A57" s="6"/>
      <c r="B57" s="19"/>
      <c r="C57" s="19"/>
      <c r="D57" s="19"/>
      <c r="E57" s="10"/>
      <c r="F57" s="22"/>
      <c r="I57" s="20"/>
      <c r="J57" s="20"/>
      <c r="K57" s="20"/>
    </row>
    <row r="58" spans="1:11">
      <c r="A58" s="6"/>
      <c r="B58" s="19"/>
      <c r="C58" s="19"/>
      <c r="D58" s="19"/>
      <c r="E58" s="10"/>
      <c r="F58" s="22"/>
      <c r="I58" s="20"/>
      <c r="J58" s="20"/>
      <c r="K58" s="20"/>
    </row>
    <row r="59" spans="1:11">
      <c r="A59" s="6"/>
      <c r="B59" s="19"/>
      <c r="C59" s="19"/>
      <c r="D59" s="19"/>
      <c r="E59" s="10"/>
      <c r="F59" s="22"/>
      <c r="I59" s="20"/>
      <c r="J59" s="20"/>
      <c r="K59" s="20"/>
    </row>
    <row r="60" spans="1:11">
      <c r="A60" s="6"/>
      <c r="B60" s="19"/>
      <c r="C60" s="19"/>
      <c r="D60" s="19"/>
      <c r="E60" s="10"/>
      <c r="F60" s="22"/>
      <c r="I60" s="20"/>
      <c r="J60" s="20"/>
      <c r="K60" s="20"/>
    </row>
    <row r="61" spans="1:11">
      <c r="A61" s="6"/>
      <c r="B61" s="19"/>
      <c r="C61" s="19"/>
      <c r="D61" s="19"/>
      <c r="E61" s="10"/>
      <c r="F61" s="22"/>
      <c r="I61" s="20"/>
      <c r="J61" s="20"/>
      <c r="K61" s="20"/>
    </row>
    <row r="62" spans="1:11">
      <c r="A62" s="6"/>
      <c r="B62" s="19"/>
      <c r="C62" s="19"/>
      <c r="D62" s="19"/>
      <c r="E62" s="10"/>
      <c r="F62" s="22"/>
      <c r="I62" s="20"/>
      <c r="J62" s="20"/>
      <c r="K62" s="20"/>
    </row>
    <row r="63" spans="1:11">
      <c r="A63" s="6"/>
      <c r="B63" s="19"/>
      <c r="C63" s="19"/>
      <c r="D63" s="19"/>
      <c r="E63" s="10"/>
      <c r="F63" s="22"/>
      <c r="I63" s="20"/>
      <c r="J63" s="20"/>
      <c r="K63" s="20"/>
    </row>
    <row r="64" spans="1:11">
      <c r="A64" s="6"/>
      <c r="B64" s="19"/>
      <c r="C64" s="19"/>
      <c r="D64" s="19"/>
      <c r="E64" s="10"/>
      <c r="F64" s="22"/>
      <c r="I64" s="20"/>
      <c r="J64" s="20"/>
      <c r="K64" s="20"/>
    </row>
    <row r="65" spans="1:11">
      <c r="A65" s="6"/>
      <c r="B65" s="19"/>
      <c r="C65" s="19"/>
      <c r="D65" s="19"/>
      <c r="E65" s="10"/>
      <c r="F65" s="22"/>
      <c r="I65" s="20"/>
      <c r="J65" s="20"/>
      <c r="K65" s="20"/>
    </row>
    <row r="66" spans="1:11">
      <c r="A66" s="6"/>
      <c r="B66" s="19"/>
      <c r="C66" s="19"/>
      <c r="D66" s="19"/>
      <c r="E66" s="10"/>
      <c r="F66" s="22"/>
      <c r="I66" s="20"/>
      <c r="J66" s="20"/>
      <c r="K66" s="20"/>
    </row>
    <row r="67" spans="1:11">
      <c r="A67" s="6"/>
      <c r="B67" s="19"/>
      <c r="C67" s="19"/>
      <c r="D67" s="19"/>
      <c r="E67" s="10"/>
      <c r="F67" s="22"/>
      <c r="I67" s="20"/>
      <c r="J67" s="20"/>
      <c r="K67" s="20"/>
    </row>
    <row r="68" spans="1:11">
      <c r="A68" s="6"/>
      <c r="B68" s="19"/>
      <c r="C68" s="19"/>
      <c r="D68" s="19"/>
      <c r="E68" s="10"/>
      <c r="F68" s="22"/>
      <c r="I68" s="20"/>
      <c r="J68" s="20"/>
      <c r="K68" s="20"/>
    </row>
    <row r="69" spans="1:11">
      <c r="A69" s="6"/>
      <c r="B69" s="19"/>
      <c r="C69" s="19"/>
      <c r="D69" s="19"/>
      <c r="E69" s="10"/>
      <c r="F69" s="22"/>
      <c r="I69" s="20"/>
      <c r="J69" s="20"/>
      <c r="K69" s="20"/>
    </row>
    <row r="70" spans="1:11">
      <c r="A70" s="6"/>
      <c r="B70" s="19"/>
      <c r="C70" s="19"/>
      <c r="D70" s="19"/>
      <c r="E70" s="10"/>
      <c r="F70" s="22"/>
      <c r="I70" s="20"/>
      <c r="J70" s="20"/>
      <c r="K70" s="20"/>
    </row>
    <row r="71" spans="1:11">
      <c r="A71" s="6"/>
      <c r="B71" s="19"/>
      <c r="C71" s="19"/>
      <c r="D71" s="19"/>
      <c r="E71" s="10"/>
      <c r="F71" s="22"/>
      <c r="I71" s="20"/>
      <c r="J71" s="20"/>
      <c r="K71" s="20"/>
    </row>
    <row r="72" spans="1:11">
      <c r="A72" s="6"/>
      <c r="B72" s="19"/>
      <c r="C72" s="19"/>
      <c r="D72" s="19"/>
      <c r="E72" s="10"/>
      <c r="F72" s="22"/>
      <c r="I72" s="20"/>
      <c r="J72" s="20"/>
      <c r="K72" s="20"/>
    </row>
    <row r="73" spans="1:11">
      <c r="A73" s="6"/>
      <c r="B73" s="19"/>
      <c r="C73" s="19"/>
      <c r="D73" s="19"/>
      <c r="E73" s="10"/>
      <c r="F73" s="22"/>
      <c r="I73" s="20"/>
      <c r="J73" s="20"/>
      <c r="K73" s="20"/>
    </row>
    <row r="74" spans="1:11">
      <c r="A74" s="6"/>
      <c r="B74" s="19"/>
      <c r="C74" s="19"/>
      <c r="D74" s="19"/>
      <c r="E74" s="10"/>
      <c r="F74" s="22"/>
      <c r="I74" s="20"/>
      <c r="J74" s="20"/>
      <c r="K74" s="20"/>
    </row>
    <row r="75" spans="1:11">
      <c r="A75" s="6"/>
      <c r="B75" s="19"/>
      <c r="C75" s="19"/>
      <c r="D75" s="19"/>
      <c r="E75" s="10"/>
      <c r="F75" s="22"/>
      <c r="I75" s="20"/>
      <c r="J75" s="20"/>
      <c r="K75" s="20"/>
    </row>
    <row r="76" spans="1:11">
      <c r="A76" s="6"/>
      <c r="B76" s="19"/>
      <c r="C76" s="19"/>
      <c r="D76" s="19"/>
      <c r="E76" s="10"/>
      <c r="F76" s="22"/>
      <c r="I76" s="20"/>
      <c r="J76" s="20"/>
      <c r="K76" s="20"/>
    </row>
    <row r="77" spans="1:11">
      <c r="A77" s="6"/>
      <c r="B77" s="19"/>
      <c r="C77" s="19"/>
      <c r="D77" s="19"/>
      <c r="E77" s="10"/>
      <c r="F77" s="22"/>
      <c r="I77" s="20"/>
      <c r="J77" s="20"/>
      <c r="K77" s="20"/>
    </row>
    <row r="78" spans="1:11">
      <c r="A78" s="6"/>
      <c r="B78" s="19"/>
      <c r="C78" s="19"/>
      <c r="D78" s="19"/>
      <c r="E78" s="10"/>
      <c r="F78" s="22"/>
      <c r="I78" s="20"/>
      <c r="J78" s="20"/>
      <c r="K78" s="20"/>
    </row>
    <row r="79" spans="1:11">
      <c r="A79" s="6"/>
      <c r="B79" s="19"/>
      <c r="C79" s="19"/>
      <c r="D79" s="19"/>
      <c r="E79" s="10"/>
      <c r="F79" s="22"/>
      <c r="I79" s="20"/>
      <c r="J79" s="20"/>
      <c r="K79" s="20"/>
    </row>
    <row r="80" spans="1:11">
      <c r="A80" s="6"/>
      <c r="B80" s="19"/>
      <c r="C80" s="19"/>
      <c r="D80" s="19"/>
      <c r="E80" s="10"/>
      <c r="F80" s="22"/>
      <c r="I80" s="20"/>
      <c r="J80" s="20"/>
      <c r="K80" s="20"/>
    </row>
    <row r="81" spans="1:11">
      <c r="A81" s="6"/>
      <c r="B81" s="19"/>
      <c r="C81" s="19"/>
      <c r="D81" s="19"/>
      <c r="E81" s="10"/>
      <c r="F81" s="22"/>
      <c r="I81" s="20"/>
      <c r="J81" s="20"/>
      <c r="K81" s="20"/>
    </row>
    <row r="82" spans="1:11">
      <c r="A82" s="6"/>
      <c r="B82" s="19"/>
      <c r="C82" s="19"/>
      <c r="D82" s="19"/>
      <c r="E82" s="10"/>
      <c r="F82" s="22"/>
      <c r="I82" s="20"/>
      <c r="J82" s="20"/>
      <c r="K82" s="20"/>
    </row>
    <row r="83" spans="1:11">
      <c r="A83" s="6"/>
      <c r="B83" s="19"/>
      <c r="C83" s="19"/>
      <c r="D83" s="19"/>
      <c r="E83" s="10"/>
      <c r="F83" s="22"/>
      <c r="I83" s="20"/>
      <c r="J83" s="20"/>
      <c r="K83" s="20"/>
    </row>
    <row r="84" spans="1:11">
      <c r="A84" s="6"/>
      <c r="B84" s="19"/>
      <c r="C84" s="19"/>
      <c r="D84" s="19"/>
      <c r="E84" s="10"/>
      <c r="F84" s="22"/>
      <c r="I84" s="20"/>
      <c r="J84" s="20"/>
      <c r="K84" s="20"/>
    </row>
    <row r="85" spans="1:11">
      <c r="A85" s="6"/>
      <c r="B85" s="19"/>
      <c r="C85" s="19"/>
      <c r="D85" s="19"/>
      <c r="E85" s="10"/>
      <c r="F85" s="22"/>
      <c r="I85" s="20"/>
      <c r="J85" s="20"/>
      <c r="K85" s="20"/>
    </row>
    <row r="86" spans="1:11">
      <c r="A86" s="6"/>
      <c r="B86" s="19"/>
      <c r="C86" s="19"/>
      <c r="D86" s="19"/>
      <c r="E86" s="10"/>
      <c r="F86" s="22"/>
      <c r="I86" s="20"/>
      <c r="J86" s="20"/>
      <c r="K86" s="20"/>
    </row>
    <row r="87" spans="1:11">
      <c r="A87" s="6"/>
      <c r="B87" s="19"/>
      <c r="C87" s="19"/>
      <c r="D87" s="19"/>
      <c r="E87" s="10"/>
      <c r="F87" s="22"/>
      <c r="I87" s="20"/>
      <c r="J87" s="20"/>
      <c r="K87" s="20"/>
    </row>
    <row r="88" spans="1:11">
      <c r="A88" s="6"/>
      <c r="B88" s="19"/>
      <c r="C88" s="19"/>
      <c r="D88" s="19"/>
      <c r="E88" s="10"/>
      <c r="F88" s="22"/>
      <c r="I88" s="20"/>
      <c r="J88" s="20"/>
      <c r="K88" s="20"/>
    </row>
    <row r="89" spans="1:11">
      <c r="A89" s="6"/>
      <c r="B89" s="19"/>
      <c r="C89" s="19"/>
      <c r="D89" s="19"/>
      <c r="E89" s="10"/>
      <c r="F89" s="22"/>
      <c r="I89" s="20"/>
      <c r="J89" s="20"/>
      <c r="K89" s="20"/>
    </row>
    <row r="90" spans="1:11">
      <c r="A90" s="6"/>
      <c r="B90" s="19"/>
      <c r="C90" s="19"/>
      <c r="D90" s="19"/>
      <c r="E90" s="10"/>
      <c r="F90" s="22"/>
      <c r="I90" s="20"/>
      <c r="J90" s="20"/>
      <c r="K90" s="20"/>
    </row>
    <row r="91" spans="1:11">
      <c r="A91" s="6"/>
      <c r="B91" s="19"/>
      <c r="C91" s="19"/>
      <c r="D91" s="19"/>
      <c r="E91" s="10"/>
      <c r="F91" s="22"/>
      <c r="I91" s="20"/>
      <c r="J91" s="20"/>
      <c r="K91" s="20"/>
    </row>
    <row r="92" spans="1:11">
      <c r="A92" s="6"/>
      <c r="B92" s="19"/>
      <c r="C92" s="19"/>
      <c r="D92" s="19"/>
      <c r="E92" s="10"/>
      <c r="F92" s="22"/>
      <c r="I92" s="20"/>
      <c r="J92" s="20"/>
      <c r="K92" s="20"/>
    </row>
    <row r="93" spans="1:11">
      <c r="A93" s="6"/>
      <c r="B93" s="19"/>
      <c r="C93" s="19"/>
      <c r="D93" s="19"/>
      <c r="E93" s="10"/>
      <c r="F93" s="22"/>
      <c r="I93" s="20"/>
      <c r="J93" s="20"/>
      <c r="K93" s="20"/>
    </row>
    <row r="94" spans="1:11">
      <c r="A94" s="6"/>
      <c r="B94" s="19"/>
      <c r="C94" s="19"/>
      <c r="D94" s="19"/>
      <c r="E94" s="10"/>
      <c r="F94" s="22"/>
      <c r="I94" s="20"/>
      <c r="J94" s="20"/>
      <c r="K94" s="20"/>
    </row>
    <row r="95" spans="1:11">
      <c r="A95" s="6"/>
      <c r="B95" s="19"/>
      <c r="C95" s="19"/>
      <c r="D95" s="19"/>
      <c r="E95" s="10"/>
      <c r="F95" s="22"/>
      <c r="I95" s="20"/>
      <c r="J95" s="20"/>
      <c r="K95" s="20"/>
    </row>
    <row r="96" spans="1:11">
      <c r="A96" s="6"/>
      <c r="B96" s="19"/>
      <c r="C96" s="19"/>
      <c r="D96" s="19"/>
      <c r="E96" s="10"/>
      <c r="F96" s="22"/>
      <c r="I96" s="20"/>
      <c r="J96" s="20"/>
      <c r="K96" s="20"/>
    </row>
    <row r="97" spans="1:11">
      <c r="A97" s="6"/>
      <c r="B97" s="19"/>
      <c r="C97" s="19"/>
      <c r="D97" s="19"/>
      <c r="E97" s="10"/>
      <c r="F97" s="22"/>
      <c r="I97" s="20"/>
      <c r="J97" s="20"/>
      <c r="K97" s="20"/>
    </row>
    <row r="98" spans="1:11">
      <c r="A98" s="6"/>
      <c r="B98" s="19"/>
      <c r="C98" s="19"/>
      <c r="D98" s="19"/>
      <c r="E98" s="10"/>
      <c r="F98" s="22"/>
      <c r="I98" s="20"/>
      <c r="J98" s="20"/>
      <c r="K98" s="20"/>
    </row>
    <row r="99" spans="1:11">
      <c r="A99" s="6"/>
      <c r="B99" s="19"/>
      <c r="C99" s="19"/>
      <c r="D99" s="19"/>
      <c r="E99" s="10"/>
      <c r="F99" s="22"/>
      <c r="I99" s="20"/>
      <c r="J99" s="20"/>
      <c r="K99" s="20"/>
    </row>
    <row r="100" spans="1:11">
      <c r="A100" s="6"/>
      <c r="B100" s="19"/>
      <c r="C100" s="19"/>
      <c r="D100" s="19"/>
      <c r="E100" s="10"/>
      <c r="F100" s="22"/>
      <c r="I100" s="20"/>
      <c r="J100" s="20"/>
      <c r="K100" s="20"/>
    </row>
    <row r="101" spans="1:11">
      <c r="A101" s="6"/>
      <c r="B101" s="19"/>
      <c r="C101" s="19"/>
      <c r="D101" s="19"/>
      <c r="E101" s="10"/>
      <c r="F101" s="22"/>
      <c r="I101" s="20"/>
      <c r="J101" s="20"/>
      <c r="K101" s="20"/>
    </row>
    <row r="102" spans="1:11">
      <c r="A102" s="6"/>
      <c r="B102" s="19"/>
      <c r="C102" s="19"/>
      <c r="D102" s="19"/>
      <c r="E102" s="10"/>
      <c r="F102" s="22"/>
      <c r="I102" s="20"/>
      <c r="J102" s="20"/>
      <c r="K102" s="20"/>
    </row>
    <row r="103" spans="1:11">
      <c r="A103" s="6"/>
      <c r="B103" s="19"/>
      <c r="C103" s="19"/>
      <c r="D103" s="19"/>
      <c r="E103" s="10"/>
      <c r="F103" s="22"/>
      <c r="I103" s="20"/>
      <c r="J103" s="20"/>
      <c r="K103" s="20"/>
    </row>
    <row r="104" spans="1:11">
      <c r="A104" s="6"/>
      <c r="B104" s="19"/>
      <c r="C104" s="19"/>
      <c r="D104" s="19"/>
      <c r="E104" s="10"/>
      <c r="F104" s="22"/>
      <c r="I104" s="20"/>
      <c r="J104" s="20"/>
      <c r="K104" s="20"/>
    </row>
    <row r="105" spans="1:11">
      <c r="A105" s="6"/>
      <c r="B105" s="19"/>
      <c r="C105" s="19"/>
      <c r="D105" s="19"/>
      <c r="E105" s="10"/>
      <c r="F105" s="22"/>
      <c r="I105" s="20"/>
      <c r="J105" s="20"/>
      <c r="K105" s="20"/>
    </row>
    <row r="106" spans="1:11">
      <c r="A106" s="6"/>
      <c r="B106" s="19"/>
      <c r="C106" s="19"/>
      <c r="D106" s="19"/>
      <c r="E106" s="10"/>
      <c r="F106" s="22"/>
      <c r="I106" s="20"/>
      <c r="J106" s="20"/>
      <c r="K106" s="20"/>
    </row>
    <row r="107" spans="1:11">
      <c r="A107" s="6"/>
      <c r="B107" s="19"/>
      <c r="C107" s="19"/>
      <c r="D107" s="19"/>
      <c r="E107" s="10"/>
      <c r="F107" s="22"/>
      <c r="I107" s="20"/>
      <c r="J107" s="20"/>
      <c r="K107" s="20"/>
    </row>
    <row r="108" spans="1:11">
      <c r="A108" s="6"/>
      <c r="B108" s="19"/>
      <c r="C108" s="19"/>
      <c r="D108" s="19"/>
      <c r="E108" s="10"/>
      <c r="F108" s="22"/>
      <c r="I108" s="20"/>
      <c r="J108" s="20"/>
      <c r="K108" s="20"/>
    </row>
    <row r="109" spans="1:11">
      <c r="A109" s="6"/>
      <c r="B109" s="19"/>
      <c r="C109" s="19"/>
      <c r="D109" s="19"/>
      <c r="E109" s="10"/>
      <c r="F109" s="22"/>
      <c r="I109" s="20"/>
      <c r="J109" s="20"/>
      <c r="K109" s="20"/>
    </row>
    <row r="110" spans="1:11">
      <c r="A110" s="6"/>
      <c r="B110" s="19"/>
      <c r="C110" s="19"/>
      <c r="D110" s="19"/>
      <c r="E110" s="10"/>
      <c r="F110" s="22"/>
      <c r="I110" s="20"/>
      <c r="J110" s="20"/>
      <c r="K110" s="20"/>
    </row>
    <row r="111" spans="1:11">
      <c r="A111" s="6"/>
      <c r="B111" s="19"/>
      <c r="C111" s="19"/>
      <c r="D111" s="19"/>
      <c r="E111" s="10"/>
      <c r="F111" s="22"/>
      <c r="I111" s="20"/>
      <c r="J111" s="20"/>
      <c r="K111" s="20"/>
    </row>
    <row r="112" spans="1:11">
      <c r="A112" s="6"/>
      <c r="B112" s="19"/>
      <c r="C112" s="19"/>
      <c r="D112" s="19"/>
      <c r="E112" s="10"/>
      <c r="F112" s="22"/>
      <c r="I112" s="20"/>
      <c r="J112" s="20"/>
      <c r="K112" s="20"/>
    </row>
    <row r="113" spans="1:11">
      <c r="A113" s="6"/>
      <c r="B113" s="19"/>
      <c r="C113" s="19"/>
      <c r="D113" s="19"/>
      <c r="E113" s="10"/>
      <c r="F113" s="22"/>
      <c r="I113" s="20"/>
      <c r="J113" s="20"/>
      <c r="K113" s="20"/>
    </row>
    <row r="114" spans="1:11">
      <c r="A114" s="6"/>
      <c r="B114" s="19"/>
      <c r="C114" s="19"/>
      <c r="D114" s="19"/>
      <c r="E114" s="10"/>
      <c r="F114" s="22"/>
      <c r="I114" s="20"/>
      <c r="J114" s="20"/>
      <c r="K114" s="20"/>
    </row>
    <row r="115" spans="1:11">
      <c r="A115" s="6"/>
      <c r="B115" s="19"/>
      <c r="C115" s="19"/>
      <c r="D115" s="19"/>
      <c r="E115" s="10"/>
      <c r="F115" s="22"/>
      <c r="I115" s="20"/>
      <c r="J115" s="20"/>
      <c r="K115" s="20"/>
    </row>
    <row r="116" spans="1:11">
      <c r="A116" s="6"/>
      <c r="B116" s="19"/>
      <c r="C116" s="19"/>
      <c r="D116" s="19"/>
      <c r="E116" s="10"/>
      <c r="F116" s="22"/>
      <c r="I116" s="20"/>
      <c r="J116" s="20"/>
      <c r="K116" s="20"/>
    </row>
    <row r="117" spans="1:11">
      <c r="A117" s="6"/>
      <c r="B117" s="19"/>
      <c r="C117" s="19"/>
      <c r="D117" s="19"/>
      <c r="E117" s="10"/>
      <c r="F117" s="22"/>
      <c r="I117" s="20"/>
      <c r="J117" s="20"/>
      <c r="K117" s="20"/>
    </row>
    <row r="118" spans="1:11">
      <c r="A118" s="6"/>
      <c r="B118" s="19"/>
      <c r="C118" s="19"/>
      <c r="D118" s="19"/>
      <c r="E118" s="10"/>
      <c r="F118" s="22"/>
      <c r="I118" s="20"/>
      <c r="J118" s="20"/>
      <c r="K118" s="20"/>
    </row>
    <row r="119" spans="1:11">
      <c r="A119" s="6"/>
      <c r="B119" s="19"/>
      <c r="C119" s="19"/>
      <c r="D119" s="19"/>
      <c r="E119" s="10"/>
      <c r="F119" s="22"/>
      <c r="I119" s="20"/>
      <c r="J119" s="20"/>
      <c r="K119" s="20"/>
    </row>
    <row r="120" spans="1:11">
      <c r="A120" s="6"/>
      <c r="B120" s="19"/>
      <c r="C120" s="19"/>
      <c r="D120" s="19"/>
      <c r="E120" s="10"/>
      <c r="F120" s="22"/>
      <c r="I120" s="20"/>
      <c r="J120" s="20"/>
      <c r="K120" s="20"/>
    </row>
    <row r="121" spans="1:11">
      <c r="A121" s="6"/>
      <c r="B121" s="19"/>
      <c r="C121" s="19"/>
      <c r="D121" s="19"/>
      <c r="E121" s="10"/>
      <c r="F121" s="22"/>
      <c r="I121" s="20"/>
      <c r="J121" s="20"/>
      <c r="K121" s="20"/>
    </row>
    <row r="122" spans="1:11">
      <c r="A122" s="6"/>
      <c r="B122" s="19"/>
      <c r="C122" s="19"/>
      <c r="D122" s="19"/>
      <c r="E122" s="10"/>
      <c r="F122" s="22"/>
      <c r="I122" s="20"/>
      <c r="J122" s="20"/>
      <c r="K122" s="20"/>
    </row>
    <row r="123" spans="1:11">
      <c r="A123" s="6"/>
      <c r="B123" s="19"/>
      <c r="C123" s="19"/>
      <c r="D123" s="19"/>
      <c r="E123" s="10"/>
      <c r="F123" s="22"/>
      <c r="I123" s="20"/>
      <c r="J123" s="20"/>
      <c r="K123" s="20"/>
    </row>
    <row r="124" spans="1:11">
      <c r="A124" s="6"/>
      <c r="B124" s="19"/>
      <c r="C124" s="19"/>
      <c r="D124" s="19"/>
      <c r="E124" s="10"/>
      <c r="F124" s="22"/>
      <c r="I124" s="20"/>
      <c r="J124" s="20"/>
      <c r="K124" s="20"/>
    </row>
    <row r="125" spans="1:11">
      <c r="A125" s="6"/>
      <c r="B125" s="19"/>
      <c r="C125" s="19"/>
      <c r="D125" s="19"/>
      <c r="E125" s="10"/>
      <c r="F125" s="22"/>
      <c r="I125" s="20"/>
      <c r="J125" s="20"/>
      <c r="K125" s="20"/>
    </row>
    <row r="126" spans="1:11">
      <c r="A126" s="6"/>
      <c r="B126" s="19"/>
      <c r="C126" s="19"/>
      <c r="D126" s="19"/>
      <c r="E126" s="10"/>
      <c r="F126" s="22"/>
      <c r="I126" s="20"/>
      <c r="J126" s="20"/>
      <c r="K126" s="20"/>
    </row>
    <row r="127" spans="1:11">
      <c r="A127" s="6"/>
      <c r="B127" s="19"/>
      <c r="C127" s="19"/>
      <c r="D127" s="19"/>
      <c r="E127" s="10"/>
      <c r="F127" s="22"/>
      <c r="I127" s="20"/>
      <c r="J127" s="20"/>
      <c r="K127" s="20"/>
    </row>
    <row r="128" spans="1:11">
      <c r="A128" s="6"/>
      <c r="B128" s="19"/>
      <c r="C128" s="19"/>
      <c r="D128" s="19"/>
      <c r="E128" s="10"/>
      <c r="F128" s="22"/>
      <c r="I128" s="20"/>
      <c r="J128" s="20"/>
      <c r="K128" s="20"/>
    </row>
    <row r="129" spans="1:11">
      <c r="A129" s="6"/>
      <c r="B129" s="19"/>
      <c r="C129" s="19"/>
      <c r="D129" s="19"/>
      <c r="E129" s="10"/>
      <c r="F129" s="22"/>
      <c r="I129" s="20"/>
      <c r="J129" s="20"/>
      <c r="K129" s="20"/>
    </row>
    <row r="130" spans="1:11">
      <c r="A130" s="6"/>
      <c r="B130" s="19"/>
      <c r="C130" s="19"/>
      <c r="D130" s="19"/>
      <c r="E130" s="10"/>
      <c r="F130" s="22"/>
      <c r="I130" s="20"/>
      <c r="J130" s="20"/>
      <c r="K130" s="20"/>
    </row>
    <row r="131" spans="1:11">
      <c r="A131" s="6"/>
      <c r="B131" s="19"/>
      <c r="C131" s="19"/>
      <c r="D131" s="19"/>
      <c r="E131" s="10"/>
      <c r="F131" s="22"/>
      <c r="I131" s="20"/>
      <c r="J131" s="20"/>
      <c r="K131" s="20"/>
    </row>
    <row r="132" spans="1:11">
      <c r="A132" s="6"/>
      <c r="B132" s="19"/>
      <c r="C132" s="19"/>
      <c r="D132" s="19"/>
      <c r="E132" s="10"/>
      <c r="F132" s="22"/>
      <c r="I132" s="20"/>
      <c r="J132" s="20"/>
      <c r="K132" s="20"/>
    </row>
    <row r="133" spans="1:11">
      <c r="A133" s="6"/>
      <c r="B133" s="19"/>
      <c r="C133" s="19"/>
      <c r="D133" s="19"/>
      <c r="E133" s="10"/>
      <c r="F133" s="22"/>
      <c r="I133" s="20"/>
      <c r="J133" s="20"/>
      <c r="K133" s="20"/>
    </row>
    <row r="134" spans="1:11">
      <c r="A134" s="6"/>
      <c r="B134" s="19"/>
      <c r="C134" s="19"/>
      <c r="D134" s="19"/>
      <c r="E134" s="10"/>
      <c r="F134" s="22"/>
      <c r="I134" s="20"/>
      <c r="J134" s="20"/>
      <c r="K134" s="20"/>
    </row>
    <row r="135" spans="1:11">
      <c r="A135" s="6"/>
      <c r="B135" s="19"/>
      <c r="C135" s="19"/>
      <c r="D135" s="19"/>
      <c r="E135" s="10"/>
      <c r="F135" s="22"/>
      <c r="I135" s="20"/>
      <c r="J135" s="20"/>
      <c r="K135" s="20"/>
    </row>
    <row r="136" spans="1:11">
      <c r="A136" s="6"/>
      <c r="B136" s="19"/>
      <c r="C136" s="19"/>
      <c r="D136" s="19"/>
      <c r="E136" s="10"/>
      <c r="F136" s="22"/>
      <c r="I136" s="20"/>
      <c r="J136" s="20"/>
      <c r="K136" s="20"/>
    </row>
    <row r="137" spans="1:11">
      <c r="A137" s="6"/>
      <c r="B137" s="19"/>
      <c r="C137" s="19"/>
      <c r="D137" s="19"/>
      <c r="E137" s="10"/>
      <c r="F137" s="22"/>
      <c r="I137" s="20"/>
      <c r="J137" s="20"/>
      <c r="K137" s="20"/>
    </row>
    <row r="138" spans="1:11">
      <c r="A138" s="6"/>
      <c r="B138" s="19"/>
      <c r="C138" s="19"/>
      <c r="D138" s="19"/>
      <c r="E138" s="10"/>
      <c r="F138" s="22"/>
      <c r="I138" s="20"/>
      <c r="J138" s="20"/>
      <c r="K138" s="20"/>
    </row>
    <row r="139" spans="1:11">
      <c r="A139" s="6"/>
      <c r="B139" s="19"/>
      <c r="C139" s="19"/>
      <c r="D139" s="19"/>
      <c r="E139" s="10"/>
      <c r="F139" s="22"/>
      <c r="I139" s="20"/>
      <c r="J139" s="20"/>
      <c r="K139" s="20"/>
    </row>
    <row r="140" spans="1:11">
      <c r="A140" s="6"/>
      <c r="B140" s="19"/>
      <c r="C140" s="19"/>
      <c r="D140" s="19"/>
      <c r="E140" s="10"/>
      <c r="F140" s="22"/>
      <c r="I140" s="20"/>
      <c r="J140" s="20"/>
      <c r="K140" s="20"/>
    </row>
    <row r="141" spans="1:11">
      <c r="A141" s="6"/>
      <c r="B141" s="19"/>
      <c r="C141" s="19"/>
      <c r="D141" s="19"/>
      <c r="E141" s="10"/>
      <c r="F141" s="22"/>
      <c r="I141" s="20"/>
      <c r="J141" s="20"/>
      <c r="K141" s="20"/>
    </row>
    <row r="142" spans="1:11">
      <c r="A142" s="6"/>
      <c r="B142" s="19"/>
      <c r="C142" s="19"/>
      <c r="D142" s="19"/>
      <c r="E142" s="10"/>
      <c r="F142" s="22"/>
      <c r="I142" s="20"/>
      <c r="J142" s="20"/>
      <c r="K142" s="20"/>
    </row>
    <row r="143" spans="1:11">
      <c r="A143" s="6"/>
      <c r="B143" s="19"/>
      <c r="C143" s="19"/>
      <c r="D143" s="19"/>
      <c r="E143" s="10"/>
      <c r="F143" s="22"/>
      <c r="I143" s="20"/>
      <c r="J143" s="20"/>
      <c r="K143" s="20"/>
    </row>
    <row r="144" spans="1:11">
      <c r="A144" s="6"/>
      <c r="B144" s="19"/>
      <c r="C144" s="19"/>
      <c r="D144" s="19"/>
      <c r="E144" s="10"/>
      <c r="F144" s="22"/>
      <c r="I144" s="20"/>
      <c r="J144" s="20"/>
      <c r="K144" s="20"/>
    </row>
    <row r="145" spans="1:11">
      <c r="A145" s="6"/>
      <c r="B145" s="19"/>
      <c r="C145" s="19"/>
      <c r="D145" s="19"/>
      <c r="E145" s="10"/>
      <c r="F145" s="22"/>
      <c r="I145" s="20"/>
      <c r="J145" s="20"/>
      <c r="K145" s="20"/>
    </row>
    <row r="146" spans="1:11">
      <c r="A146" s="6"/>
      <c r="B146" s="19"/>
      <c r="C146" s="19"/>
      <c r="D146" s="19"/>
      <c r="E146" s="10"/>
      <c r="F146" s="22"/>
      <c r="I146" s="20"/>
      <c r="J146" s="20"/>
      <c r="K146" s="20"/>
    </row>
    <row r="147" spans="1:11">
      <c r="A147" s="6"/>
      <c r="B147" s="19"/>
      <c r="C147" s="19"/>
      <c r="D147" s="19"/>
      <c r="E147" s="10"/>
      <c r="F147" s="22"/>
      <c r="I147" s="20"/>
      <c r="J147" s="20"/>
      <c r="K147" s="20"/>
    </row>
    <row r="148" spans="1:11">
      <c r="A148" s="6"/>
      <c r="B148" s="19"/>
      <c r="C148" s="19"/>
      <c r="D148" s="19"/>
      <c r="E148" s="10"/>
      <c r="F148" s="22"/>
      <c r="I148" s="20"/>
      <c r="J148" s="20"/>
      <c r="K148" s="20"/>
    </row>
    <row r="149" spans="1:11">
      <c r="A149" s="6"/>
      <c r="B149" s="19"/>
      <c r="C149" s="19"/>
      <c r="D149" s="19"/>
      <c r="E149" s="10"/>
      <c r="F149" s="22"/>
      <c r="I149" s="20"/>
      <c r="J149" s="20"/>
      <c r="K149" s="20"/>
    </row>
    <row r="150" spans="1:11">
      <c r="A150" s="6"/>
      <c r="B150" s="19"/>
      <c r="C150" s="19"/>
      <c r="D150" s="19"/>
      <c r="E150" s="10"/>
      <c r="F150" s="22"/>
      <c r="I150" s="20"/>
      <c r="J150" s="20"/>
      <c r="K150" s="20"/>
    </row>
    <row r="151" spans="1:11">
      <c r="A151" s="6"/>
      <c r="B151" s="19"/>
      <c r="C151" s="19"/>
      <c r="D151" s="19"/>
      <c r="E151" s="10"/>
      <c r="F151" s="22"/>
      <c r="I151" s="20"/>
      <c r="J151" s="20"/>
      <c r="K151" s="20"/>
    </row>
    <row r="152" spans="1:11">
      <c r="A152" s="6"/>
      <c r="B152" s="19"/>
      <c r="C152" s="19"/>
      <c r="D152" s="19"/>
      <c r="E152" s="10"/>
      <c r="F152" s="22"/>
      <c r="I152" s="20"/>
      <c r="J152" s="20"/>
      <c r="K152" s="20"/>
    </row>
    <row r="153" spans="1:11">
      <c r="A153" s="6"/>
      <c r="B153" s="19"/>
      <c r="C153" s="19"/>
      <c r="D153" s="19"/>
      <c r="E153" s="10"/>
      <c r="F153" s="22"/>
      <c r="I153" s="20"/>
      <c r="J153" s="20"/>
      <c r="K153" s="20"/>
    </row>
    <row r="154" spans="1:11">
      <c r="A154" s="6"/>
      <c r="B154" s="19"/>
      <c r="C154" s="19"/>
      <c r="D154" s="19"/>
      <c r="E154" s="10"/>
      <c r="F154" s="22"/>
      <c r="I154" s="20"/>
      <c r="J154" s="20"/>
      <c r="K154" s="20"/>
    </row>
    <row r="155" spans="1:11">
      <c r="A155" s="6"/>
      <c r="B155" s="19"/>
      <c r="C155" s="19"/>
      <c r="D155" s="19"/>
      <c r="E155" s="10"/>
      <c r="F155" s="22"/>
      <c r="I155" s="20"/>
      <c r="J155" s="20"/>
      <c r="K155" s="20"/>
    </row>
    <row r="156" spans="1:11">
      <c r="A156" s="6"/>
      <c r="B156" s="19"/>
      <c r="C156" s="19"/>
      <c r="D156" s="19"/>
      <c r="E156" s="10"/>
      <c r="F156" s="22"/>
      <c r="I156" s="20"/>
      <c r="J156" s="20"/>
      <c r="K156" s="20"/>
    </row>
    <row r="157" spans="1:11">
      <c r="A157" s="6"/>
      <c r="B157" s="19"/>
      <c r="C157" s="19"/>
      <c r="D157" s="19"/>
      <c r="E157" s="10"/>
      <c r="F157" s="22"/>
      <c r="I157" s="20"/>
      <c r="J157" s="20"/>
      <c r="K157" s="20"/>
    </row>
    <row r="158" spans="1:11">
      <c r="A158" s="6"/>
      <c r="B158" s="19"/>
      <c r="C158" s="19"/>
      <c r="D158" s="19"/>
      <c r="E158" s="10"/>
      <c r="F158" s="22"/>
      <c r="I158" s="20"/>
      <c r="J158" s="20"/>
      <c r="K158" s="20"/>
    </row>
    <row r="159" spans="1:11">
      <c r="A159" s="6"/>
      <c r="B159" s="19"/>
      <c r="C159" s="19"/>
      <c r="D159" s="19"/>
      <c r="E159" s="10"/>
      <c r="F159" s="22"/>
      <c r="I159" s="20"/>
      <c r="J159" s="20"/>
      <c r="K159" s="20"/>
    </row>
    <row r="160" spans="1:11">
      <c r="A160" s="6"/>
      <c r="B160" s="19"/>
      <c r="C160" s="19"/>
      <c r="D160" s="19"/>
      <c r="E160" s="10"/>
      <c r="F160" s="22"/>
      <c r="I160" s="20"/>
      <c r="J160" s="20"/>
      <c r="K160" s="20"/>
    </row>
    <row r="161" spans="1:11">
      <c r="A161" s="6"/>
      <c r="B161" s="19"/>
      <c r="C161" s="19"/>
      <c r="D161" s="19"/>
      <c r="E161" s="10"/>
      <c r="F161" s="22"/>
      <c r="I161" s="20"/>
      <c r="J161" s="20"/>
      <c r="K161" s="20"/>
    </row>
    <row r="162" spans="1:11">
      <c r="A162" s="6"/>
      <c r="B162" s="19"/>
      <c r="C162" s="19"/>
      <c r="D162" s="19"/>
      <c r="E162" s="10"/>
      <c r="F162" s="22"/>
      <c r="I162" s="20"/>
      <c r="J162" s="20"/>
      <c r="K162" s="20"/>
    </row>
    <row r="163" spans="1:11">
      <c r="A163" s="6"/>
      <c r="B163" s="19"/>
      <c r="C163" s="19"/>
      <c r="D163" s="19"/>
      <c r="E163" s="10"/>
      <c r="F163" s="22"/>
      <c r="I163" s="20"/>
      <c r="J163" s="20"/>
      <c r="K163" s="20"/>
    </row>
    <row r="164" spans="1:11">
      <c r="A164" s="6"/>
      <c r="B164" s="19"/>
      <c r="C164" s="19"/>
      <c r="D164" s="19"/>
      <c r="E164" s="10"/>
      <c r="F164" s="22"/>
      <c r="I164" s="20"/>
      <c r="J164" s="20"/>
      <c r="K164" s="20"/>
    </row>
    <row r="165" spans="1:11">
      <c r="A165" s="6"/>
      <c r="B165" s="19"/>
      <c r="C165" s="19"/>
      <c r="D165" s="19"/>
      <c r="E165" s="10"/>
      <c r="F165" s="22"/>
      <c r="I165" s="20"/>
      <c r="J165" s="20"/>
      <c r="K165" s="20"/>
    </row>
    <row r="166" spans="1:11">
      <c r="A166" s="6"/>
      <c r="B166" s="19"/>
      <c r="C166" s="19"/>
      <c r="D166" s="19"/>
      <c r="E166" s="10"/>
      <c r="F166" s="22"/>
      <c r="I166" s="20"/>
      <c r="J166" s="20"/>
      <c r="K166" s="20"/>
    </row>
    <row r="167" spans="1:11">
      <c r="A167" s="6"/>
      <c r="B167" s="19"/>
      <c r="C167" s="19"/>
      <c r="D167" s="19"/>
      <c r="E167" s="10"/>
      <c r="F167" s="22"/>
      <c r="I167" s="20"/>
      <c r="J167" s="20"/>
      <c r="K167" s="20"/>
    </row>
    <row r="168" spans="1:11">
      <c r="A168" s="6"/>
      <c r="B168" s="19"/>
      <c r="C168" s="19"/>
      <c r="D168" s="19"/>
      <c r="E168" s="10"/>
      <c r="F168" s="22"/>
      <c r="I168" s="20"/>
      <c r="J168" s="20"/>
      <c r="K168" s="20"/>
    </row>
    <row r="169" spans="1:11">
      <c r="A169" s="6"/>
      <c r="B169" s="19"/>
      <c r="C169" s="19"/>
      <c r="D169" s="19"/>
      <c r="E169" s="10"/>
      <c r="F169" s="22"/>
      <c r="I169" s="20"/>
      <c r="J169" s="20"/>
      <c r="K169" s="20"/>
    </row>
    <row r="170" spans="1:11">
      <c r="A170" s="6"/>
      <c r="B170" s="19"/>
      <c r="C170" s="19"/>
      <c r="D170" s="19"/>
      <c r="E170" s="10"/>
      <c r="F170" s="22"/>
      <c r="I170" s="20"/>
      <c r="J170" s="20"/>
      <c r="K170" s="20"/>
    </row>
    <row r="171" spans="1:11">
      <c r="A171" s="6"/>
      <c r="B171" s="19"/>
      <c r="C171" s="19"/>
      <c r="D171" s="19"/>
      <c r="E171" s="10"/>
      <c r="F171" s="22"/>
      <c r="I171" s="20"/>
      <c r="J171" s="20"/>
      <c r="K171" s="20"/>
    </row>
    <row r="172" spans="1:11">
      <c r="A172" s="6"/>
      <c r="B172" s="19"/>
      <c r="C172" s="19"/>
      <c r="D172" s="19"/>
      <c r="E172" s="10"/>
      <c r="F172" s="22"/>
      <c r="I172" s="20"/>
      <c r="J172" s="20"/>
      <c r="K172" s="20"/>
    </row>
    <row r="173" spans="1:11">
      <c r="A173" s="6"/>
      <c r="B173" s="19"/>
      <c r="C173" s="19"/>
      <c r="D173" s="19"/>
      <c r="E173" s="10"/>
      <c r="F173" s="22"/>
      <c r="I173" s="20"/>
      <c r="J173" s="20"/>
      <c r="K173" s="20"/>
    </row>
    <row r="174" spans="1:11">
      <c r="A174" s="6"/>
      <c r="B174" s="19"/>
      <c r="C174" s="19"/>
      <c r="D174" s="19"/>
      <c r="E174" s="10"/>
      <c r="F174" s="22"/>
      <c r="I174" s="20"/>
      <c r="J174" s="20"/>
      <c r="K174" s="20"/>
    </row>
    <row r="175" spans="1:11">
      <c r="A175" s="6"/>
      <c r="B175" s="19"/>
      <c r="C175" s="19"/>
      <c r="D175" s="19"/>
      <c r="E175" s="10"/>
      <c r="F175" s="22"/>
      <c r="I175" s="20"/>
      <c r="J175" s="20"/>
      <c r="K175" s="20"/>
    </row>
    <row r="176" spans="1:11">
      <c r="A176" s="6"/>
      <c r="B176" s="19"/>
      <c r="C176" s="19"/>
      <c r="D176" s="19"/>
      <c r="E176" s="10"/>
      <c r="F176" s="22"/>
      <c r="I176" s="20"/>
      <c r="J176" s="20"/>
      <c r="K176" s="20"/>
    </row>
    <row r="177" spans="1:11">
      <c r="A177" s="6"/>
      <c r="B177" s="19"/>
      <c r="C177" s="19"/>
      <c r="D177" s="19"/>
      <c r="E177" s="10"/>
      <c r="F177" s="22"/>
      <c r="I177" s="20"/>
      <c r="J177" s="20"/>
      <c r="K177" s="20"/>
    </row>
    <row r="178" spans="1:11">
      <c r="A178" s="6"/>
      <c r="B178" s="19"/>
      <c r="C178" s="19"/>
      <c r="D178" s="19"/>
      <c r="E178" s="10"/>
      <c r="F178" s="22"/>
      <c r="I178" s="20"/>
      <c r="J178" s="20"/>
      <c r="K178" s="20"/>
    </row>
    <row r="179" spans="1:11">
      <c r="A179" s="6"/>
      <c r="B179" s="19"/>
      <c r="C179" s="19"/>
      <c r="D179" s="19"/>
      <c r="E179" s="10"/>
      <c r="F179" s="22"/>
      <c r="I179" s="20"/>
      <c r="J179" s="20"/>
      <c r="K179" s="20"/>
    </row>
    <row r="180" spans="1:11">
      <c r="A180" s="6"/>
      <c r="B180" s="19"/>
      <c r="C180" s="19"/>
      <c r="D180" s="19"/>
      <c r="E180" s="10"/>
      <c r="F180" s="22"/>
      <c r="I180" s="20"/>
      <c r="J180" s="20"/>
      <c r="K180" s="20"/>
    </row>
    <row r="181" spans="1:11">
      <c r="A181" s="6"/>
      <c r="B181" s="19"/>
      <c r="C181" s="19"/>
      <c r="D181" s="19"/>
      <c r="E181" s="10"/>
      <c r="F181" s="22"/>
      <c r="I181" s="20"/>
      <c r="J181" s="20"/>
      <c r="K181" s="20"/>
    </row>
    <row r="182" spans="1:11">
      <c r="A182" s="6"/>
      <c r="B182" s="19"/>
      <c r="C182" s="19"/>
      <c r="D182" s="19"/>
      <c r="E182" s="10"/>
      <c r="F182" s="22"/>
      <c r="I182" s="20"/>
      <c r="J182" s="20"/>
      <c r="K182" s="20"/>
    </row>
    <row r="183" spans="1:11">
      <c r="A183" s="6"/>
      <c r="B183" s="19"/>
      <c r="C183" s="19"/>
      <c r="D183" s="19"/>
      <c r="E183" s="10"/>
      <c r="F183" s="22"/>
      <c r="I183" s="20"/>
      <c r="J183" s="20"/>
      <c r="K183" s="20"/>
    </row>
    <row r="184" spans="1:11">
      <c r="A184" s="6"/>
      <c r="B184" s="19"/>
      <c r="C184" s="19"/>
      <c r="D184" s="19"/>
      <c r="E184" s="10"/>
      <c r="F184" s="22"/>
      <c r="I184" s="20"/>
      <c r="J184" s="20"/>
      <c r="K184" s="20"/>
    </row>
    <row r="185" spans="1:11">
      <c r="A185" s="6"/>
      <c r="B185" s="19"/>
      <c r="C185" s="19"/>
      <c r="D185" s="19"/>
      <c r="E185" s="10"/>
      <c r="F185" s="22"/>
      <c r="I185" s="20"/>
      <c r="J185" s="20"/>
      <c r="K185" s="20"/>
    </row>
    <row r="186" spans="1:11">
      <c r="A186" s="6"/>
      <c r="B186" s="19"/>
      <c r="C186" s="19"/>
      <c r="D186" s="19"/>
      <c r="E186" s="10"/>
      <c r="F186" s="22"/>
      <c r="I186" s="20"/>
      <c r="J186" s="20"/>
      <c r="K186" s="20"/>
    </row>
    <row r="187" spans="1:11">
      <c r="A187" s="6"/>
      <c r="B187" s="19"/>
      <c r="C187" s="19"/>
      <c r="D187" s="19"/>
      <c r="E187" s="10"/>
      <c r="F187" s="22"/>
      <c r="I187" s="20"/>
      <c r="J187" s="20"/>
      <c r="K187" s="20"/>
    </row>
    <row r="188" spans="1:11">
      <c r="A188" s="6"/>
      <c r="B188" s="19"/>
      <c r="C188" s="19"/>
      <c r="D188" s="19"/>
      <c r="E188" s="10"/>
      <c r="F188" s="22"/>
      <c r="I188" s="20"/>
      <c r="J188" s="20"/>
      <c r="K188" s="20"/>
    </row>
    <row r="189" spans="1:11">
      <c r="A189" s="6"/>
      <c r="B189" s="19"/>
      <c r="C189" s="19"/>
      <c r="D189" s="19"/>
      <c r="E189" s="10"/>
      <c r="F189" s="22"/>
      <c r="I189" s="20"/>
      <c r="J189" s="20"/>
      <c r="K189" s="20"/>
    </row>
    <row r="190" spans="1:11">
      <c r="A190" s="6"/>
      <c r="B190" s="19"/>
      <c r="C190" s="19"/>
      <c r="D190" s="19"/>
      <c r="E190" s="10"/>
      <c r="F190" s="22"/>
      <c r="I190" s="20"/>
      <c r="J190" s="20"/>
      <c r="K190" s="20"/>
    </row>
    <row r="191" spans="1:11">
      <c r="A191" s="6"/>
      <c r="B191" s="19"/>
      <c r="C191" s="19"/>
      <c r="D191" s="19"/>
      <c r="E191" s="10"/>
      <c r="F191" s="22"/>
      <c r="I191" s="20"/>
      <c r="J191" s="20"/>
      <c r="K191" s="20"/>
    </row>
    <row r="192" spans="1:11">
      <c r="A192" s="6"/>
      <c r="B192" s="19"/>
      <c r="C192" s="19"/>
      <c r="D192" s="19"/>
      <c r="E192" s="10"/>
      <c r="F192" s="22"/>
      <c r="I192" s="20"/>
      <c r="J192" s="20"/>
      <c r="K192" s="20"/>
    </row>
    <row r="193" spans="1:11">
      <c r="A193" s="6"/>
      <c r="B193" s="19"/>
      <c r="C193" s="19"/>
      <c r="D193" s="19"/>
      <c r="E193" s="10"/>
      <c r="F193" s="22"/>
      <c r="I193" s="20"/>
      <c r="J193" s="20"/>
      <c r="K193" s="20"/>
    </row>
    <row r="194" spans="1:11">
      <c r="A194" s="6"/>
      <c r="B194" s="19"/>
      <c r="C194" s="19"/>
      <c r="D194" s="19"/>
      <c r="E194" s="10"/>
      <c r="F194" s="22"/>
      <c r="I194" s="20"/>
      <c r="J194" s="20"/>
      <c r="K194" s="20"/>
    </row>
    <row r="195" spans="1:11">
      <c r="A195" s="6"/>
      <c r="B195" s="19"/>
      <c r="C195" s="19"/>
      <c r="D195" s="19"/>
      <c r="E195" s="10"/>
      <c r="F195" s="22"/>
      <c r="I195" s="20"/>
      <c r="J195" s="20"/>
      <c r="K195" s="20"/>
    </row>
    <row r="196" spans="1:11">
      <c r="A196" s="6"/>
      <c r="B196" s="19"/>
      <c r="C196" s="19"/>
      <c r="D196" s="19"/>
      <c r="E196" s="10"/>
      <c r="F196" s="22"/>
      <c r="I196" s="20"/>
      <c r="J196" s="20"/>
      <c r="K196" s="20"/>
    </row>
    <row r="197" spans="1:11">
      <c r="A197" s="6"/>
      <c r="B197" s="19"/>
      <c r="C197" s="19"/>
      <c r="D197" s="19"/>
      <c r="E197" s="10"/>
      <c r="F197" s="22"/>
      <c r="I197" s="20"/>
      <c r="J197" s="20"/>
      <c r="K197" s="20"/>
    </row>
    <row r="198" spans="1:11">
      <c r="A198" s="6"/>
      <c r="B198" s="19"/>
      <c r="C198" s="19"/>
      <c r="D198" s="19"/>
      <c r="E198" s="10"/>
      <c r="F198" s="22"/>
      <c r="I198" s="20"/>
      <c r="J198" s="20"/>
      <c r="K198" s="20"/>
    </row>
    <row r="199" spans="1:11">
      <c r="A199" s="6"/>
      <c r="B199" s="19"/>
      <c r="C199" s="19"/>
      <c r="D199" s="19"/>
      <c r="E199" s="10"/>
      <c r="F199" s="22"/>
      <c r="I199" s="20"/>
      <c r="J199" s="20"/>
      <c r="K199" s="20"/>
    </row>
    <row r="200" spans="1:11">
      <c r="A200" s="6"/>
      <c r="B200" s="19"/>
      <c r="C200" s="19"/>
      <c r="D200" s="19"/>
      <c r="E200" s="10"/>
      <c r="F200" s="22"/>
      <c r="I200" s="20"/>
      <c r="J200" s="20"/>
      <c r="K200" s="20"/>
    </row>
    <row r="201" spans="1:11">
      <c r="A201" s="6"/>
      <c r="B201" s="19"/>
      <c r="C201" s="19"/>
      <c r="D201" s="19"/>
      <c r="E201" s="10"/>
      <c r="F201" s="22"/>
      <c r="I201" s="20"/>
      <c r="J201" s="20"/>
      <c r="K201" s="20"/>
    </row>
    <row r="202" spans="1:11">
      <c r="A202" s="6"/>
      <c r="B202" s="19"/>
      <c r="C202" s="19"/>
      <c r="D202" s="19"/>
      <c r="E202" s="10"/>
      <c r="F202" s="22"/>
      <c r="I202" s="20"/>
      <c r="J202" s="20"/>
      <c r="K202" s="20"/>
    </row>
    <row r="203" spans="1:11">
      <c r="A203" s="6"/>
      <c r="B203" s="19"/>
      <c r="C203" s="19"/>
      <c r="D203" s="19"/>
      <c r="E203" s="10"/>
      <c r="F203" s="22"/>
      <c r="I203" s="20"/>
      <c r="J203" s="20"/>
      <c r="K203" s="20"/>
    </row>
    <row r="204" spans="1:11">
      <c r="A204" s="6"/>
      <c r="B204" s="19"/>
      <c r="C204" s="19"/>
      <c r="D204" s="19"/>
      <c r="E204" s="10"/>
      <c r="F204" s="22"/>
      <c r="I204" s="20"/>
      <c r="J204" s="20"/>
      <c r="K204" s="20"/>
    </row>
    <row r="205" spans="1:11">
      <c r="A205" s="6"/>
      <c r="B205" s="19"/>
      <c r="C205" s="19"/>
      <c r="D205" s="19"/>
      <c r="E205" s="10"/>
      <c r="F205" s="22"/>
      <c r="I205" s="20"/>
      <c r="J205" s="20"/>
      <c r="K205" s="20"/>
    </row>
    <row r="206" spans="1:11">
      <c r="A206" s="6"/>
      <c r="B206" s="19"/>
      <c r="C206" s="19"/>
      <c r="D206" s="19"/>
      <c r="E206" s="10"/>
      <c r="F206" s="22"/>
      <c r="I206" s="20"/>
      <c r="J206" s="20"/>
      <c r="K206" s="20"/>
    </row>
    <row r="207" spans="1:11">
      <c r="A207" s="6"/>
      <c r="B207" s="19"/>
      <c r="C207" s="19"/>
      <c r="D207" s="19"/>
      <c r="E207" s="10"/>
      <c r="F207" s="22"/>
      <c r="I207" s="20"/>
      <c r="J207" s="20"/>
      <c r="K207" s="20"/>
    </row>
    <row r="208" spans="1:11">
      <c r="A208" s="6"/>
      <c r="B208" s="19"/>
      <c r="C208" s="19"/>
      <c r="D208" s="19"/>
      <c r="E208" s="10"/>
      <c r="F208" s="22"/>
      <c r="I208" s="20"/>
      <c r="J208" s="20"/>
      <c r="K208" s="20"/>
    </row>
    <row r="209" spans="1:11">
      <c r="A209" s="6"/>
      <c r="B209" s="19"/>
      <c r="C209" s="19"/>
      <c r="D209" s="19"/>
      <c r="E209" s="10"/>
      <c r="F209" s="22"/>
      <c r="I209" s="20"/>
      <c r="J209" s="20"/>
      <c r="K209" s="20"/>
    </row>
    <row r="210" spans="1:11">
      <c r="A210" s="6"/>
      <c r="B210" s="19"/>
      <c r="C210" s="19"/>
      <c r="D210" s="19"/>
      <c r="E210" s="10"/>
      <c r="F210" s="22"/>
      <c r="I210" s="20"/>
      <c r="J210" s="20"/>
      <c r="K210" s="20"/>
    </row>
    <row r="211" spans="1:11">
      <c r="A211" s="6"/>
      <c r="B211" s="19"/>
      <c r="C211" s="19"/>
      <c r="D211" s="19"/>
      <c r="E211" s="10"/>
      <c r="F211" s="22"/>
      <c r="I211" s="20"/>
      <c r="J211" s="20"/>
      <c r="K211" s="20"/>
    </row>
    <row r="212" spans="1:11">
      <c r="A212" s="6"/>
      <c r="B212" s="19"/>
      <c r="C212" s="19"/>
      <c r="D212" s="19"/>
      <c r="E212" s="10"/>
      <c r="F212" s="22"/>
      <c r="I212" s="20"/>
      <c r="J212" s="20"/>
      <c r="K212" s="20"/>
    </row>
    <row r="213" spans="1:11">
      <c r="A213" s="6"/>
      <c r="B213" s="19"/>
      <c r="C213" s="19"/>
      <c r="D213" s="19"/>
      <c r="E213" s="10"/>
      <c r="F213" s="22"/>
      <c r="I213" s="20"/>
      <c r="J213" s="20"/>
      <c r="K213" s="20"/>
    </row>
    <row r="214" spans="1:11">
      <c r="A214" s="6"/>
      <c r="B214" s="19"/>
      <c r="C214" s="19"/>
      <c r="D214" s="19"/>
      <c r="E214" s="10"/>
      <c r="F214" s="22"/>
      <c r="I214" s="20"/>
      <c r="J214" s="20"/>
      <c r="K214" s="20"/>
    </row>
    <row r="215" spans="1:11">
      <c r="A215" s="6"/>
      <c r="B215" s="19"/>
      <c r="C215" s="19"/>
      <c r="D215" s="19"/>
      <c r="E215" s="10"/>
      <c r="F215" s="22"/>
      <c r="I215" s="20"/>
      <c r="J215" s="20"/>
      <c r="K215" s="20"/>
    </row>
    <row r="216" spans="1:11">
      <c r="A216" s="6"/>
      <c r="B216" s="19"/>
      <c r="C216" s="19"/>
      <c r="D216" s="19"/>
      <c r="E216" s="10"/>
      <c r="F216" s="22"/>
      <c r="I216" s="20"/>
      <c r="J216" s="20"/>
      <c r="K216" s="20"/>
    </row>
    <row r="217" spans="1:11">
      <c r="A217" s="6"/>
      <c r="B217" s="19"/>
      <c r="C217" s="19"/>
      <c r="D217" s="19"/>
      <c r="E217" s="10"/>
      <c r="F217" s="22"/>
      <c r="I217" s="20"/>
      <c r="J217" s="20"/>
      <c r="K217" s="20"/>
    </row>
    <row r="218" spans="1:11">
      <c r="A218" s="6"/>
      <c r="B218" s="19"/>
      <c r="C218" s="19"/>
      <c r="D218" s="19"/>
      <c r="E218" s="10"/>
      <c r="F218" s="22"/>
      <c r="I218" s="20"/>
      <c r="J218" s="20"/>
      <c r="K218" s="20"/>
    </row>
    <row r="219" spans="1:11">
      <c r="A219" s="6"/>
      <c r="B219" s="19"/>
      <c r="C219" s="19"/>
      <c r="D219" s="19"/>
      <c r="E219" s="10"/>
      <c r="F219" s="22"/>
      <c r="I219" s="20"/>
      <c r="J219" s="20"/>
      <c r="K219" s="20"/>
    </row>
    <row r="220" spans="1:11">
      <c r="A220" s="6"/>
      <c r="B220" s="19"/>
      <c r="C220" s="19"/>
      <c r="D220" s="19"/>
      <c r="E220" s="10"/>
      <c r="F220" s="22"/>
      <c r="I220" s="20"/>
      <c r="J220" s="20"/>
      <c r="K220" s="20"/>
    </row>
    <row r="221" spans="1:11">
      <c r="A221" s="6"/>
      <c r="B221" s="19"/>
      <c r="C221" s="19"/>
      <c r="D221" s="19"/>
      <c r="E221" s="10"/>
      <c r="F221" s="22"/>
      <c r="I221" s="20"/>
      <c r="J221" s="20"/>
      <c r="K221" s="20"/>
    </row>
    <row r="222" spans="1:11">
      <c r="A222" s="6"/>
      <c r="B222" s="19"/>
      <c r="C222" s="19"/>
      <c r="D222" s="19"/>
      <c r="E222" s="10"/>
      <c r="F222" s="22"/>
      <c r="I222" s="20"/>
      <c r="J222" s="20"/>
      <c r="K222" s="20"/>
    </row>
    <row r="223" spans="1:11">
      <c r="A223" s="6"/>
      <c r="B223" s="19"/>
      <c r="C223" s="19"/>
      <c r="D223" s="19"/>
      <c r="E223" s="10"/>
      <c r="F223" s="22"/>
      <c r="I223" s="20"/>
      <c r="J223" s="20"/>
      <c r="K223" s="20"/>
    </row>
    <row r="224" spans="1:11">
      <c r="A224" s="6"/>
      <c r="B224" s="19"/>
      <c r="C224" s="19"/>
      <c r="D224" s="19"/>
      <c r="E224" s="10"/>
      <c r="F224" s="22"/>
      <c r="I224" s="20"/>
      <c r="J224" s="20"/>
      <c r="K224" s="20"/>
    </row>
    <row r="225" spans="1:11">
      <c r="A225" s="6"/>
      <c r="B225" s="19"/>
      <c r="C225" s="19"/>
      <c r="D225" s="19"/>
      <c r="E225" s="10"/>
      <c r="F225" s="22"/>
      <c r="I225" s="20"/>
      <c r="J225" s="20"/>
      <c r="K225" s="20"/>
    </row>
    <row r="226" spans="1:11">
      <c r="A226" s="6"/>
      <c r="B226" s="19"/>
      <c r="C226" s="19"/>
      <c r="D226" s="19"/>
      <c r="E226" s="10"/>
      <c r="F226" s="22"/>
      <c r="I226" s="20"/>
      <c r="J226" s="20"/>
      <c r="K226" s="20"/>
    </row>
    <row r="227" spans="1:11">
      <c r="A227" s="6"/>
      <c r="B227" s="19"/>
      <c r="C227" s="19"/>
      <c r="D227" s="19"/>
      <c r="E227" s="10"/>
      <c r="F227" s="22"/>
      <c r="I227" s="20"/>
      <c r="J227" s="20"/>
      <c r="K227" s="20"/>
    </row>
    <row r="228" spans="1:11">
      <c r="A228" s="6"/>
      <c r="B228" s="19"/>
      <c r="C228" s="19"/>
      <c r="D228" s="19"/>
      <c r="E228" s="10"/>
      <c r="F228" s="22"/>
      <c r="I228" s="20"/>
      <c r="J228" s="20"/>
      <c r="K228" s="20"/>
    </row>
    <row r="229" spans="1:11">
      <c r="A229" s="6"/>
      <c r="B229" s="19"/>
      <c r="C229" s="19"/>
      <c r="D229" s="19"/>
      <c r="E229" s="10"/>
      <c r="F229" s="22"/>
      <c r="I229" s="20"/>
      <c r="J229" s="20"/>
      <c r="K229" s="20"/>
    </row>
    <row r="230" spans="1:11">
      <c r="A230" s="6"/>
      <c r="B230" s="19"/>
      <c r="C230" s="19"/>
      <c r="D230" s="19"/>
      <c r="E230" s="10"/>
      <c r="F230" s="22"/>
      <c r="I230" s="20"/>
      <c r="J230" s="20"/>
      <c r="K230" s="20"/>
    </row>
    <row r="231" spans="1:11">
      <c r="A231" s="6"/>
      <c r="B231" s="19"/>
      <c r="C231" s="19"/>
      <c r="D231" s="19"/>
      <c r="E231" s="10"/>
      <c r="F231" s="22"/>
      <c r="I231" s="20"/>
      <c r="J231" s="20"/>
      <c r="K231" s="20"/>
    </row>
    <row r="232" spans="1:11">
      <c r="A232" s="6"/>
      <c r="B232" s="19"/>
      <c r="C232" s="19"/>
      <c r="D232" s="19"/>
      <c r="E232" s="10"/>
      <c r="F232" s="22"/>
      <c r="I232" s="20"/>
      <c r="J232" s="20"/>
      <c r="K232" s="20"/>
    </row>
    <row r="233" spans="1:11">
      <c r="A233" s="6"/>
      <c r="B233" s="19"/>
      <c r="C233" s="19"/>
      <c r="D233" s="19"/>
      <c r="E233" s="10"/>
      <c r="F233" s="22"/>
      <c r="I233" s="20"/>
      <c r="J233" s="20"/>
      <c r="K233" s="20"/>
    </row>
    <row r="234" spans="1:11">
      <c r="A234" s="6"/>
      <c r="B234" s="19"/>
      <c r="C234" s="19"/>
      <c r="D234" s="19"/>
      <c r="E234" s="10"/>
      <c r="F234" s="22"/>
      <c r="I234" s="20"/>
      <c r="J234" s="20"/>
      <c r="K234" s="20"/>
    </row>
    <row r="235" spans="1:11">
      <c r="A235" s="6"/>
      <c r="B235" s="19"/>
      <c r="C235" s="19"/>
      <c r="D235" s="19"/>
      <c r="E235" s="10"/>
      <c r="F235" s="22"/>
      <c r="I235" s="20"/>
      <c r="J235" s="20"/>
      <c r="K235" s="20"/>
    </row>
    <row r="236" spans="1:11">
      <c r="A236" s="6"/>
      <c r="B236" s="19"/>
      <c r="C236" s="19"/>
      <c r="D236" s="19"/>
      <c r="E236" s="10"/>
      <c r="F236" s="22"/>
      <c r="I236" s="20"/>
      <c r="J236" s="20"/>
      <c r="K236" s="20"/>
    </row>
    <row r="237" spans="1:11">
      <c r="A237" s="6"/>
      <c r="B237" s="19"/>
      <c r="C237" s="19"/>
      <c r="D237" s="19"/>
      <c r="E237" s="10"/>
      <c r="F237" s="22"/>
      <c r="I237" s="20"/>
      <c r="J237" s="20"/>
      <c r="K237" s="20"/>
    </row>
    <row r="238" spans="1:11">
      <c r="A238" s="6"/>
      <c r="B238" s="19"/>
      <c r="C238" s="19"/>
      <c r="D238" s="19"/>
      <c r="E238" s="10"/>
      <c r="F238" s="22"/>
      <c r="I238" s="20"/>
      <c r="J238" s="20"/>
      <c r="K238" s="20"/>
    </row>
    <row r="239" spans="1:11">
      <c r="A239" s="6"/>
      <c r="B239" s="19"/>
      <c r="C239" s="19"/>
      <c r="D239" s="19"/>
      <c r="E239" s="10"/>
      <c r="F239" s="22"/>
      <c r="I239" s="20"/>
      <c r="J239" s="20"/>
      <c r="K239" s="20"/>
    </row>
    <row r="240" spans="1:11">
      <c r="A240" s="6"/>
      <c r="B240" s="19"/>
      <c r="C240" s="19"/>
      <c r="D240" s="19"/>
      <c r="E240" s="10"/>
      <c r="F240" s="22"/>
      <c r="I240" s="20"/>
      <c r="J240" s="20"/>
      <c r="K240" s="20"/>
    </row>
    <row r="241" spans="1:11">
      <c r="A241" s="6"/>
      <c r="B241" s="19"/>
      <c r="C241" s="19"/>
      <c r="D241" s="19"/>
      <c r="E241" s="10"/>
      <c r="F241" s="22"/>
      <c r="I241" s="20"/>
      <c r="J241" s="20"/>
      <c r="K241" s="20"/>
    </row>
    <row r="242" spans="1:11">
      <c r="A242" s="6"/>
      <c r="B242" s="19"/>
      <c r="C242" s="19"/>
      <c r="D242" s="19"/>
      <c r="E242" s="10"/>
      <c r="F242" s="22"/>
      <c r="I242" s="20"/>
      <c r="J242" s="20"/>
      <c r="K242" s="20"/>
    </row>
    <row r="243" spans="1:11">
      <c r="A243" s="6"/>
      <c r="B243" s="19"/>
      <c r="C243" s="19"/>
      <c r="D243" s="19"/>
      <c r="E243" s="10"/>
      <c r="F243" s="22"/>
      <c r="I243" s="20"/>
      <c r="J243" s="20"/>
      <c r="K243" s="20"/>
    </row>
    <row r="244" spans="1:11">
      <c r="A244" s="6"/>
      <c r="B244" s="19"/>
      <c r="C244" s="19"/>
      <c r="D244" s="19"/>
      <c r="E244" s="10"/>
      <c r="F244" s="22"/>
      <c r="I244" s="20"/>
      <c r="J244" s="20"/>
      <c r="K244" s="20"/>
    </row>
    <row r="245" spans="1:11">
      <c r="A245" s="6"/>
      <c r="B245" s="19"/>
      <c r="C245" s="19"/>
      <c r="D245" s="19"/>
      <c r="E245" s="10"/>
      <c r="F245" s="22"/>
      <c r="I245" s="20"/>
      <c r="J245" s="20"/>
      <c r="K245" s="20"/>
    </row>
    <row r="246" spans="1:11">
      <c r="A246" s="6"/>
      <c r="B246" s="19"/>
      <c r="C246" s="19"/>
      <c r="D246" s="19"/>
      <c r="E246" s="10"/>
      <c r="F246" s="22"/>
      <c r="I246" s="20"/>
      <c r="J246" s="20"/>
      <c r="K246" s="20"/>
    </row>
    <row r="247" spans="1:11">
      <c r="A247" s="6"/>
      <c r="B247" s="19"/>
      <c r="C247" s="19"/>
      <c r="D247" s="19"/>
      <c r="E247" s="10"/>
      <c r="F247" s="22"/>
      <c r="I247" s="20"/>
      <c r="J247" s="20"/>
      <c r="K247" s="20"/>
    </row>
    <row r="248" spans="1:11">
      <c r="A248" s="6"/>
      <c r="B248" s="19"/>
      <c r="C248" s="19"/>
      <c r="D248" s="19"/>
      <c r="E248" s="10"/>
      <c r="F248" s="22"/>
      <c r="I248" s="20"/>
      <c r="J248" s="20"/>
      <c r="K248" s="20"/>
    </row>
    <row r="249" spans="1:11">
      <c r="A249" s="6"/>
      <c r="B249" s="19"/>
      <c r="C249" s="19"/>
      <c r="D249" s="19"/>
      <c r="E249" s="10"/>
      <c r="F249" s="22"/>
      <c r="I249" s="20"/>
      <c r="J249" s="20"/>
      <c r="K249" s="20"/>
    </row>
    <row r="250" spans="1:11">
      <c r="A250" s="6"/>
      <c r="B250" s="19"/>
      <c r="C250" s="19"/>
      <c r="D250" s="19"/>
      <c r="E250" s="10"/>
      <c r="F250" s="22"/>
      <c r="I250" s="20"/>
      <c r="J250" s="20"/>
      <c r="K250" s="20"/>
    </row>
    <row r="251" spans="1:11">
      <c r="A251" s="6"/>
      <c r="B251" s="19"/>
      <c r="C251" s="19"/>
      <c r="D251" s="19"/>
      <c r="E251" s="10"/>
      <c r="F251" s="22"/>
      <c r="I251" s="20"/>
      <c r="J251" s="20"/>
      <c r="K251" s="20"/>
    </row>
    <row r="252" spans="1:11">
      <c r="A252" s="6"/>
      <c r="B252" s="19"/>
      <c r="C252" s="19"/>
      <c r="D252" s="19"/>
      <c r="E252" s="10"/>
      <c r="F252" s="22"/>
      <c r="I252" s="20"/>
      <c r="J252" s="20"/>
      <c r="K252" s="20"/>
    </row>
    <row r="253" spans="1:11">
      <c r="A253" s="6"/>
      <c r="B253" s="19"/>
      <c r="C253" s="19"/>
      <c r="D253" s="19"/>
      <c r="E253" s="10"/>
      <c r="F253" s="22"/>
      <c r="I253" s="20"/>
      <c r="J253" s="20"/>
      <c r="K253" s="20"/>
    </row>
    <row r="254" spans="1:11">
      <c r="A254" s="6"/>
      <c r="B254" s="19"/>
      <c r="C254" s="19"/>
      <c r="D254" s="19"/>
      <c r="E254" s="10"/>
      <c r="F254" s="22"/>
      <c r="I254" s="20"/>
      <c r="J254" s="20"/>
      <c r="K254" s="20"/>
    </row>
    <row r="255" spans="1:11">
      <c r="A255" s="6"/>
      <c r="B255" s="19"/>
      <c r="C255" s="19"/>
      <c r="D255" s="19"/>
      <c r="E255" s="10"/>
      <c r="F255" s="22"/>
      <c r="I255" s="20"/>
      <c r="J255" s="20"/>
      <c r="K255" s="20"/>
    </row>
    <row r="256" spans="1:11">
      <c r="A256" s="6"/>
      <c r="B256" s="19"/>
      <c r="C256" s="19"/>
      <c r="D256" s="19"/>
      <c r="E256" s="10"/>
      <c r="F256" s="22"/>
      <c r="I256" s="20"/>
      <c r="J256" s="20"/>
      <c r="K256" s="20"/>
    </row>
    <row r="257" spans="1:11">
      <c r="A257" s="6"/>
      <c r="B257" s="19"/>
      <c r="C257" s="19"/>
      <c r="D257" s="19"/>
      <c r="E257" s="10"/>
      <c r="F257" s="22"/>
      <c r="I257" s="20"/>
      <c r="J257" s="20"/>
      <c r="K257" s="20"/>
    </row>
    <row r="258" spans="1:11">
      <c r="A258" s="6"/>
      <c r="B258" s="19"/>
      <c r="C258" s="19"/>
      <c r="D258" s="19"/>
      <c r="E258" s="10"/>
      <c r="F258" s="22"/>
      <c r="I258" s="20"/>
      <c r="J258" s="20"/>
      <c r="K258" s="20"/>
    </row>
    <row r="259" spans="1:11">
      <c r="A259" s="6"/>
      <c r="B259" s="19"/>
      <c r="C259" s="19"/>
      <c r="D259" s="19"/>
      <c r="E259" s="10"/>
      <c r="F259" s="22"/>
      <c r="I259" s="20"/>
      <c r="J259" s="20"/>
      <c r="K259" s="20"/>
    </row>
    <row r="260" spans="1:11">
      <c r="A260" s="6"/>
      <c r="B260" s="19"/>
      <c r="C260" s="19"/>
      <c r="D260" s="19"/>
      <c r="E260" s="10"/>
      <c r="F260" s="22"/>
      <c r="I260" s="20"/>
      <c r="J260" s="20"/>
      <c r="K260" s="20"/>
    </row>
    <row r="261" spans="1:11">
      <c r="A261" s="6"/>
      <c r="B261" s="19"/>
      <c r="C261" s="19"/>
      <c r="D261" s="19"/>
      <c r="E261" s="10"/>
      <c r="F261" s="22"/>
      <c r="I261" s="20"/>
      <c r="J261" s="20"/>
      <c r="K261" s="20"/>
    </row>
    <row r="262" spans="1:11">
      <c r="A262" s="6"/>
      <c r="B262" s="19"/>
      <c r="C262" s="19"/>
      <c r="D262" s="19"/>
      <c r="E262" s="10"/>
      <c r="F262" s="22"/>
      <c r="I262" s="20"/>
      <c r="J262" s="20"/>
      <c r="K262" s="20"/>
    </row>
    <row r="263" spans="1:11">
      <c r="A263" s="6"/>
      <c r="B263" s="19"/>
      <c r="C263" s="19"/>
      <c r="D263" s="19"/>
      <c r="E263" s="10"/>
      <c r="F263" s="22"/>
      <c r="I263" s="20"/>
      <c r="J263" s="20"/>
      <c r="K263" s="20"/>
    </row>
    <row r="264" spans="1:11">
      <c r="A264" s="6"/>
      <c r="B264" s="19"/>
      <c r="C264" s="19"/>
      <c r="D264" s="19"/>
      <c r="E264" s="10"/>
      <c r="F264" s="22"/>
      <c r="I264" s="20"/>
      <c r="J264" s="20"/>
      <c r="K264" s="20"/>
    </row>
    <row r="265" spans="1:11">
      <c r="A265" s="6"/>
      <c r="B265" s="19"/>
      <c r="C265" s="19"/>
      <c r="D265" s="19"/>
      <c r="E265" s="10"/>
      <c r="F265" s="22"/>
      <c r="I265" s="20"/>
      <c r="J265" s="20"/>
      <c r="K265" s="20"/>
    </row>
    <row r="266" spans="1:11">
      <c r="A266" s="6"/>
      <c r="B266" s="19"/>
      <c r="C266" s="19"/>
      <c r="D266" s="19"/>
      <c r="E266" s="10"/>
      <c r="F266" s="22"/>
      <c r="I266" s="20"/>
      <c r="J266" s="20"/>
      <c r="K266" s="20"/>
    </row>
    <row r="267" spans="1:11">
      <c r="A267" s="6"/>
      <c r="B267" s="19"/>
      <c r="C267" s="19"/>
      <c r="D267" s="19"/>
      <c r="E267" s="10"/>
      <c r="F267" s="22"/>
      <c r="I267" s="20"/>
      <c r="J267" s="20"/>
      <c r="K267" s="20"/>
    </row>
    <row r="268" spans="1:11">
      <c r="A268" s="6"/>
      <c r="B268" s="19"/>
      <c r="C268" s="19"/>
      <c r="D268" s="19"/>
      <c r="E268" s="10"/>
      <c r="F268" s="22"/>
      <c r="I268" s="20"/>
      <c r="J268" s="20"/>
      <c r="K268" s="20"/>
    </row>
    <row r="269" spans="1:11">
      <c r="A269" s="6"/>
      <c r="B269" s="19"/>
      <c r="C269" s="19"/>
      <c r="D269" s="19"/>
      <c r="E269" s="10"/>
      <c r="F269" s="22"/>
      <c r="I269" s="20"/>
      <c r="J269" s="20"/>
      <c r="K269" s="20"/>
    </row>
    <row r="270" spans="1:11">
      <c r="A270" s="6"/>
      <c r="B270" s="19"/>
      <c r="C270" s="19"/>
      <c r="D270" s="19"/>
      <c r="E270" s="10"/>
      <c r="F270" s="22"/>
      <c r="I270" s="20"/>
      <c r="J270" s="20"/>
      <c r="K270" s="20"/>
    </row>
    <row r="271" spans="1:11">
      <c r="A271" s="6"/>
      <c r="B271" s="19"/>
      <c r="C271" s="19"/>
      <c r="D271" s="19"/>
      <c r="E271" s="10"/>
      <c r="F271" s="22"/>
      <c r="I271" s="20"/>
      <c r="J271" s="20"/>
      <c r="K271" s="20"/>
    </row>
    <row r="272" spans="1:11">
      <c r="A272" s="6"/>
      <c r="B272" s="19"/>
      <c r="C272" s="19"/>
      <c r="D272" s="19"/>
      <c r="E272" s="10"/>
      <c r="F272" s="22"/>
      <c r="I272" s="20"/>
      <c r="J272" s="20"/>
      <c r="K272" s="20"/>
    </row>
    <row r="273" spans="1:11">
      <c r="A273" s="6"/>
      <c r="B273" s="19"/>
      <c r="C273" s="19"/>
      <c r="D273" s="19"/>
      <c r="E273" s="10"/>
      <c r="F273" s="22"/>
      <c r="I273" s="20"/>
      <c r="J273" s="20"/>
      <c r="K273" s="20"/>
    </row>
    <row r="274" spans="1:11">
      <c r="A274" s="6"/>
      <c r="B274" s="19"/>
      <c r="C274" s="19"/>
      <c r="D274" s="19"/>
      <c r="E274" s="10"/>
      <c r="F274" s="22"/>
      <c r="I274" s="20"/>
      <c r="J274" s="20"/>
      <c r="K274" s="20"/>
    </row>
    <row r="275" spans="1:11">
      <c r="A275" s="6"/>
      <c r="B275" s="19"/>
      <c r="C275" s="19"/>
      <c r="D275" s="19"/>
      <c r="E275" s="10"/>
      <c r="F275" s="22"/>
      <c r="I275" s="20"/>
      <c r="J275" s="20"/>
      <c r="K275" s="20"/>
    </row>
    <row r="276" spans="1:11">
      <c r="A276" s="6"/>
      <c r="B276" s="19"/>
      <c r="C276" s="19"/>
      <c r="D276" s="19"/>
      <c r="E276" s="10"/>
      <c r="F276" s="22"/>
      <c r="I276" s="20"/>
      <c r="J276" s="20"/>
      <c r="K276" s="20"/>
    </row>
    <row r="277" spans="1:11">
      <c r="A277" s="6"/>
      <c r="B277" s="19"/>
      <c r="C277" s="19"/>
      <c r="D277" s="19"/>
      <c r="E277" s="10"/>
      <c r="F277" s="22"/>
      <c r="I277" s="20"/>
      <c r="J277" s="20"/>
      <c r="K277" s="20"/>
    </row>
    <row r="278" spans="1:11">
      <c r="A278" s="6"/>
      <c r="B278" s="19"/>
      <c r="C278" s="19"/>
      <c r="D278" s="19"/>
      <c r="E278" s="10"/>
      <c r="F278" s="22"/>
      <c r="I278" s="20"/>
      <c r="J278" s="20"/>
      <c r="K278" s="20"/>
    </row>
    <row r="279" spans="1:11">
      <c r="A279" s="6"/>
      <c r="B279" s="19"/>
      <c r="C279" s="19"/>
      <c r="D279" s="19"/>
      <c r="E279" s="10"/>
      <c r="F279" s="22"/>
      <c r="I279" s="20"/>
      <c r="J279" s="20"/>
      <c r="K279" s="20"/>
    </row>
    <row r="280" spans="1:11">
      <c r="A280" s="6"/>
      <c r="B280" s="19"/>
      <c r="C280" s="19"/>
      <c r="D280" s="19"/>
      <c r="E280" s="10"/>
      <c r="F280" s="22"/>
      <c r="I280" s="20"/>
      <c r="J280" s="20"/>
      <c r="K280" s="20"/>
    </row>
    <row r="281" spans="1:11">
      <c r="A281" s="6"/>
      <c r="B281" s="19"/>
      <c r="C281" s="19"/>
      <c r="D281" s="19"/>
      <c r="E281" s="10"/>
      <c r="F281" s="22"/>
      <c r="I281" s="20"/>
      <c r="J281" s="20"/>
      <c r="K281" s="20"/>
    </row>
    <row r="282" spans="1:11">
      <c r="A282" s="6"/>
      <c r="B282" s="19"/>
      <c r="C282" s="19"/>
      <c r="D282" s="19"/>
      <c r="E282" s="10"/>
      <c r="F282" s="22"/>
      <c r="I282" s="20"/>
      <c r="J282" s="20"/>
      <c r="K282" s="20"/>
    </row>
    <row r="283" spans="1:11">
      <c r="A283" s="6"/>
      <c r="B283" s="19"/>
      <c r="C283" s="19"/>
      <c r="D283" s="19"/>
      <c r="E283" s="10"/>
      <c r="F283" s="22"/>
      <c r="I283" s="20"/>
      <c r="J283" s="20"/>
      <c r="K283" s="20"/>
    </row>
    <row r="284" spans="1:11">
      <c r="A284" s="6"/>
      <c r="B284" s="19"/>
      <c r="C284" s="19"/>
      <c r="D284" s="19"/>
      <c r="E284" s="10"/>
      <c r="F284" s="22"/>
      <c r="I284" s="20"/>
      <c r="J284" s="20"/>
      <c r="K284" s="20"/>
    </row>
    <row r="285" spans="1:11">
      <c r="A285" s="6"/>
      <c r="B285" s="19"/>
      <c r="C285" s="19"/>
      <c r="D285" s="19"/>
      <c r="E285" s="10"/>
      <c r="F285" s="22"/>
      <c r="I285" s="20"/>
      <c r="J285" s="20"/>
      <c r="K285" s="20"/>
    </row>
    <row r="286" spans="1:11">
      <c r="A286" s="6"/>
      <c r="B286" s="19"/>
      <c r="C286" s="19"/>
      <c r="D286" s="19"/>
      <c r="E286" s="10"/>
      <c r="F286" s="22"/>
      <c r="I286" s="20"/>
      <c r="J286" s="20"/>
      <c r="K286" s="20"/>
    </row>
    <row r="287" spans="1:11">
      <c r="A287" s="6"/>
      <c r="B287" s="19"/>
      <c r="C287" s="19"/>
      <c r="D287" s="19"/>
      <c r="E287" s="10"/>
      <c r="F287" s="22"/>
      <c r="I287" s="20"/>
      <c r="J287" s="20"/>
      <c r="K287" s="20"/>
    </row>
    <row r="288" spans="1:11">
      <c r="A288" s="6"/>
      <c r="B288" s="19"/>
      <c r="C288" s="19"/>
      <c r="D288" s="19"/>
      <c r="E288" s="10"/>
      <c r="F288" s="22"/>
      <c r="I288" s="20"/>
      <c r="J288" s="20"/>
      <c r="K288" s="20"/>
    </row>
    <row r="289" spans="1:11">
      <c r="A289" s="6"/>
      <c r="B289" s="19"/>
      <c r="C289" s="19"/>
      <c r="D289" s="19"/>
      <c r="E289" s="10"/>
      <c r="F289" s="22"/>
      <c r="I289" s="20"/>
      <c r="J289" s="20"/>
      <c r="K289" s="20"/>
    </row>
    <row r="290" spans="1:11">
      <c r="A290" s="6"/>
      <c r="B290" s="19"/>
      <c r="C290" s="19"/>
      <c r="D290" s="19"/>
      <c r="E290" s="10"/>
      <c r="F290" s="22"/>
      <c r="I290" s="20"/>
      <c r="J290" s="20"/>
      <c r="K290" s="20"/>
    </row>
    <row r="291" spans="1:11">
      <c r="A291" s="6"/>
      <c r="B291" s="19"/>
      <c r="C291" s="19"/>
      <c r="D291" s="19"/>
      <c r="E291" s="10"/>
      <c r="F291" s="22"/>
      <c r="I291" s="20"/>
      <c r="J291" s="20"/>
      <c r="K291" s="20"/>
    </row>
    <row r="292" spans="1:11">
      <c r="A292" s="6"/>
      <c r="B292" s="19"/>
      <c r="C292" s="19"/>
      <c r="D292" s="19"/>
      <c r="E292" s="10"/>
      <c r="F292" s="22"/>
      <c r="I292" s="20"/>
      <c r="J292" s="20"/>
      <c r="K292" s="20"/>
    </row>
    <row r="293" spans="1:11">
      <c r="A293" s="6"/>
      <c r="B293" s="19"/>
      <c r="C293" s="19"/>
      <c r="D293" s="19"/>
      <c r="E293" s="10"/>
      <c r="F293" s="22"/>
      <c r="I293" s="20"/>
      <c r="J293" s="20"/>
      <c r="K293" s="20"/>
    </row>
    <row r="294" spans="1:11">
      <c r="A294" s="6"/>
      <c r="B294" s="19"/>
      <c r="C294" s="19"/>
      <c r="D294" s="19"/>
      <c r="E294" s="10"/>
      <c r="F294" s="22"/>
      <c r="I294" s="20"/>
      <c r="J294" s="20"/>
      <c r="K294" s="20"/>
    </row>
    <row r="295" spans="1:11">
      <c r="A295" s="6"/>
      <c r="B295" s="19"/>
      <c r="C295" s="19"/>
      <c r="D295" s="19"/>
      <c r="E295" s="10"/>
      <c r="F295" s="22"/>
      <c r="I295" s="20"/>
      <c r="J295" s="20"/>
      <c r="K295" s="20"/>
    </row>
    <row r="296" spans="1:11">
      <c r="A296" s="6"/>
      <c r="B296" s="19"/>
      <c r="C296" s="19"/>
      <c r="D296" s="19"/>
      <c r="E296" s="10"/>
      <c r="F296" s="22"/>
      <c r="I296" s="20"/>
      <c r="J296" s="20"/>
      <c r="K296" s="20"/>
    </row>
    <row r="297" spans="1:11">
      <c r="A297" s="6"/>
      <c r="B297" s="19"/>
      <c r="C297" s="19"/>
      <c r="D297" s="19"/>
      <c r="E297" s="10"/>
      <c r="F297" s="22"/>
      <c r="I297" s="20"/>
      <c r="J297" s="20"/>
      <c r="K297" s="20"/>
    </row>
    <row r="298" spans="1:11">
      <c r="A298" s="6"/>
      <c r="B298" s="19"/>
      <c r="C298" s="19"/>
      <c r="D298" s="19"/>
      <c r="E298" s="10"/>
      <c r="F298" s="22"/>
      <c r="I298" s="20"/>
      <c r="J298" s="20"/>
      <c r="K298" s="20"/>
    </row>
    <row r="299" spans="1:11">
      <c r="A299" s="6"/>
      <c r="B299" s="19"/>
      <c r="C299" s="19"/>
      <c r="D299" s="19"/>
      <c r="E299" s="10"/>
      <c r="F299" s="22"/>
      <c r="I299" s="20"/>
      <c r="J299" s="20"/>
      <c r="K299" s="20"/>
    </row>
    <row r="300" spans="1:11">
      <c r="A300" s="6"/>
      <c r="B300" s="19"/>
      <c r="C300" s="19"/>
      <c r="D300" s="19"/>
      <c r="E300" s="10"/>
      <c r="F300" s="22"/>
      <c r="I300" s="20"/>
      <c r="J300" s="20"/>
      <c r="K300" s="20"/>
    </row>
    <row r="301" spans="1:11">
      <c r="A301" s="6"/>
      <c r="B301" s="19"/>
      <c r="C301" s="19"/>
      <c r="D301" s="19"/>
      <c r="E301" s="10"/>
      <c r="F301" s="22"/>
      <c r="I301" s="20"/>
      <c r="J301" s="20"/>
      <c r="K301" s="20"/>
    </row>
    <row r="302" spans="1:11">
      <c r="A302" s="6"/>
      <c r="D302" s="19"/>
      <c r="E302" s="10"/>
      <c r="F302" s="22"/>
      <c r="K302" s="20"/>
    </row>
  </sheetData>
  <mergeCells count="1">
    <mergeCell ref="N29:O29"/>
  </mergeCells>
  <phoneticPr fontId="10" type="noConversion"/>
  <conditionalFormatting sqref="G2:H301 L2:L302">
    <cfRule type="cellIs" dxfId="3" priority="1" operator="equal">
      <formula>"CHIUSO"</formula>
    </cfRule>
    <cfRule type="cellIs" dxfId="2" priority="2" operator="equal">
      <formula>"APERTO"</formula>
    </cfRule>
  </conditionalFormatting>
  <pageMargins left="0.75" right="0.75" top="1" bottom="1" header="0.5" footer="0.5"/>
  <pageSetup paperSize="9" scale="10" orientation="landscape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19A56C2-07A3-4AD9-A668-5A602FE9BBA2}">
          <x14:formula1>
            <xm:f>GUIDA_USO!$K$99:$K$102</xm:f>
          </x14:formula1>
          <xm:sqref>B2:B1048576</xm:sqref>
        </x14:dataValidation>
        <x14:dataValidation type="list" allowBlank="1" showInputMessage="1" showErrorMessage="1" xr:uid="{8A0CC7B3-4319-46CD-8DA6-9E222F754D64}">
          <x14:formula1>
            <xm:f>GUIDA_USO!$L$99:$L$101</xm:f>
          </x14:formula1>
          <xm:sqref>C2:C1048576</xm:sqref>
        </x14:dataValidation>
        <x14:dataValidation type="list" allowBlank="1" showInputMessage="1" showErrorMessage="1" xr:uid="{5739F11B-664E-402A-8698-22292642059A}">
          <x14:formula1>
            <xm:f>GUIDA_USO!$M$99:$M$105</xm:f>
          </x14:formula1>
          <xm:sqref>D2:D7</xm:sqref>
        </x14:dataValidation>
        <x14:dataValidation type="list" allowBlank="1" showInputMessage="1" showErrorMessage="1" xr:uid="{5FBB72B0-CEED-4B89-B511-67B5F2D56E1C}">
          <x14:formula1>
            <xm:f>GUIDA_USO!$M$99:$M$108</xm:f>
          </x14:formula1>
          <xm:sqref>D8:D1048576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D57A4-458E-40F6-994F-D184C23ECEA3}">
  <sheetPr codeName="Foglio7">
    <tabColor rgb="FFFFC000"/>
  </sheetPr>
  <dimension ref="A1:X70"/>
  <sheetViews>
    <sheetView zoomScale="160" zoomScaleNormal="160" workbookViewId="0">
      <selection activeCell="A6" sqref="A6:O6"/>
    </sheetView>
  </sheetViews>
  <sheetFormatPr baseColWidth="10" defaultColWidth="8.83203125" defaultRowHeight="15"/>
  <cols>
    <col min="1" max="1" width="12.83203125" bestFit="1" customWidth="1"/>
    <col min="2" max="2" width="16" bestFit="1" customWidth="1"/>
    <col min="3" max="3" width="15.6640625" customWidth="1"/>
    <col min="4" max="4" width="16" bestFit="1" customWidth="1"/>
    <col min="5" max="5" width="10.5" bestFit="1" customWidth="1"/>
    <col min="6" max="6" width="13.1640625" bestFit="1" customWidth="1"/>
    <col min="7" max="7" width="13.6640625" bestFit="1" customWidth="1"/>
    <col min="8" max="8" width="10.5" bestFit="1" customWidth="1"/>
    <col min="9" max="9" width="8.1640625" style="75" bestFit="1" customWidth="1"/>
    <col min="10" max="12" width="7.1640625" style="75" bestFit="1" customWidth="1"/>
    <col min="13" max="13" width="6.33203125" bestFit="1" customWidth="1"/>
    <col min="14" max="14" width="9.5" bestFit="1" customWidth="1"/>
    <col min="15" max="15" width="13.33203125" bestFit="1" customWidth="1"/>
  </cols>
  <sheetData>
    <row r="1" spans="1:24">
      <c r="A1" s="5" t="s">
        <v>88</v>
      </c>
      <c r="B1" s="73" t="s">
        <v>148</v>
      </c>
      <c r="I1"/>
      <c r="J1"/>
      <c r="K1"/>
      <c r="L1"/>
    </row>
    <row r="2" spans="1:24">
      <c r="A2" s="5" t="s">
        <v>89</v>
      </c>
      <c r="B2" s="73"/>
      <c r="I2"/>
      <c r="J2"/>
      <c r="K2"/>
      <c r="L2"/>
    </row>
    <row r="3" spans="1:24">
      <c r="A3" s="5" t="s">
        <v>97</v>
      </c>
      <c r="B3" s="73"/>
      <c r="I3"/>
      <c r="J3"/>
      <c r="K3"/>
      <c r="L3"/>
    </row>
    <row r="4" spans="1:24">
      <c r="A4" s="37" t="s">
        <v>38</v>
      </c>
      <c r="B4" s="91"/>
      <c r="I4"/>
      <c r="J4"/>
      <c r="K4"/>
      <c r="L4"/>
    </row>
    <row r="5" spans="1:24">
      <c r="A5" s="37" t="s">
        <v>3</v>
      </c>
      <c r="B5" s="91"/>
      <c r="I5"/>
      <c r="J5"/>
      <c r="K5"/>
      <c r="L5"/>
    </row>
    <row r="6" spans="1:24">
      <c r="A6" s="5" t="s">
        <v>0</v>
      </c>
      <c r="B6" s="5" t="s">
        <v>12</v>
      </c>
      <c r="C6" s="5" t="s">
        <v>2</v>
      </c>
      <c r="D6" s="5" t="s">
        <v>88</v>
      </c>
      <c r="E6" s="5" t="s">
        <v>89</v>
      </c>
      <c r="F6" s="5" t="s">
        <v>97</v>
      </c>
      <c r="G6" s="5" t="s">
        <v>33</v>
      </c>
      <c r="H6" s="5" t="s">
        <v>21</v>
      </c>
      <c r="I6" s="5" t="s">
        <v>26</v>
      </c>
      <c r="J6" s="5" t="s">
        <v>27</v>
      </c>
      <c r="K6" s="5" t="s">
        <v>28</v>
      </c>
      <c r="L6" s="5" t="s">
        <v>29</v>
      </c>
      <c r="M6" s="5" t="s">
        <v>30</v>
      </c>
      <c r="N6" s="5" t="s">
        <v>9</v>
      </c>
      <c r="O6" s="5" t="s">
        <v>10</v>
      </c>
      <c r="P6" s="5"/>
      <c r="Q6" s="5"/>
      <c r="R6" s="5"/>
      <c r="S6" s="5"/>
      <c r="T6" s="5"/>
      <c r="U6" s="5"/>
      <c r="V6" s="32"/>
      <c r="W6" s="26"/>
      <c r="X6" s="27"/>
    </row>
    <row r="7" spans="1:24">
      <c r="A7" t="e" cm="1">
        <f t="array" aca="1" ref="A7:A31" ca="1">IF(
   _xlfn._xlws.FILTER(
     GIACENZE_ATTUALI!C170:C500,
     ((B1="") + (GIACENZE_ATTUALI!F170:F500=B1)) *
     ((B2="") + (GIACENZE_ATTUALI!G170:G500=B2)) *
     ((B3="") + (GIACENZE_ATTUALI!H170:H500=B3)) *
     ((B4="") + (GIACENZE_ATTUALI!W170:W500=B4)) *
     ((B5="") + (GIACENZE_ATTUALI!S170:S500=B5))
   ) = 0,
   "",
   _xlfn._xlws.FILTER(
     GIACENZE_ATTUALI!C170:C500,
     ((B1="") + (GIACENZE_ATTUALI!F170:F500=B1)) *
     ((B2="") + (GIACENZE_ATTUALI!G170:G500=B2)) *
     ((B3="") + (GIACENZE_ATTUALI!H170:H500=B3)) *
     ((B4="") + (GIACENZE_ATTUALI!W170:W500=B4)) *
     ((B5="") + (GIACENZE_ATTUALI!S170:S500=B5))
   )
)</f>
        <v>#NAME?</v>
      </c>
      <c r="B7" t="e" cm="1">
        <f t="array" aca="1" ref="B7:B31" ca="1">IF(
   _xlfn._xlws.FILTER(
     GIACENZE_ATTUALI!D170:D500,
     ((B1="") + (GIACENZE_ATTUALI!F170:F500=B1)) *
     ((B2="") + (GIACENZE_ATTUALI!G170:G500=B2)) *
     ((B3="") + (GIACENZE_ATTUALI!H170:H500=B3)) *
     ((B4="") + (GIACENZE_ATTUALI!W170:W500=B4)) *
     ((B5="") + (GIACENZE_ATTUALI!S170:S500=B5))
   ) = 0,
   "",
   _xlfn._xlws.FILTER(
     GIACENZE_ATTUALI!D170:D500,
     ((B1="") + (GIACENZE_ATTUALI!F170:F500=B1)) *
     ((B2="") + (GIACENZE_ATTUALI!G170:G500=B2)) *
     ((B3="") + (GIACENZE_ATTUALI!H170:H500=B3)) *
     ((B4="") + (GIACENZE_ATTUALI!W170:W500=B4)) *
     ((B5="") + (GIACENZE_ATTUALI!S170:S500=B5))
   )
)</f>
        <v>#NAME?</v>
      </c>
      <c r="C7" t="e" cm="1">
        <f t="array" aca="1" ref="C7:C31" ca="1">IF(
   _xlfn._xlws.FILTER(
     GIACENZE_ATTUALI!E170:E500,
     ((B1="") + (GIACENZE_ATTUALI!F170:F500=B1)) *
     ((B2="") + (GIACENZE_ATTUALI!G170:G500=B2)) *
     ((B3="") + (GIACENZE_ATTUALI!H170:H500=B3)) *
     ((B4="") + (GIACENZE_ATTUALI!W170:W500=B4)) *
     ((B5="") + (GIACENZE_ATTUALI!S170:S500=B5))
   ) = 0,
   "",
   _xlfn._xlws.FILTER(
     GIACENZE_ATTUALI!E170:E500,
     ((B1="") + (GIACENZE_ATTUALI!F170:F500=B1)) *
     ((B2="") + (GIACENZE_ATTUALI!G170:G500=B2)) *
     ((B3="") + (GIACENZE_ATTUALI!H170:H500=B3)) *
     ((B4="") + (GIACENZE_ATTUALI!W170:W500=B4)) *
     ((B5="") + (GIACENZE_ATTUALI!S170:S500=B5))
   )
)</f>
        <v>#NAME?</v>
      </c>
      <c r="D7" t="e" cm="1">
        <f t="array" aca="1" ref="D7:D31" ca="1">IF(
   _xlfn._xlws.FILTER(
     GIACENZE_ATTUALI!F170:F500,
     ((B1="") + (GIACENZE_ATTUALI!F170:F500=B1)) *
     ((B2="") + (GIACENZE_ATTUALI!G170:G500=B2)) *
     ((B3="") + (GIACENZE_ATTUALI!H170:H500=B3)) *
     ((B4="") + (GIACENZE_ATTUALI!W170:W500=B4)) *
     ((B5="") + (GIACENZE_ATTUALI!S170:S500=B5))
   ) = 0,
   "",
   _xlfn._xlws.FILTER(
     GIACENZE_ATTUALI!F170:F500,
     ((B1="") + (GIACENZE_ATTUALI!F170:F500=B1)) *
     ((B2="") + (GIACENZE_ATTUALI!G170:G500=B2)) *
     ((B3="") + (GIACENZE_ATTUALI!H170:H500=B3)) *
     ((B4="") + (GIACENZE_ATTUALI!W170:W500=B4)) *
     ((B5="") + (GIACENZE_ATTUALI!S170:S500=B5))
   )
)</f>
        <v>#NAME?</v>
      </c>
      <c r="E7" t="e" cm="1">
        <f t="array" aca="1" ref="E7:E31" ca="1">IF(
_xlfn._xlws.FILTER(
GIACENZE_ATTUALI!G170:G500,
((B1="")+(GIACENZE_ATTUALI!F170:F500=B1))*
((B2="")+(GIACENZE_ATTUALI!G170:G500=B2))*
((B3="")+(GIACENZE_ATTUALI!H170:H500=B3))*
((B4="")+(GIACENZE_ATTUALI!W170:W500=B4))*
((B5="")+(GIACENZE_ATTUALI!S170:S500=B5))
)=0,
"",
_xlfn._xlws.FILTER(
GIACENZE_ATTUALI!G170:G500,
((B1="")+(GIACENZE_ATTUALI!F170:F500=B1))*
((B2="")+(GIACENZE_ATTUALI!G170:G500=B2))*
((B3="")+(GIACENZE_ATTUALI!H170:H500=B3))*
((B4="")+(GIACENZE_ATTUALI!W170:W500=B4))*
((B5="")+(GIACENZE_ATTUALI!S170:S500=B5))
)
)</f>
        <v>#NAME?</v>
      </c>
      <c r="F7" t="e" cm="1">
        <f t="array" aca="1" ref="F7:F31" ca="1">IF(
   _xlfn._xlws.FILTER(
     GIACENZE_ATTUALI!H170:H500,
     ((B1="") + (GIACENZE_ATTUALI!F170:F500=B1)) *
     ((B2="") + (GIACENZE_ATTUALI!G170:G500=B2)) *
     ((B3="") + (GIACENZE_ATTUALI!H170:H500=B3)) *
     ((B4="") + (GIACENZE_ATTUALI!W170:W500=B4)) *
     ((B5="") + (GIACENZE_ATTUALI!S170:S500=B5))
   ) = 0,
   "",
   _xlfn._xlws.FILTER(
     GIACENZE_ATTUALI!H170:H500,
     ((B1="") + (GIACENZE_ATTUALI!F170:F500=B1)) *
     ((B2="") + (GIACENZE_ATTUALI!G170:G500=B2)) *
     ((B3="") + (GIACENZE_ATTUALI!H170:H500=B3)) *
     ((B4="") + (GIACENZE_ATTUALI!W170:W500=B4)) *
     ((B5="") + (GIACENZE_ATTUALI!S170:S500=B5))
   )
)</f>
        <v>#NAME?</v>
      </c>
      <c r="G7" t="e" cm="1">
        <f t="array" aca="1" ref="G7:G31" ca="1">IF(
   _xlfn._xlws.FILTER(
     GIACENZE_ATTUALI!L170:L500,
     ((B1="") + (GIACENZE_ATTUALI!F170:F500=B1)) *
     ((B2="") + (GIACENZE_ATTUALI!G170:G500=B2)) *
     ((B3="") + (GIACENZE_ATTUALI!H170:H500=B3)) *
     ((B4="") + (GIACENZE_ATTUALI!W170:W500=B4)) *
     ((B5="") + (GIACENZE_ATTUALI!S170:S500=B5))
   ) = 0,
   "",
   _xlfn._xlws.FILTER(
     GIACENZE_ATTUALI!L170:L500,
     ((B1="") + (GIACENZE_ATTUALI!F170:F500=B1)) *
     ((B2="") + (GIACENZE_ATTUALI!G170:G500=B2)) *
     ((B3="") + (GIACENZE_ATTUALI!H170:H500=B3)) *
     ((B4="") + (GIACENZE_ATTUALI!W170:W500=B4)) *
     ((B5="") + (GIACENZE_ATTUALI!S170:S500=B5))
   )
)</f>
        <v>#NAME?</v>
      </c>
      <c r="H7" t="e" cm="1">
        <f t="array" aca="1" ref="H7:H31" ca="1">IF(
   _xlfn._xlws.FILTER(
     GIACENZE_ATTUALI!M170:M500,
     ((B1="") + (GIACENZE_ATTUALI!F170:F500=B1)) *
     ((B2="") + (GIACENZE_ATTUALI!G170:G500=B2)) *
     ((B3="") + (GIACENZE_ATTUALI!H170:H500=B3)) *
     ((B4="") + (GIACENZE_ATTUALI!W170:W500=B4)) *
     ((B5="") + (GIACENZE_ATTUALI!S170:S500=B5))
   ) = 0,
   "",
   _xlfn._xlws.FILTER(
     GIACENZE_ATTUALI!M170:M500,
     ((B1="") + (GIACENZE_ATTUALI!F170:F500=B1)) *
     ((B2="") + (GIACENZE_ATTUALI!G170:G500=B2)) *
     ((B3="") + (GIACENZE_ATTUALI!H170:H500=B3)) *
     ((B4="") + (GIACENZE_ATTUALI!W170:W500=B4)) *
     ((B5="") + (GIACENZE_ATTUALI!S170:S500=B5))
   )
)</f>
        <v>#NAME?</v>
      </c>
      <c r="I7" s="75" t="e" cm="1">
        <f t="array" aca="1" ref="I7:I31" ca="1">IF(
   _xlfn._xlws.FILTER(
     GIACENZE_ATTUALI!N170:N500,
     ((B1="") + (GIACENZE_ATTUALI!F170:F500=B1)) *
     ((B2="") + (GIACENZE_ATTUALI!G170:G500=B2)) *
     ((B3="") + (GIACENZE_ATTUALI!H170:H500=B3)) *
     ((B4="") + (GIACENZE_ATTUALI!W170:W500=B4)) *
     ((B5="") + (GIACENZE_ATTUALI!S170:S500=B5))
   ) = 0,
   "",
   _xlfn._xlws.FILTER(
     GIACENZE_ATTUALI!N170:N500,
     ((B1="") + (GIACENZE_ATTUALI!F170:F500=B1)) *
     ((B2="") + (GIACENZE_ATTUALI!G170:G500=B2)) *
     ((B3="") + (GIACENZE_ATTUALI!H170:H500=B3)) *
     ((B4="") + (GIACENZE_ATTUALI!W170:W500=B4)) *
     ((B5="") + (GIACENZE_ATTUALI!S170:S500=B5))
   )
)</f>
        <v>#NAME?</v>
      </c>
      <c r="J7" s="75" t="e" cm="1">
        <f t="array" aca="1" ref="J7:J31" ca="1">IF(
   _xlfn._xlws.FILTER(
     GIACENZE_ATTUALI!O170:O500,
     ((B1="") + (GIACENZE_ATTUALI!F170:F500=B1)) *
     ((B2="") + (GIACENZE_ATTUALI!G170:G500=B2)) *
     ((B3="") + (GIACENZE_ATTUALI!H170:H500=B3)) *
     ((B4="") + (GIACENZE_ATTUALI!W170:W500=B4)) *
     ((B5="") + (GIACENZE_ATTUALI!S170:S500=B5))
   ) = 0,
   "",
   _xlfn._xlws.FILTER(
     GIACENZE_ATTUALI!O170:O500,
     ((B1="") + (GIACENZE_ATTUALI!F170:F500=B1)) *
     ((B2="") + (GIACENZE_ATTUALI!G170:G500=B2)) *
     ((B3="") + (GIACENZE_ATTUALI!H170:H500=B3)) *
     ((B4="") + (GIACENZE_ATTUALI!W170:W500=B4)) *
     ((B5="") + (GIACENZE_ATTUALI!S170:S500=B5))
   )
)</f>
        <v>#NAME?</v>
      </c>
      <c r="K7" s="75" t="e" cm="1">
        <f t="array" aca="1" ref="K7:K31" ca="1">IF(
   _xlfn._xlws.FILTER(
     GIACENZE_ATTUALI!P170:P500,
     ((B1="") + (GIACENZE_ATTUALI!F170:F500=B1)) *
     ((B2="") + (GIACENZE_ATTUALI!G170:G500=B2)) *
     ((B3="") + (GIACENZE_ATTUALI!H170:H500=B3)) *
     ((B4="") + (GIACENZE_ATTUALI!W170:W500=B4)) *
     ((B5="") + (GIACENZE_ATTUALI!S170:S500=B5))
   ) = 0,
   "",
   _xlfn._xlws.FILTER(
     GIACENZE_ATTUALI!P170:P500,
     ((B1="") + (GIACENZE_ATTUALI!F170:F500=B1)) *
     ((B2="") + (GIACENZE_ATTUALI!G170:G500=B2)) *
     ((B3="") + (GIACENZE_ATTUALI!H170:H500=B3)) *
     ((B4="") + (GIACENZE_ATTUALI!W170:W500=B4)) *
     ((B5="") + (GIACENZE_ATTUALI!S170:S500=B5))
   )
)</f>
        <v>#NAME?</v>
      </c>
      <c r="L7" s="75" t="e" cm="1">
        <f t="array" aca="1" ref="L7:L31" ca="1">IF(
   _xlfn._xlws.FILTER(
     GIACENZE_ATTUALI!Q170:Q500,
     ((B1="") + (GIACENZE_ATTUALI!F170:F500=B1)) *
     ((B2="") + (GIACENZE_ATTUALI!G170:G500=B2)) *
     ((B3="") + (GIACENZE_ATTUALI!H170:H500=B3)) *
     ((B4="") + (GIACENZE_ATTUALI!W170:W500=B4)) *
     ((B5="") + (GIACENZE_ATTUALI!S170:S500=B5))
   ) = 0,
   "",
   _xlfn._xlws.FILTER(
     GIACENZE_ATTUALI!Q170:Q500,
     ((B1="") + (GIACENZE_ATTUALI!F170:F500=B1)) *
     ((B2="") + (GIACENZE_ATTUALI!G170:G500=B2)) *
     ((B3="") + (GIACENZE_ATTUALI!H170:H500=B3)) *
     ((B4="") + (GIACENZE_ATTUALI!W170:W500=B4)) *
     ((B5="") + (GIACENZE_ATTUALI!S170:S500=B5))
   )
)</f>
        <v>#NAME?</v>
      </c>
      <c r="M7" s="78" t="e" cm="1">
        <f t="array" aca="1" ref="M7:M31" ca="1">IF(
   _xlfn._xlws.FILTER(
     GIACENZE_ATTUALI!R170:R500,
     ((B1="") + (GIACENZE_ATTUALI!F170:F500=B1)) *
     ((B2="") + (GIACENZE_ATTUALI!G170:G500=B2)) *
     ((B3="") + (GIACENZE_ATTUALI!H170:H500=B3)) *
     ((B4="") + (GIACENZE_ATTUALI!W170:W500=B4)) *
     ((B5="") + (GIACENZE_ATTUALI!S170:S500=B5))
   ) = 0,
   "",
   _xlfn._xlws.FILTER(
     GIACENZE_ATTUALI!R170:R500,
     ((B1="") + (GIACENZE_ATTUALI!F170:F500=B1)) *
     ((B2="") + (GIACENZE_ATTUALI!G170:G500=B2)) *
     ((B3="") + (GIACENZE_ATTUALI!H170:H500=B3)) *
     ((B4="") + (GIACENZE_ATTUALI!W170:W500=B4)) *
     ((B5="") + (GIACENZE_ATTUALI!S170:S500=B5))
   )
)</f>
        <v>#NAME?</v>
      </c>
      <c r="N7" s="112" t="e" cm="1">
        <f t="array" aca="1" ref="N7:N31" ca="1">IF(
   _xlfn._xlws.FILTER(
     GIACENZE_ATTUALI!T170:T500,
     ((B1="") + (GIACENZE_ATTUALI!F170:F500=B1)) *
     ((B2="") + (GIACENZE_ATTUALI!G170:G500=B2)) *
     ((B3="") + (GIACENZE_ATTUALI!H170:H500=B3)) *
     ((B4="") + (GIACENZE_ATTUALI!W170:W500=B4)) *
     ((B5="") + (GIACENZE_ATTUALI!S170:S500=B5))
   ) = 0,
   "",
   _xlfn._xlws.FILTER(
     GIACENZE_ATTUALI!T170:T500,
     ((B1="") + (GIACENZE_ATTUALI!F170:F500=B1)) *
     ((B2="") + (GIACENZE_ATTUALI!G170:G500=B2)) *
     ((B3="") + (GIACENZE_ATTUALI!H170:H500=B3)) *
     ((B4="") + (GIACENZE_ATTUALI!W170:W500=B4)) *
     ((B5="") + (GIACENZE_ATTUALI!S170:S500=B5))
   )
)</f>
        <v>#NAME?</v>
      </c>
      <c r="O7" s="42" t="e" cm="1">
        <f t="array" aca="1" ref="O7:O31" ca="1">IF(
   _xlfn._xlws.FILTER(
     GIACENZE_ATTUALI!U170:U500,
     ((B1="") + (GIACENZE_ATTUALI!F170:F500=B1)) *
     ((B2="") + (GIACENZE_ATTUALI!G170:G500=B2)) *
     ((B3="") + (GIACENZE_ATTUALI!H170:H500=B3)) *
     ((B4="") + (GIACENZE_ATTUALI!W170:W500=B4)) *
     ((B5="") + (GIACENZE_ATTUALI!S170:S500=B5))
   ) = 0,
   "",
   _xlfn._xlws.FILTER(
     GIACENZE_ATTUALI!U170:U500,
     ((B1="") + (GIACENZE_ATTUALI!F170:F500=B1)) *
     ((B2="") + (GIACENZE_ATTUALI!G170:G500=B2)) *
     ((B3="") + (GIACENZE_ATTUALI!H170:H500=B3)) *
     ((B4="") + (GIACENZE_ATTUALI!W170:W500=B4)) *
     ((B5="") + (GIACENZE_ATTUALI!S170:S500=B5))
   )
)</f>
        <v>#NAME?</v>
      </c>
    </row>
    <row r="8" spans="1:24">
      <c r="A8" t="e">
        <f ca="1"/>
        <v>#NAME?</v>
      </c>
      <c r="B8" t="e">
        <f ca="1"/>
        <v>#NAME?</v>
      </c>
      <c r="C8" t="e">
        <f ca="1"/>
        <v>#NAME?</v>
      </c>
      <c r="D8" t="e">
        <f ca="1"/>
        <v>#NAME?</v>
      </c>
      <c r="E8" t="e">
        <f ca="1"/>
        <v>#NAME?</v>
      </c>
      <c r="F8" t="e">
        <f ca="1"/>
        <v>#NAME?</v>
      </c>
      <c r="G8" t="e">
        <f ca="1"/>
        <v>#NAME?</v>
      </c>
      <c r="H8" t="e">
        <f ca="1"/>
        <v>#NAME?</v>
      </c>
      <c r="I8" s="75" t="e">
        <f ca="1"/>
        <v>#NAME?</v>
      </c>
      <c r="J8" s="75" t="e">
        <f ca="1"/>
        <v>#NAME?</v>
      </c>
      <c r="K8" s="75" t="e">
        <f ca="1"/>
        <v>#NAME?</v>
      </c>
      <c r="L8" s="75" t="e">
        <f ca="1"/>
        <v>#NAME?</v>
      </c>
      <c r="M8" s="78" t="e">
        <f ca="1"/>
        <v>#NAME?</v>
      </c>
      <c r="N8" s="112" t="e">
        <f ca="1"/>
        <v>#NAME?</v>
      </c>
      <c r="O8" s="42" t="e">
        <f ca="1"/>
        <v>#NAME?</v>
      </c>
    </row>
    <row r="9" spans="1:24">
      <c r="A9" t="e">
        <f ca="1"/>
        <v>#NAME?</v>
      </c>
      <c r="B9" t="e">
        <f ca="1"/>
        <v>#NAME?</v>
      </c>
      <c r="C9" t="e">
        <f ca="1"/>
        <v>#NAME?</v>
      </c>
      <c r="D9" t="e">
        <f ca="1"/>
        <v>#NAME?</v>
      </c>
      <c r="E9" t="e">
        <f ca="1"/>
        <v>#NAME?</v>
      </c>
      <c r="F9" t="e">
        <f ca="1"/>
        <v>#NAME?</v>
      </c>
      <c r="G9" t="e">
        <f ca="1"/>
        <v>#NAME?</v>
      </c>
      <c r="H9" t="e">
        <f ca="1"/>
        <v>#NAME?</v>
      </c>
      <c r="I9" s="75" t="e">
        <f ca="1"/>
        <v>#NAME?</v>
      </c>
      <c r="J9" s="75" t="e">
        <f ca="1"/>
        <v>#NAME?</v>
      </c>
      <c r="K9" s="75" t="e">
        <f ca="1"/>
        <v>#NAME?</v>
      </c>
      <c r="L9" s="75" t="e">
        <f ca="1"/>
        <v>#NAME?</v>
      </c>
      <c r="M9" s="78" t="e">
        <f ca="1"/>
        <v>#NAME?</v>
      </c>
      <c r="N9" s="112" t="e">
        <f ca="1"/>
        <v>#NAME?</v>
      </c>
      <c r="O9" s="42" t="e">
        <f ca="1"/>
        <v>#NAME?</v>
      </c>
    </row>
    <row r="10" spans="1:24">
      <c r="A10" t="e">
        <f ca="1"/>
        <v>#NAME?</v>
      </c>
      <c r="B10" t="e">
        <f ca="1"/>
        <v>#NAME?</v>
      </c>
      <c r="C10" t="e">
        <f ca="1"/>
        <v>#NAME?</v>
      </c>
      <c r="D10" t="e">
        <f ca="1"/>
        <v>#NAME?</v>
      </c>
      <c r="E10" t="e">
        <f ca="1"/>
        <v>#NAME?</v>
      </c>
      <c r="F10" t="e">
        <f ca="1"/>
        <v>#NAME?</v>
      </c>
      <c r="G10" t="e">
        <f ca="1"/>
        <v>#NAME?</v>
      </c>
      <c r="H10" t="e">
        <f ca="1"/>
        <v>#NAME?</v>
      </c>
      <c r="I10" s="75" t="e">
        <f ca="1"/>
        <v>#NAME?</v>
      </c>
      <c r="J10" s="75" t="e">
        <f ca="1"/>
        <v>#NAME?</v>
      </c>
      <c r="K10" s="75" t="e">
        <f ca="1"/>
        <v>#NAME?</v>
      </c>
      <c r="L10" s="75" t="e">
        <f ca="1"/>
        <v>#NAME?</v>
      </c>
      <c r="M10" s="78" t="e">
        <f ca="1"/>
        <v>#NAME?</v>
      </c>
      <c r="N10" s="112" t="e">
        <f ca="1"/>
        <v>#NAME?</v>
      </c>
      <c r="O10" s="42" t="e">
        <f ca="1"/>
        <v>#NAME?</v>
      </c>
    </row>
    <row r="11" spans="1:24">
      <c r="A11" t="e">
        <f ca="1"/>
        <v>#NAME?</v>
      </c>
      <c r="B11" t="e">
        <f ca="1"/>
        <v>#NAME?</v>
      </c>
      <c r="C11" t="e">
        <f ca="1"/>
        <v>#NAME?</v>
      </c>
      <c r="D11" t="e">
        <f ca="1"/>
        <v>#NAME?</v>
      </c>
      <c r="E11" t="e">
        <f ca="1"/>
        <v>#NAME?</v>
      </c>
      <c r="F11" t="e">
        <f ca="1"/>
        <v>#NAME?</v>
      </c>
      <c r="G11" t="e">
        <f ca="1"/>
        <v>#NAME?</v>
      </c>
      <c r="H11" t="e">
        <f ca="1"/>
        <v>#NAME?</v>
      </c>
      <c r="I11" s="75" t="e">
        <f ca="1"/>
        <v>#NAME?</v>
      </c>
      <c r="J11" s="75" t="e">
        <f ca="1"/>
        <v>#NAME?</v>
      </c>
      <c r="K11" s="75" t="e">
        <f ca="1"/>
        <v>#NAME?</v>
      </c>
      <c r="L11" s="75" t="e">
        <f ca="1"/>
        <v>#NAME?</v>
      </c>
      <c r="M11" s="78" t="e">
        <f ca="1"/>
        <v>#NAME?</v>
      </c>
      <c r="N11" s="112" t="e">
        <f ca="1"/>
        <v>#NAME?</v>
      </c>
      <c r="O11" s="42" t="e">
        <f ca="1"/>
        <v>#NAME?</v>
      </c>
    </row>
    <row r="12" spans="1:24">
      <c r="A12" t="e">
        <f ca="1"/>
        <v>#NAME?</v>
      </c>
      <c r="B12" t="e">
        <f ca="1"/>
        <v>#NAME?</v>
      </c>
      <c r="C12" t="e">
        <f ca="1"/>
        <v>#NAME?</v>
      </c>
      <c r="D12" t="e">
        <f ca="1"/>
        <v>#NAME?</v>
      </c>
      <c r="E12" t="e">
        <f ca="1"/>
        <v>#NAME?</v>
      </c>
      <c r="F12" t="e">
        <f ca="1"/>
        <v>#NAME?</v>
      </c>
      <c r="G12" t="e">
        <f ca="1"/>
        <v>#NAME?</v>
      </c>
      <c r="H12" t="e">
        <f ca="1"/>
        <v>#NAME?</v>
      </c>
      <c r="I12" s="75" t="e">
        <f ca="1"/>
        <v>#NAME?</v>
      </c>
      <c r="J12" s="75" t="e">
        <f ca="1"/>
        <v>#NAME?</v>
      </c>
      <c r="K12" s="75" t="e">
        <f ca="1"/>
        <v>#NAME?</v>
      </c>
      <c r="L12" s="75" t="e">
        <f ca="1"/>
        <v>#NAME?</v>
      </c>
      <c r="M12" s="78" t="e">
        <f ca="1"/>
        <v>#NAME?</v>
      </c>
      <c r="N12" s="112" t="e">
        <f ca="1"/>
        <v>#NAME?</v>
      </c>
      <c r="O12" t="e">
        <f ca="1"/>
        <v>#NAME?</v>
      </c>
    </row>
    <row r="13" spans="1:24">
      <c r="A13" t="e">
        <f ca="1"/>
        <v>#NAME?</v>
      </c>
      <c r="B13" t="e">
        <f ca="1"/>
        <v>#NAME?</v>
      </c>
      <c r="C13" t="e">
        <f ca="1"/>
        <v>#NAME?</v>
      </c>
      <c r="D13" t="e">
        <f ca="1"/>
        <v>#NAME?</v>
      </c>
      <c r="E13" t="e">
        <f ca="1"/>
        <v>#NAME?</v>
      </c>
      <c r="F13" t="e">
        <f ca="1"/>
        <v>#NAME?</v>
      </c>
      <c r="G13" t="e">
        <f ca="1"/>
        <v>#NAME?</v>
      </c>
      <c r="H13" t="e">
        <f ca="1"/>
        <v>#NAME?</v>
      </c>
      <c r="I13" s="75" t="e">
        <f ca="1"/>
        <v>#NAME?</v>
      </c>
      <c r="J13" s="75" t="e">
        <f ca="1"/>
        <v>#NAME?</v>
      </c>
      <c r="K13" s="75" t="e">
        <f ca="1"/>
        <v>#NAME?</v>
      </c>
      <c r="L13" s="75" t="e">
        <f ca="1"/>
        <v>#NAME?</v>
      </c>
      <c r="M13" s="78" t="e">
        <f ca="1"/>
        <v>#NAME?</v>
      </c>
      <c r="N13" s="112" t="e">
        <f ca="1"/>
        <v>#NAME?</v>
      </c>
      <c r="O13" t="e">
        <f ca="1"/>
        <v>#NAME?</v>
      </c>
    </row>
    <row r="14" spans="1:24">
      <c r="A14" t="e">
        <f ca="1"/>
        <v>#NAME?</v>
      </c>
      <c r="B14" t="e">
        <f ca="1"/>
        <v>#NAME?</v>
      </c>
      <c r="C14" t="e">
        <f ca="1"/>
        <v>#NAME?</v>
      </c>
      <c r="D14" t="e">
        <f ca="1"/>
        <v>#NAME?</v>
      </c>
      <c r="E14" t="e">
        <f ca="1"/>
        <v>#NAME?</v>
      </c>
      <c r="F14" t="e">
        <f ca="1"/>
        <v>#NAME?</v>
      </c>
      <c r="G14" t="e">
        <f ca="1"/>
        <v>#NAME?</v>
      </c>
      <c r="H14" t="e">
        <f ca="1"/>
        <v>#NAME?</v>
      </c>
      <c r="I14" s="75" t="e">
        <f ca="1"/>
        <v>#NAME?</v>
      </c>
      <c r="J14" s="75" t="e">
        <f ca="1"/>
        <v>#NAME?</v>
      </c>
      <c r="K14" s="75" t="e">
        <f ca="1"/>
        <v>#NAME?</v>
      </c>
      <c r="L14" s="75" t="e">
        <f ca="1"/>
        <v>#NAME?</v>
      </c>
      <c r="M14" s="78" t="e">
        <f ca="1"/>
        <v>#NAME?</v>
      </c>
      <c r="N14" s="112" t="e">
        <f ca="1"/>
        <v>#NAME?</v>
      </c>
      <c r="O14" t="e">
        <f ca="1"/>
        <v>#NAME?</v>
      </c>
    </row>
    <row r="15" spans="1:24">
      <c r="A15" t="e">
        <f ca="1"/>
        <v>#NAME?</v>
      </c>
      <c r="B15" t="e">
        <f ca="1"/>
        <v>#NAME?</v>
      </c>
      <c r="C15" t="e">
        <f ca="1"/>
        <v>#NAME?</v>
      </c>
      <c r="D15" t="e">
        <f ca="1"/>
        <v>#NAME?</v>
      </c>
      <c r="E15" t="e">
        <f ca="1"/>
        <v>#NAME?</v>
      </c>
      <c r="F15" t="e">
        <f ca="1"/>
        <v>#NAME?</v>
      </c>
      <c r="G15" t="e">
        <f ca="1"/>
        <v>#NAME?</v>
      </c>
      <c r="H15" t="e">
        <f ca="1"/>
        <v>#NAME?</v>
      </c>
      <c r="I15" s="75" t="e">
        <f ca="1"/>
        <v>#NAME?</v>
      </c>
      <c r="J15" s="75" t="e">
        <f ca="1"/>
        <v>#NAME?</v>
      </c>
      <c r="K15" s="75" t="e">
        <f ca="1"/>
        <v>#NAME?</v>
      </c>
      <c r="L15" s="75" t="e">
        <f ca="1"/>
        <v>#NAME?</v>
      </c>
      <c r="M15" s="78" t="e">
        <f ca="1"/>
        <v>#NAME?</v>
      </c>
      <c r="N15" s="112" t="e">
        <f ca="1"/>
        <v>#NAME?</v>
      </c>
      <c r="O15" t="e">
        <f ca="1"/>
        <v>#NAME?</v>
      </c>
    </row>
    <row r="16" spans="1:24">
      <c r="A16" t="e">
        <f ca="1"/>
        <v>#NAME?</v>
      </c>
      <c r="B16" t="e">
        <f ca="1"/>
        <v>#NAME?</v>
      </c>
      <c r="C16" t="e">
        <f ca="1"/>
        <v>#NAME?</v>
      </c>
      <c r="D16" t="e">
        <f ca="1"/>
        <v>#NAME?</v>
      </c>
      <c r="E16" t="e">
        <f ca="1"/>
        <v>#NAME?</v>
      </c>
      <c r="F16" t="e">
        <f ca="1"/>
        <v>#NAME?</v>
      </c>
      <c r="G16" t="e">
        <f ca="1"/>
        <v>#NAME?</v>
      </c>
      <c r="H16" t="e">
        <f ca="1"/>
        <v>#NAME?</v>
      </c>
      <c r="I16" s="75" t="e">
        <f ca="1"/>
        <v>#NAME?</v>
      </c>
      <c r="J16" s="75" t="e">
        <f ca="1"/>
        <v>#NAME?</v>
      </c>
      <c r="K16" s="75" t="e">
        <f ca="1"/>
        <v>#NAME?</v>
      </c>
      <c r="L16" s="75" t="e">
        <f ca="1"/>
        <v>#NAME?</v>
      </c>
      <c r="M16" s="78" t="e">
        <f ca="1"/>
        <v>#NAME?</v>
      </c>
      <c r="N16" s="112" t="e">
        <f ca="1"/>
        <v>#NAME?</v>
      </c>
      <c r="O16" t="e">
        <f ca="1"/>
        <v>#NAME?</v>
      </c>
    </row>
    <row r="17" spans="1:15">
      <c r="A17" t="e">
        <f ca="1"/>
        <v>#NAME?</v>
      </c>
      <c r="B17" t="e">
        <f ca="1"/>
        <v>#NAME?</v>
      </c>
      <c r="C17" t="e">
        <f ca="1"/>
        <v>#NAME?</v>
      </c>
      <c r="D17" t="e">
        <f ca="1"/>
        <v>#NAME?</v>
      </c>
      <c r="E17" t="e">
        <f ca="1"/>
        <v>#NAME?</v>
      </c>
      <c r="F17" t="e">
        <f ca="1"/>
        <v>#NAME?</v>
      </c>
      <c r="G17" t="e">
        <f ca="1"/>
        <v>#NAME?</v>
      </c>
      <c r="H17" t="e">
        <f ca="1"/>
        <v>#NAME?</v>
      </c>
      <c r="I17" s="75" t="e">
        <f ca="1"/>
        <v>#NAME?</v>
      </c>
      <c r="J17" s="75" t="e">
        <f ca="1"/>
        <v>#NAME?</v>
      </c>
      <c r="K17" s="75" t="e">
        <f ca="1"/>
        <v>#NAME?</v>
      </c>
      <c r="L17" s="75" t="e">
        <f ca="1"/>
        <v>#NAME?</v>
      </c>
      <c r="M17" s="78" t="e">
        <f ca="1"/>
        <v>#NAME?</v>
      </c>
      <c r="N17" s="112" t="e">
        <f ca="1"/>
        <v>#NAME?</v>
      </c>
      <c r="O17" t="e">
        <f ca="1"/>
        <v>#NAME?</v>
      </c>
    </row>
    <row r="18" spans="1:15">
      <c r="A18" t="e">
        <f ca="1"/>
        <v>#NAME?</v>
      </c>
      <c r="B18" t="e">
        <f ca="1"/>
        <v>#NAME?</v>
      </c>
      <c r="C18" t="e">
        <f ca="1"/>
        <v>#NAME?</v>
      </c>
      <c r="D18" t="e">
        <f ca="1"/>
        <v>#NAME?</v>
      </c>
      <c r="E18" t="e">
        <f ca="1"/>
        <v>#NAME?</v>
      </c>
      <c r="F18" t="e">
        <f ca="1"/>
        <v>#NAME?</v>
      </c>
      <c r="G18" t="e">
        <f ca="1"/>
        <v>#NAME?</v>
      </c>
      <c r="H18" t="e">
        <f ca="1"/>
        <v>#NAME?</v>
      </c>
      <c r="I18" s="75" t="e">
        <f ca="1"/>
        <v>#NAME?</v>
      </c>
      <c r="J18" s="75" t="e">
        <f ca="1"/>
        <v>#NAME?</v>
      </c>
      <c r="K18" s="75" t="e">
        <f ca="1"/>
        <v>#NAME?</v>
      </c>
      <c r="L18" s="75" t="e">
        <f ca="1"/>
        <v>#NAME?</v>
      </c>
      <c r="M18" s="78" t="e">
        <f ca="1"/>
        <v>#NAME?</v>
      </c>
      <c r="N18" s="112" t="e">
        <f ca="1"/>
        <v>#NAME?</v>
      </c>
      <c r="O18" t="e">
        <f ca="1"/>
        <v>#NAME?</v>
      </c>
    </row>
    <row r="19" spans="1:15">
      <c r="A19" t="e">
        <f ca="1"/>
        <v>#NAME?</v>
      </c>
      <c r="B19" t="e">
        <f ca="1"/>
        <v>#NAME?</v>
      </c>
      <c r="C19" t="e">
        <f ca="1"/>
        <v>#NAME?</v>
      </c>
      <c r="D19" t="e">
        <f ca="1"/>
        <v>#NAME?</v>
      </c>
      <c r="E19" t="e">
        <f ca="1"/>
        <v>#NAME?</v>
      </c>
      <c r="F19" t="e">
        <f ca="1"/>
        <v>#NAME?</v>
      </c>
      <c r="G19" t="e">
        <f ca="1"/>
        <v>#NAME?</v>
      </c>
      <c r="H19" t="e">
        <f ca="1"/>
        <v>#NAME?</v>
      </c>
      <c r="I19" s="75" t="e">
        <f ca="1"/>
        <v>#NAME?</v>
      </c>
      <c r="J19" s="75" t="e">
        <f ca="1"/>
        <v>#NAME?</v>
      </c>
      <c r="K19" s="75" t="e">
        <f ca="1"/>
        <v>#NAME?</v>
      </c>
      <c r="L19" s="75" t="e">
        <f ca="1"/>
        <v>#NAME?</v>
      </c>
      <c r="M19" s="78" t="e">
        <f ca="1"/>
        <v>#NAME?</v>
      </c>
      <c r="N19" s="112" t="e">
        <f ca="1"/>
        <v>#NAME?</v>
      </c>
      <c r="O19" t="e">
        <f ca="1"/>
        <v>#NAME?</v>
      </c>
    </row>
    <row r="20" spans="1:15">
      <c r="A20" t="e">
        <f ca="1"/>
        <v>#NAME?</v>
      </c>
      <c r="B20" t="e">
        <f ca="1"/>
        <v>#NAME?</v>
      </c>
      <c r="C20" t="e">
        <f ca="1"/>
        <v>#NAME?</v>
      </c>
      <c r="D20" t="e">
        <f ca="1"/>
        <v>#NAME?</v>
      </c>
      <c r="E20" t="e">
        <f ca="1"/>
        <v>#NAME?</v>
      </c>
      <c r="F20" t="e">
        <f ca="1"/>
        <v>#NAME?</v>
      </c>
      <c r="G20" t="e">
        <f ca="1"/>
        <v>#NAME?</v>
      </c>
      <c r="H20" t="e">
        <f ca="1"/>
        <v>#NAME?</v>
      </c>
      <c r="I20" s="75" t="e">
        <f ca="1"/>
        <v>#NAME?</v>
      </c>
      <c r="J20" s="75" t="e">
        <f ca="1"/>
        <v>#NAME?</v>
      </c>
      <c r="K20" s="75" t="e">
        <f ca="1"/>
        <v>#NAME?</v>
      </c>
      <c r="L20" s="75" t="e">
        <f ca="1"/>
        <v>#NAME?</v>
      </c>
      <c r="M20" s="78" t="e">
        <f ca="1"/>
        <v>#NAME?</v>
      </c>
      <c r="N20" s="112" t="e">
        <f ca="1"/>
        <v>#NAME?</v>
      </c>
      <c r="O20" t="e">
        <f ca="1"/>
        <v>#NAME?</v>
      </c>
    </row>
    <row r="21" spans="1:15">
      <c r="A21" t="e">
        <f ca="1"/>
        <v>#NAME?</v>
      </c>
      <c r="B21" t="e">
        <f ca="1"/>
        <v>#NAME?</v>
      </c>
      <c r="C21" t="e">
        <f ca="1"/>
        <v>#NAME?</v>
      </c>
      <c r="D21" t="e">
        <f ca="1"/>
        <v>#NAME?</v>
      </c>
      <c r="E21" t="e">
        <f ca="1"/>
        <v>#NAME?</v>
      </c>
      <c r="F21" t="e">
        <f ca="1"/>
        <v>#NAME?</v>
      </c>
      <c r="G21" t="e">
        <f ca="1"/>
        <v>#NAME?</v>
      </c>
      <c r="H21" t="e">
        <f ca="1"/>
        <v>#NAME?</v>
      </c>
      <c r="I21" s="75" t="e">
        <f ca="1"/>
        <v>#NAME?</v>
      </c>
      <c r="J21" s="75" t="e">
        <f ca="1"/>
        <v>#NAME?</v>
      </c>
      <c r="K21" s="75" t="e">
        <f ca="1"/>
        <v>#NAME?</v>
      </c>
      <c r="L21" s="75" t="e">
        <f ca="1"/>
        <v>#NAME?</v>
      </c>
      <c r="M21" s="78" t="e">
        <f ca="1"/>
        <v>#NAME?</v>
      </c>
      <c r="N21" s="112" t="e">
        <f ca="1"/>
        <v>#NAME?</v>
      </c>
      <c r="O21" t="e">
        <f ca="1"/>
        <v>#NAME?</v>
      </c>
    </row>
    <row r="22" spans="1:15">
      <c r="A22" t="e">
        <f ca="1"/>
        <v>#NAME?</v>
      </c>
      <c r="B22" t="e">
        <f ca="1"/>
        <v>#NAME?</v>
      </c>
      <c r="C22" t="e">
        <f ca="1"/>
        <v>#NAME?</v>
      </c>
      <c r="D22" t="e">
        <f ca="1"/>
        <v>#NAME?</v>
      </c>
      <c r="E22" t="e">
        <f ca="1"/>
        <v>#NAME?</v>
      </c>
      <c r="F22" t="e">
        <f ca="1"/>
        <v>#NAME?</v>
      </c>
      <c r="G22" t="e">
        <f ca="1"/>
        <v>#NAME?</v>
      </c>
      <c r="H22" t="e">
        <f ca="1"/>
        <v>#NAME?</v>
      </c>
      <c r="I22" s="75" t="e">
        <f ca="1"/>
        <v>#NAME?</v>
      </c>
      <c r="J22" s="75" t="e">
        <f ca="1"/>
        <v>#NAME?</v>
      </c>
      <c r="K22" s="75" t="e">
        <f ca="1"/>
        <v>#NAME?</v>
      </c>
      <c r="L22" s="75" t="e">
        <f ca="1"/>
        <v>#NAME?</v>
      </c>
      <c r="M22" s="78" t="e">
        <f ca="1"/>
        <v>#NAME?</v>
      </c>
      <c r="N22" s="112" t="e">
        <f ca="1"/>
        <v>#NAME?</v>
      </c>
      <c r="O22" t="e">
        <f ca="1"/>
        <v>#NAME?</v>
      </c>
    </row>
    <row r="23" spans="1:15">
      <c r="A23" t="e">
        <f ca="1"/>
        <v>#NAME?</v>
      </c>
      <c r="B23" t="e">
        <f ca="1"/>
        <v>#NAME?</v>
      </c>
      <c r="C23" t="e">
        <f ca="1"/>
        <v>#NAME?</v>
      </c>
      <c r="D23" t="e">
        <f ca="1"/>
        <v>#NAME?</v>
      </c>
      <c r="E23" t="e">
        <f ca="1"/>
        <v>#NAME?</v>
      </c>
      <c r="F23" t="e">
        <f ca="1"/>
        <v>#NAME?</v>
      </c>
      <c r="G23" t="e">
        <f ca="1"/>
        <v>#NAME?</v>
      </c>
      <c r="H23" t="e">
        <f ca="1"/>
        <v>#NAME?</v>
      </c>
      <c r="I23" s="75" t="e">
        <f ca="1"/>
        <v>#NAME?</v>
      </c>
      <c r="J23" s="75" t="e">
        <f ca="1"/>
        <v>#NAME?</v>
      </c>
      <c r="K23" s="75" t="e">
        <f ca="1"/>
        <v>#NAME?</v>
      </c>
      <c r="L23" s="75" t="e">
        <f ca="1"/>
        <v>#NAME?</v>
      </c>
      <c r="M23" s="78" t="e">
        <f ca="1"/>
        <v>#NAME?</v>
      </c>
      <c r="N23" s="112" t="e">
        <f ca="1"/>
        <v>#NAME?</v>
      </c>
      <c r="O23" t="e">
        <f ca="1"/>
        <v>#NAME?</v>
      </c>
    </row>
    <row r="24" spans="1:15">
      <c r="A24" t="e">
        <f ca="1"/>
        <v>#NAME?</v>
      </c>
      <c r="B24" t="e">
        <f ca="1"/>
        <v>#NAME?</v>
      </c>
      <c r="C24" t="e">
        <f ca="1"/>
        <v>#NAME?</v>
      </c>
      <c r="D24" t="e">
        <f ca="1"/>
        <v>#NAME?</v>
      </c>
      <c r="E24" t="e">
        <f ca="1"/>
        <v>#NAME?</v>
      </c>
      <c r="F24" t="e">
        <f ca="1"/>
        <v>#NAME?</v>
      </c>
      <c r="G24" t="e">
        <f ca="1"/>
        <v>#NAME?</v>
      </c>
      <c r="H24" t="e">
        <f ca="1"/>
        <v>#NAME?</v>
      </c>
      <c r="I24" s="75" t="e">
        <f ca="1"/>
        <v>#NAME?</v>
      </c>
      <c r="J24" s="75" t="e">
        <f ca="1"/>
        <v>#NAME?</v>
      </c>
      <c r="K24" s="75" t="e">
        <f ca="1"/>
        <v>#NAME?</v>
      </c>
      <c r="L24" s="75" t="e">
        <f ca="1"/>
        <v>#NAME?</v>
      </c>
      <c r="M24" s="78" t="e">
        <f ca="1"/>
        <v>#NAME?</v>
      </c>
      <c r="N24" s="112" t="e">
        <f ca="1"/>
        <v>#NAME?</v>
      </c>
      <c r="O24" t="e">
        <f ca="1"/>
        <v>#NAME?</v>
      </c>
    </row>
    <row r="25" spans="1:15">
      <c r="A25" t="e">
        <f ca="1"/>
        <v>#NAME?</v>
      </c>
      <c r="B25" t="e">
        <f ca="1"/>
        <v>#NAME?</v>
      </c>
      <c r="C25" t="e">
        <f ca="1"/>
        <v>#NAME?</v>
      </c>
      <c r="D25" t="e">
        <f ca="1"/>
        <v>#NAME?</v>
      </c>
      <c r="E25" t="e">
        <f ca="1"/>
        <v>#NAME?</v>
      </c>
      <c r="F25" t="e">
        <f ca="1"/>
        <v>#NAME?</v>
      </c>
      <c r="G25" t="e">
        <f ca="1"/>
        <v>#NAME?</v>
      </c>
      <c r="H25" t="e">
        <f ca="1"/>
        <v>#NAME?</v>
      </c>
      <c r="I25" s="75" t="e">
        <f ca="1"/>
        <v>#NAME?</v>
      </c>
      <c r="J25" s="75" t="e">
        <f ca="1"/>
        <v>#NAME?</v>
      </c>
      <c r="K25" s="75" t="e">
        <f ca="1"/>
        <v>#NAME?</v>
      </c>
      <c r="L25" s="75" t="e">
        <f ca="1"/>
        <v>#NAME?</v>
      </c>
      <c r="M25" s="78" t="e">
        <f ca="1"/>
        <v>#NAME?</v>
      </c>
      <c r="N25" s="112" t="e">
        <f ca="1"/>
        <v>#NAME?</v>
      </c>
      <c r="O25" t="e">
        <f ca="1"/>
        <v>#NAME?</v>
      </c>
    </row>
    <row r="26" spans="1:15">
      <c r="A26" t="e">
        <f ca="1"/>
        <v>#NAME?</v>
      </c>
      <c r="B26" t="e">
        <f ca="1"/>
        <v>#NAME?</v>
      </c>
      <c r="C26" t="e">
        <f ca="1"/>
        <v>#NAME?</v>
      </c>
      <c r="D26" t="e">
        <f ca="1"/>
        <v>#NAME?</v>
      </c>
      <c r="E26" t="e">
        <f ca="1"/>
        <v>#NAME?</v>
      </c>
      <c r="F26" t="e">
        <f ca="1"/>
        <v>#NAME?</v>
      </c>
      <c r="G26" t="e">
        <f ca="1"/>
        <v>#NAME?</v>
      </c>
      <c r="H26" t="e">
        <f ca="1"/>
        <v>#NAME?</v>
      </c>
      <c r="I26" s="75" t="e">
        <f ca="1"/>
        <v>#NAME?</v>
      </c>
      <c r="J26" s="75" t="e">
        <f ca="1"/>
        <v>#NAME?</v>
      </c>
      <c r="K26" s="75" t="e">
        <f ca="1"/>
        <v>#NAME?</v>
      </c>
      <c r="L26" s="75" t="e">
        <f ca="1"/>
        <v>#NAME?</v>
      </c>
      <c r="M26" s="78" t="e">
        <f ca="1"/>
        <v>#NAME?</v>
      </c>
      <c r="N26" s="112" t="e">
        <f ca="1"/>
        <v>#NAME?</v>
      </c>
      <c r="O26" t="e">
        <f ca="1"/>
        <v>#NAME?</v>
      </c>
    </row>
    <row r="27" spans="1:15">
      <c r="A27" t="e">
        <f ca="1"/>
        <v>#NAME?</v>
      </c>
      <c r="B27" t="e">
        <f ca="1"/>
        <v>#NAME?</v>
      </c>
      <c r="C27" t="e">
        <f ca="1"/>
        <v>#NAME?</v>
      </c>
      <c r="D27" t="e">
        <f ca="1"/>
        <v>#NAME?</v>
      </c>
      <c r="E27" t="e">
        <f ca="1"/>
        <v>#NAME?</v>
      </c>
      <c r="F27" t="e">
        <f ca="1"/>
        <v>#NAME?</v>
      </c>
      <c r="G27" t="e">
        <f ca="1"/>
        <v>#NAME?</v>
      </c>
      <c r="H27" t="e">
        <f ca="1"/>
        <v>#NAME?</v>
      </c>
      <c r="I27" s="75" t="e">
        <f ca="1"/>
        <v>#NAME?</v>
      </c>
      <c r="J27" s="75" t="e">
        <f ca="1"/>
        <v>#NAME?</v>
      </c>
      <c r="K27" s="75" t="e">
        <f ca="1"/>
        <v>#NAME?</v>
      </c>
      <c r="L27" s="75" t="e">
        <f ca="1"/>
        <v>#NAME?</v>
      </c>
      <c r="M27" s="78" t="e">
        <f ca="1"/>
        <v>#NAME?</v>
      </c>
      <c r="N27" s="112" t="e">
        <f ca="1"/>
        <v>#NAME?</v>
      </c>
      <c r="O27" t="e">
        <f ca="1"/>
        <v>#NAME?</v>
      </c>
    </row>
    <row r="28" spans="1:15">
      <c r="A28" t="e">
        <f ca="1"/>
        <v>#NAME?</v>
      </c>
      <c r="B28" t="e">
        <f ca="1"/>
        <v>#NAME?</v>
      </c>
      <c r="C28" t="e">
        <f ca="1"/>
        <v>#NAME?</v>
      </c>
      <c r="D28" t="e">
        <f ca="1"/>
        <v>#NAME?</v>
      </c>
      <c r="E28" t="e">
        <f ca="1"/>
        <v>#NAME?</v>
      </c>
      <c r="F28" t="e">
        <f ca="1"/>
        <v>#NAME?</v>
      </c>
      <c r="G28" t="e">
        <f ca="1"/>
        <v>#NAME?</v>
      </c>
      <c r="H28" t="e">
        <f ca="1"/>
        <v>#NAME?</v>
      </c>
      <c r="I28" s="75" t="e">
        <f ca="1"/>
        <v>#NAME?</v>
      </c>
      <c r="J28" s="75" t="e">
        <f ca="1"/>
        <v>#NAME?</v>
      </c>
      <c r="K28" s="75" t="e">
        <f ca="1"/>
        <v>#NAME?</v>
      </c>
      <c r="L28" s="75" t="e">
        <f ca="1"/>
        <v>#NAME?</v>
      </c>
      <c r="M28" s="78" t="e">
        <f ca="1"/>
        <v>#NAME?</v>
      </c>
      <c r="N28" s="112" t="e">
        <f ca="1"/>
        <v>#NAME?</v>
      </c>
      <c r="O28" t="e">
        <f ca="1"/>
        <v>#NAME?</v>
      </c>
    </row>
    <row r="29" spans="1:15">
      <c r="A29" t="e">
        <f ca="1"/>
        <v>#NAME?</v>
      </c>
      <c r="B29" t="e">
        <f ca="1"/>
        <v>#NAME?</v>
      </c>
      <c r="C29" t="e">
        <f ca="1"/>
        <v>#NAME?</v>
      </c>
      <c r="D29" t="e">
        <f ca="1"/>
        <v>#NAME?</v>
      </c>
      <c r="E29" t="e">
        <f ca="1"/>
        <v>#NAME?</v>
      </c>
      <c r="F29" t="e">
        <f ca="1"/>
        <v>#NAME?</v>
      </c>
      <c r="G29" t="e">
        <f ca="1"/>
        <v>#NAME?</v>
      </c>
      <c r="H29" t="e">
        <f ca="1"/>
        <v>#NAME?</v>
      </c>
      <c r="I29" s="75" t="e">
        <f ca="1"/>
        <v>#NAME?</v>
      </c>
      <c r="J29" s="75" t="e">
        <f ca="1"/>
        <v>#NAME?</v>
      </c>
      <c r="K29" s="75" t="e">
        <f ca="1"/>
        <v>#NAME?</v>
      </c>
      <c r="L29" s="75" t="e">
        <f ca="1"/>
        <v>#NAME?</v>
      </c>
      <c r="M29" s="78" t="e">
        <f ca="1"/>
        <v>#NAME?</v>
      </c>
      <c r="N29" s="112" t="e">
        <f ca="1"/>
        <v>#NAME?</v>
      </c>
      <c r="O29" t="e">
        <f ca="1"/>
        <v>#NAME?</v>
      </c>
    </row>
    <row r="30" spans="1:15">
      <c r="A30" t="e">
        <f ca="1"/>
        <v>#NAME?</v>
      </c>
      <c r="B30" t="e">
        <f ca="1"/>
        <v>#NAME?</v>
      </c>
      <c r="C30" t="e">
        <f ca="1"/>
        <v>#NAME?</v>
      </c>
      <c r="D30" t="e">
        <f ca="1"/>
        <v>#NAME?</v>
      </c>
      <c r="E30" t="e">
        <f ca="1"/>
        <v>#NAME?</v>
      </c>
      <c r="F30" t="e">
        <f ca="1"/>
        <v>#NAME?</v>
      </c>
      <c r="G30" t="e">
        <f ca="1"/>
        <v>#NAME?</v>
      </c>
      <c r="H30" t="e">
        <f ca="1"/>
        <v>#NAME?</v>
      </c>
      <c r="I30" s="75" t="e">
        <f ca="1"/>
        <v>#NAME?</v>
      </c>
      <c r="J30" s="75" t="e">
        <f ca="1"/>
        <v>#NAME?</v>
      </c>
      <c r="K30" s="75" t="e">
        <f ca="1"/>
        <v>#NAME?</v>
      </c>
      <c r="L30" s="75" t="e">
        <f ca="1"/>
        <v>#NAME?</v>
      </c>
      <c r="M30" s="78" t="e">
        <f ca="1"/>
        <v>#NAME?</v>
      </c>
      <c r="N30" s="112" t="e">
        <f ca="1"/>
        <v>#NAME?</v>
      </c>
      <c r="O30" t="e">
        <f ca="1"/>
        <v>#NAME?</v>
      </c>
    </row>
    <row r="31" spans="1:15">
      <c r="A31" t="e">
        <f ca="1"/>
        <v>#NAME?</v>
      </c>
      <c r="B31" t="e">
        <f ca="1"/>
        <v>#NAME?</v>
      </c>
      <c r="C31" t="e">
        <f ca="1"/>
        <v>#NAME?</v>
      </c>
      <c r="D31" t="e">
        <f ca="1"/>
        <v>#NAME?</v>
      </c>
      <c r="E31" t="e">
        <f ca="1"/>
        <v>#NAME?</v>
      </c>
      <c r="F31" t="e">
        <f ca="1"/>
        <v>#NAME?</v>
      </c>
      <c r="G31" t="e">
        <f ca="1"/>
        <v>#NAME?</v>
      </c>
      <c r="H31" t="e">
        <f ca="1"/>
        <v>#NAME?</v>
      </c>
      <c r="I31" s="75" t="e">
        <f ca="1"/>
        <v>#NAME?</v>
      </c>
      <c r="J31" s="75" t="e">
        <f ca="1"/>
        <v>#NAME?</v>
      </c>
      <c r="K31" s="75" t="e">
        <f ca="1"/>
        <v>#NAME?</v>
      </c>
      <c r="L31" s="75" t="e">
        <f ca="1"/>
        <v>#NAME?</v>
      </c>
      <c r="M31" s="78" t="e">
        <f ca="1"/>
        <v>#NAME?</v>
      </c>
      <c r="N31" s="112" t="e">
        <f ca="1"/>
        <v>#NAME?</v>
      </c>
      <c r="O31" t="e">
        <f ca="1"/>
        <v>#NAME?</v>
      </c>
    </row>
    <row r="32" spans="1:15">
      <c r="M32" s="78"/>
      <c r="N32" s="112"/>
    </row>
    <row r="33" spans="13:14">
      <c r="M33" s="78"/>
      <c r="N33" s="112"/>
    </row>
    <row r="34" spans="13:14">
      <c r="M34" s="78"/>
    </row>
    <row r="35" spans="13:14">
      <c r="M35" s="78"/>
    </row>
    <row r="36" spans="13:14">
      <c r="M36" s="78"/>
    </row>
    <row r="37" spans="13:14">
      <c r="M37" s="78"/>
    </row>
    <row r="38" spans="13:14">
      <c r="M38" s="78"/>
    </row>
    <row r="39" spans="13:14">
      <c r="M39" s="78"/>
    </row>
    <row r="40" spans="13:14">
      <c r="M40" s="78"/>
    </row>
    <row r="41" spans="13:14">
      <c r="M41" s="78"/>
    </row>
    <row r="42" spans="13:14">
      <c r="M42" s="78"/>
    </row>
    <row r="43" spans="13:14">
      <c r="M43" s="78"/>
    </row>
    <row r="44" spans="13:14">
      <c r="M44" s="78"/>
    </row>
    <row r="45" spans="13:14">
      <c r="M45" s="78"/>
    </row>
    <row r="46" spans="13:14">
      <c r="M46" s="78"/>
    </row>
    <row r="47" spans="13:14">
      <c r="M47" s="78"/>
    </row>
    <row r="48" spans="13:14">
      <c r="M48" s="78"/>
    </row>
    <row r="49" spans="13:13">
      <c r="M49" s="78"/>
    </row>
    <row r="50" spans="13:13">
      <c r="M50" s="78"/>
    </row>
    <row r="51" spans="13:13">
      <c r="M51" s="78"/>
    </row>
    <row r="52" spans="13:13">
      <c r="M52" s="78"/>
    </row>
    <row r="53" spans="13:13">
      <c r="M53" s="78"/>
    </row>
    <row r="54" spans="13:13">
      <c r="M54" s="78"/>
    </row>
    <row r="55" spans="13:13">
      <c r="M55" s="78"/>
    </row>
    <row r="56" spans="13:13">
      <c r="M56" s="78"/>
    </row>
    <row r="57" spans="13:13">
      <c r="M57" s="78"/>
    </row>
    <row r="58" spans="13:13">
      <c r="M58" s="78"/>
    </row>
    <row r="59" spans="13:13">
      <c r="M59" s="78"/>
    </row>
    <row r="60" spans="13:13">
      <c r="M60" s="78"/>
    </row>
    <row r="61" spans="13:13">
      <c r="M61" s="78"/>
    </row>
    <row r="62" spans="13:13">
      <c r="M62" s="78"/>
    </row>
    <row r="63" spans="13:13">
      <c r="M63" s="78"/>
    </row>
    <row r="64" spans="13:13">
      <c r="M64" s="78"/>
    </row>
    <row r="65" spans="13:13">
      <c r="M65" s="78"/>
    </row>
    <row r="66" spans="13:13">
      <c r="M66" s="78"/>
    </row>
    <row r="67" spans="13:13">
      <c r="M67" s="78"/>
    </row>
    <row r="68" spans="13:13">
      <c r="M68" s="78"/>
    </row>
    <row r="69" spans="13:13">
      <c r="M69" s="78"/>
    </row>
    <row r="70" spans="13:13">
      <c r="M70" s="7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VaiAllaRigaLottoMagazzino">
                <anchor moveWithCells="1" sizeWithCells="1">
                  <from>
                    <xdr:col>2</xdr:col>
                    <xdr:colOff>520700</xdr:colOff>
                    <xdr:row>0</xdr:row>
                    <xdr:rowOff>177800</xdr:rowOff>
                  </from>
                  <to>
                    <xdr:col>3</xdr:col>
                    <xdr:colOff>876300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E2FB845B-FC96-4C61-911F-D0E5EDF47D44}">
          <x14:formula1>
            <xm:f>GUIDA_USO!$K$99:$K$103</xm:f>
          </x14:formula1>
          <xm:sqref>B1</xm:sqref>
        </x14:dataValidation>
        <x14:dataValidation type="list" allowBlank="1" showInputMessage="1" showErrorMessage="1" xr:uid="{159F62BD-C50A-44BE-9626-0CF585F092D5}">
          <x14:formula1>
            <xm:f>GUIDA_USO!$L$99:$L$101</xm:f>
          </x14:formula1>
          <xm:sqref>B2</xm:sqref>
        </x14:dataValidation>
        <x14:dataValidation type="list" allowBlank="1" showInputMessage="1" showErrorMessage="1" xr:uid="{41E2A408-A6DE-4AC7-B6A3-A118AF6D64DD}">
          <x14:formula1>
            <xm:f>GUIDA_USO!$M$99:$M$110</xm:f>
          </x14:formula1>
          <xm:sqref>B3</xm:sqref>
        </x14:dataValidation>
        <x14:dataValidation type="list" allowBlank="1" showInputMessage="1" showErrorMessage="1" xr:uid="{71854F2D-8CBD-436D-9D9C-BB6BD5C4A3F7}">
          <x14:formula1>
            <xm:f>GUIDA_USO!$O$99:$O$105</xm:f>
          </x14:formula1>
          <xm:sqref>B4</xm:sqref>
        </x14:dataValidation>
        <x14:dataValidation type="list" allowBlank="1" showInputMessage="1" showErrorMessage="1" xr:uid="{33E46BFB-453D-47B3-A35D-3C8075B557E9}">
          <x14:formula1>
            <xm:f>GUIDA_USO!$P$99:$P$100</xm:f>
          </x14:formula1>
          <xm:sqref>B5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E69AF-6E8D-4D4B-9032-681AD04CFF27}">
  <sheetPr codeName="Foglio8">
    <tabColor rgb="FFFFC000"/>
  </sheetPr>
  <dimension ref="A1:I568"/>
  <sheetViews>
    <sheetView zoomScale="160" zoomScaleNormal="160" workbookViewId="0">
      <selection activeCell="D73" sqref="D73"/>
    </sheetView>
  </sheetViews>
  <sheetFormatPr baseColWidth="10" defaultColWidth="8.83203125" defaultRowHeight="15"/>
  <cols>
    <col min="1" max="1" width="11.83203125" bestFit="1" customWidth="1"/>
    <col min="2" max="2" width="13.33203125" bestFit="1" customWidth="1"/>
    <col min="3" max="3" width="12.6640625" bestFit="1" customWidth="1"/>
    <col min="4" max="4" width="13.83203125" bestFit="1" customWidth="1"/>
    <col min="5" max="5" width="13.5" bestFit="1" customWidth="1"/>
    <col min="6" max="6" width="17.83203125" bestFit="1" customWidth="1"/>
    <col min="7" max="7" width="12.83203125" bestFit="1" customWidth="1"/>
    <col min="8" max="8" width="13.1640625" bestFit="1" customWidth="1"/>
    <col min="9" max="9" width="7.33203125" bestFit="1" customWidth="1"/>
    <col min="10" max="10" width="9.5" bestFit="1" customWidth="1"/>
    <col min="11" max="11" width="181" bestFit="1" customWidth="1"/>
  </cols>
  <sheetData>
    <row r="1" spans="1:9">
      <c r="A1" s="12" t="s">
        <v>131</v>
      </c>
      <c r="B1" t="s">
        <v>81</v>
      </c>
    </row>
    <row r="4" spans="1:9">
      <c r="A4" s="12" t="s">
        <v>149</v>
      </c>
      <c r="B4" s="12" t="s">
        <v>150</v>
      </c>
      <c r="C4" s="12" t="s">
        <v>0</v>
      </c>
      <c r="D4" s="12" t="s">
        <v>12</v>
      </c>
      <c r="E4" s="40" t="s">
        <v>2</v>
      </c>
      <c r="F4" s="12" t="s">
        <v>151</v>
      </c>
      <c r="G4" s="12" t="s">
        <v>152</v>
      </c>
      <c r="H4" s="12" t="s">
        <v>153</v>
      </c>
      <c r="I4" s="12" t="s">
        <v>154</v>
      </c>
    </row>
    <row r="5" spans="1:9">
      <c r="A5" s="17" t="s">
        <v>20</v>
      </c>
      <c r="B5" s="18">
        <v>45811</v>
      </c>
      <c r="C5" s="7" t="s">
        <v>77</v>
      </c>
      <c r="D5" s="93" t="s">
        <v>78</v>
      </c>
      <c r="E5" s="64" t="s">
        <v>15</v>
      </c>
      <c r="F5" s="45" t="s">
        <v>76</v>
      </c>
      <c r="G5" s="3" t="s">
        <v>92</v>
      </c>
      <c r="H5" s="94" t="s">
        <v>6</v>
      </c>
      <c r="I5" s="14">
        <v>1000</v>
      </c>
    </row>
    <row r="6" spans="1:9">
      <c r="A6" s="17" t="s">
        <v>20</v>
      </c>
      <c r="B6" s="18">
        <v>45796</v>
      </c>
      <c r="C6" s="7" t="s">
        <v>79</v>
      </c>
      <c r="D6" s="93" t="s">
        <v>80</v>
      </c>
      <c r="E6" s="64" t="s">
        <v>14</v>
      </c>
      <c r="F6" s="45" t="s">
        <v>76</v>
      </c>
      <c r="G6" s="3" t="s">
        <v>92</v>
      </c>
      <c r="H6" s="94" t="s">
        <v>6</v>
      </c>
      <c r="I6" s="14">
        <v>1000</v>
      </c>
    </row>
    <row r="7" spans="1:9">
      <c r="A7" s="17" t="s">
        <v>20</v>
      </c>
      <c r="B7" s="18">
        <v>45796</v>
      </c>
      <c r="C7" s="7" t="s">
        <v>79</v>
      </c>
      <c r="D7" s="93" t="s">
        <v>80</v>
      </c>
      <c r="E7" s="64" t="s">
        <v>40</v>
      </c>
      <c r="F7" s="45" t="s">
        <v>76</v>
      </c>
      <c r="G7" s="3" t="s">
        <v>92</v>
      </c>
      <c r="H7" s="94" t="s">
        <v>6</v>
      </c>
      <c r="I7" s="14">
        <v>1000</v>
      </c>
    </row>
    <row r="8" spans="1:9">
      <c r="A8" s="17" t="s">
        <v>20</v>
      </c>
      <c r="B8" s="18">
        <v>45796</v>
      </c>
      <c r="C8" s="7" t="s">
        <v>79</v>
      </c>
      <c r="D8" s="93" t="s">
        <v>80</v>
      </c>
      <c r="E8" s="64" t="s">
        <v>15</v>
      </c>
      <c r="F8" s="45" t="s">
        <v>76</v>
      </c>
      <c r="G8" s="3" t="s">
        <v>92</v>
      </c>
      <c r="H8" s="94" t="s">
        <v>7</v>
      </c>
      <c r="I8" s="14">
        <v>1000</v>
      </c>
    </row>
    <row r="9" spans="1:9">
      <c r="A9" s="17" t="s">
        <v>20</v>
      </c>
      <c r="B9" s="18">
        <v>45796</v>
      </c>
      <c r="C9" s="7" t="s">
        <v>79</v>
      </c>
      <c r="D9" s="93" t="s">
        <v>80</v>
      </c>
      <c r="E9" s="64" t="s">
        <v>13</v>
      </c>
      <c r="F9" s="45" t="s">
        <v>76</v>
      </c>
      <c r="G9" s="3" t="s">
        <v>92</v>
      </c>
      <c r="H9" s="94" t="s">
        <v>7</v>
      </c>
      <c r="I9" s="14">
        <v>1000</v>
      </c>
    </row>
    <row r="10" spans="1:9">
      <c r="A10" s="9"/>
      <c r="B10" s="11"/>
      <c r="C10" s="9"/>
      <c r="D10" s="9"/>
      <c r="E10" s="9"/>
      <c r="F10" s="9"/>
      <c r="G10" s="9"/>
      <c r="H10" s="15"/>
      <c r="I10" s="9"/>
    </row>
    <row r="11" spans="1:9">
      <c r="A11" s="9"/>
      <c r="B11" s="11"/>
      <c r="C11" s="9"/>
      <c r="D11" s="9"/>
      <c r="E11" s="9"/>
      <c r="F11" s="9"/>
      <c r="G11" s="9"/>
      <c r="H11" s="15"/>
      <c r="I11" s="9"/>
    </row>
    <row r="12" spans="1:9">
      <c r="A12" s="9"/>
      <c r="B12" s="11"/>
      <c r="C12" s="9"/>
      <c r="D12" s="9"/>
      <c r="E12" s="9"/>
      <c r="F12" s="9"/>
      <c r="G12" s="9"/>
      <c r="H12" s="15"/>
      <c r="I12" s="9"/>
    </row>
    <row r="13" spans="1:9">
      <c r="A13" s="9"/>
      <c r="B13" s="11"/>
      <c r="C13" s="9"/>
      <c r="D13" s="9"/>
      <c r="E13" s="9"/>
      <c r="F13" s="9"/>
      <c r="G13" s="9"/>
      <c r="H13" s="15"/>
      <c r="I13" s="9"/>
    </row>
    <row r="14" spans="1:9">
      <c r="A14" s="9"/>
      <c r="B14" s="11"/>
      <c r="C14" s="9"/>
      <c r="D14" s="9"/>
      <c r="E14" s="9"/>
      <c r="F14" s="9"/>
      <c r="G14" s="9"/>
      <c r="H14" s="15"/>
      <c r="I14" s="9"/>
    </row>
    <row r="15" spans="1:9">
      <c r="A15" s="9"/>
      <c r="B15" s="11"/>
      <c r="C15" s="9"/>
      <c r="D15" s="9"/>
      <c r="E15" s="9"/>
      <c r="F15" s="9"/>
      <c r="G15" s="9"/>
      <c r="H15" s="15"/>
      <c r="I15" s="9"/>
    </row>
    <row r="16" spans="1:9">
      <c r="A16" s="9"/>
      <c r="B16" s="11"/>
      <c r="C16" s="9"/>
      <c r="D16" s="9"/>
      <c r="E16" s="9"/>
      <c r="F16" s="9"/>
      <c r="G16" s="9"/>
      <c r="H16" s="15"/>
      <c r="I16" s="9"/>
    </row>
    <row r="17" spans="1:9">
      <c r="A17" s="9"/>
      <c r="B17" s="11"/>
      <c r="C17" s="9"/>
      <c r="D17" s="9"/>
      <c r="E17" s="9"/>
      <c r="F17" s="9"/>
      <c r="G17" s="9"/>
      <c r="H17" s="15"/>
      <c r="I17" s="9"/>
    </row>
    <row r="18" spans="1:9">
      <c r="A18" s="9"/>
      <c r="B18" s="11"/>
      <c r="C18" s="9"/>
      <c r="D18" s="9"/>
      <c r="E18" s="9"/>
      <c r="F18" s="9"/>
      <c r="G18" s="9"/>
      <c r="H18" s="15"/>
      <c r="I18" s="9"/>
    </row>
    <row r="19" spans="1:9">
      <c r="A19" s="9"/>
      <c r="B19" s="11"/>
      <c r="C19" s="9"/>
      <c r="D19" s="9"/>
      <c r="E19" s="9"/>
      <c r="F19" s="9"/>
      <c r="G19" s="9"/>
      <c r="H19" s="15"/>
      <c r="I19" s="9"/>
    </row>
    <row r="20" spans="1:9">
      <c r="A20" s="9"/>
      <c r="B20" s="11"/>
      <c r="C20" s="9"/>
      <c r="D20" s="9"/>
      <c r="E20" s="9"/>
      <c r="F20" s="9"/>
      <c r="G20" s="9"/>
      <c r="H20" s="15"/>
      <c r="I20" s="9"/>
    </row>
    <row r="21" spans="1:9">
      <c r="A21" s="9"/>
      <c r="B21" s="11"/>
      <c r="C21" s="9"/>
      <c r="D21" s="9"/>
      <c r="E21" s="9"/>
      <c r="F21" s="9"/>
      <c r="G21" s="9"/>
      <c r="H21" s="15"/>
      <c r="I21" s="9"/>
    </row>
    <row r="22" spans="1:9">
      <c r="A22" s="9"/>
      <c r="B22" s="11"/>
      <c r="C22" s="9"/>
      <c r="D22" s="9"/>
      <c r="E22" s="9"/>
      <c r="F22" s="9"/>
      <c r="G22" s="9"/>
      <c r="H22" s="15"/>
      <c r="I22" s="9"/>
    </row>
    <row r="23" spans="1:9">
      <c r="A23" s="9"/>
      <c r="B23" s="9"/>
      <c r="C23" s="9"/>
      <c r="D23" s="9"/>
      <c r="E23" s="9"/>
      <c r="F23" s="9"/>
      <c r="G23" s="9"/>
      <c r="H23" s="15"/>
      <c r="I23" s="9"/>
    </row>
    <row r="24" spans="1:9">
      <c r="A24" s="9"/>
      <c r="B24" s="11"/>
      <c r="C24" s="9"/>
      <c r="D24" s="9"/>
      <c r="E24" s="9"/>
      <c r="F24" s="9"/>
      <c r="G24" s="9"/>
      <c r="H24" s="15"/>
      <c r="I24" s="9"/>
    </row>
    <row r="25" spans="1:9">
      <c r="A25" s="9"/>
      <c r="B25" s="11"/>
      <c r="C25" s="9"/>
      <c r="D25" s="9"/>
      <c r="E25" s="9"/>
      <c r="F25" s="9"/>
      <c r="G25" s="9"/>
      <c r="H25" s="15"/>
      <c r="I25" s="9"/>
    </row>
    <row r="26" spans="1:9">
      <c r="A26" s="9"/>
      <c r="B26" s="11"/>
      <c r="C26" s="9"/>
      <c r="D26" s="9"/>
      <c r="E26" s="9"/>
      <c r="F26" s="9"/>
      <c r="G26" s="9"/>
      <c r="H26" s="15"/>
      <c r="I26" s="9"/>
    </row>
    <row r="27" spans="1:9">
      <c r="A27" s="9"/>
      <c r="B27" s="11"/>
      <c r="C27" s="9"/>
      <c r="D27" s="9"/>
      <c r="E27" s="9"/>
      <c r="F27" s="9"/>
      <c r="G27" s="9"/>
      <c r="H27" s="15"/>
      <c r="I27" s="9"/>
    </row>
    <row r="28" spans="1:9">
      <c r="A28" s="9"/>
      <c r="B28" s="11"/>
      <c r="C28" s="9"/>
      <c r="D28" s="9"/>
      <c r="E28" s="9"/>
      <c r="F28" s="9"/>
      <c r="G28" s="9"/>
      <c r="H28" s="15"/>
      <c r="I28" s="9"/>
    </row>
    <row r="29" spans="1:9">
      <c r="A29" s="9"/>
      <c r="B29" s="11"/>
      <c r="C29" s="9"/>
      <c r="D29" s="9"/>
      <c r="E29" s="9"/>
      <c r="F29" s="9"/>
      <c r="G29" s="9"/>
      <c r="H29" s="15"/>
      <c r="I29" s="9"/>
    </row>
    <row r="30" spans="1:9">
      <c r="A30" s="9"/>
      <c r="B30" s="11"/>
      <c r="C30" s="9"/>
      <c r="D30" s="9"/>
      <c r="E30" s="9"/>
      <c r="F30" s="9"/>
      <c r="G30" s="9"/>
      <c r="H30" s="15"/>
      <c r="I30" s="9"/>
    </row>
    <row r="31" spans="1:9">
      <c r="A31" s="9"/>
      <c r="B31" s="11"/>
      <c r="C31" s="9"/>
      <c r="D31" s="9"/>
      <c r="E31" s="9"/>
      <c r="F31" s="9"/>
      <c r="G31" s="9"/>
      <c r="H31" s="15"/>
      <c r="I31" s="9"/>
    </row>
    <row r="32" spans="1:9">
      <c r="A32" s="9"/>
      <c r="B32" s="11"/>
      <c r="C32" s="9"/>
      <c r="D32" s="9"/>
      <c r="E32" s="9"/>
      <c r="F32" s="9"/>
      <c r="G32" s="9"/>
      <c r="H32" s="15"/>
      <c r="I32" s="9"/>
    </row>
    <row r="33" spans="1:9">
      <c r="A33" s="9"/>
      <c r="B33" s="11"/>
      <c r="C33" s="9"/>
      <c r="D33" s="9"/>
      <c r="E33" s="9"/>
      <c r="F33" s="9"/>
      <c r="G33" s="9"/>
      <c r="H33" s="15"/>
      <c r="I33" s="9"/>
    </row>
    <row r="34" spans="1:9">
      <c r="A34" s="9"/>
      <c r="B34" s="11"/>
      <c r="C34" s="9"/>
      <c r="D34" s="9"/>
      <c r="E34" s="9"/>
      <c r="F34" s="9"/>
      <c r="G34" s="9"/>
      <c r="H34" s="114"/>
      <c r="I34" s="9"/>
    </row>
    <row r="35" spans="1:9">
      <c r="A35" s="9"/>
      <c r="B35" s="11"/>
      <c r="C35" s="9"/>
      <c r="D35" s="9"/>
      <c r="E35" s="9"/>
      <c r="F35" s="9"/>
      <c r="G35" s="9"/>
      <c r="H35" s="114"/>
      <c r="I35" s="9"/>
    </row>
    <row r="36" spans="1:9">
      <c r="A36" s="9"/>
      <c r="B36" s="11"/>
      <c r="C36" s="9"/>
      <c r="D36" s="9"/>
      <c r="E36" s="9"/>
      <c r="F36" s="9"/>
      <c r="G36" s="9"/>
      <c r="H36" s="114"/>
      <c r="I36" s="9"/>
    </row>
    <row r="37" spans="1:9">
      <c r="A37" s="9"/>
      <c r="B37" s="11"/>
      <c r="C37" s="9"/>
      <c r="D37" s="9"/>
      <c r="E37" s="9"/>
      <c r="F37" s="9"/>
      <c r="G37" s="9"/>
      <c r="H37" s="114"/>
      <c r="I37" s="9"/>
    </row>
    <row r="38" spans="1:9">
      <c r="A38" s="9"/>
      <c r="B38" s="11"/>
      <c r="C38" s="9"/>
      <c r="D38" s="9"/>
      <c r="E38" s="9"/>
      <c r="F38" s="9"/>
      <c r="G38" s="9"/>
      <c r="H38" s="114"/>
      <c r="I38" s="9"/>
    </row>
    <row r="39" spans="1:9">
      <c r="A39" s="9"/>
      <c r="B39" s="11"/>
      <c r="C39" s="9"/>
      <c r="D39" s="9"/>
      <c r="E39" s="9"/>
      <c r="F39" s="9"/>
      <c r="G39" s="9"/>
      <c r="H39" s="9"/>
      <c r="I39" s="9"/>
    </row>
    <row r="40" spans="1:9">
      <c r="A40" s="9"/>
      <c r="B40" s="11"/>
      <c r="C40" s="9"/>
      <c r="D40" s="9"/>
      <c r="E40" s="9"/>
      <c r="F40" s="9"/>
      <c r="G40" s="9"/>
      <c r="H40" s="9"/>
      <c r="I40" s="9"/>
    </row>
    <row r="41" spans="1:9">
      <c r="A41" s="9"/>
      <c r="B41" s="11"/>
      <c r="C41" s="9"/>
      <c r="D41" s="9"/>
      <c r="E41" s="9"/>
      <c r="F41" s="9"/>
      <c r="G41" s="9"/>
      <c r="H41" s="9"/>
      <c r="I41" s="9"/>
    </row>
    <row r="42" spans="1:9">
      <c r="A42" s="9"/>
      <c r="B42" s="11"/>
      <c r="C42" s="9"/>
      <c r="D42" s="9"/>
      <c r="E42" s="9"/>
      <c r="F42" s="9"/>
      <c r="G42" s="9"/>
      <c r="H42" s="9"/>
      <c r="I42" s="9"/>
    </row>
    <row r="43" spans="1:9">
      <c r="A43" s="9"/>
      <c r="B43" s="11"/>
      <c r="C43" s="9"/>
      <c r="D43" s="9"/>
      <c r="E43" s="9"/>
      <c r="F43" s="9"/>
      <c r="G43" s="9"/>
      <c r="H43" s="9"/>
      <c r="I43" s="9"/>
    </row>
    <row r="44" spans="1:9">
      <c r="A44" s="9"/>
      <c r="B44" s="11"/>
      <c r="C44" s="9"/>
      <c r="D44" s="9"/>
      <c r="E44" s="9"/>
      <c r="F44" s="9"/>
      <c r="G44" s="9"/>
      <c r="H44" s="9"/>
      <c r="I44" s="9"/>
    </row>
    <row r="45" spans="1:9">
      <c r="B45" s="53"/>
    </row>
    <row r="46" spans="1:9">
      <c r="B46" s="53"/>
    </row>
    <row r="47" spans="1:9">
      <c r="B47" s="53"/>
    </row>
    <row r="48" spans="1:9">
      <c r="B48" s="53"/>
    </row>
    <row r="49" spans="1:9">
      <c r="B49" s="53"/>
    </row>
    <row r="50" spans="1:9">
      <c r="A50" s="12" t="s">
        <v>156</v>
      </c>
      <c r="B50" s="9" t="s">
        <v>56</v>
      </c>
    </row>
    <row r="51" spans="1:9">
      <c r="B51" s="53"/>
    </row>
    <row r="52" spans="1:9">
      <c r="B52" s="53"/>
    </row>
    <row r="53" spans="1:9">
      <c r="B53" s="53"/>
    </row>
    <row r="54" spans="1:9">
      <c r="B54" s="53"/>
    </row>
    <row r="55" spans="1:9">
      <c r="A55" s="12" t="s">
        <v>149</v>
      </c>
      <c r="B55" s="12" t="s">
        <v>150</v>
      </c>
      <c r="C55" s="12" t="s">
        <v>0</v>
      </c>
      <c r="D55" s="12" t="s">
        <v>12</v>
      </c>
      <c r="E55" s="40" t="s">
        <v>2</v>
      </c>
      <c r="F55" s="12" t="s">
        <v>151</v>
      </c>
      <c r="G55" s="12" t="s">
        <v>152</v>
      </c>
      <c r="H55" s="12" t="s">
        <v>153</v>
      </c>
      <c r="I55" s="12" t="s">
        <v>154</v>
      </c>
    </row>
    <row r="56" spans="1:9">
      <c r="A56" t="s">
        <v>20</v>
      </c>
      <c r="B56" s="53">
        <v>45805</v>
      </c>
      <c r="D56" t="s">
        <v>53</v>
      </c>
      <c r="E56" t="s">
        <v>15</v>
      </c>
      <c r="F56" t="s">
        <v>91</v>
      </c>
      <c r="G56" t="s">
        <v>92</v>
      </c>
      <c r="H56" s="121" t="s">
        <v>6</v>
      </c>
      <c r="I56">
        <v>1000</v>
      </c>
    </row>
    <row r="57" spans="1:9">
      <c r="A57" t="s">
        <v>20</v>
      </c>
      <c r="B57" s="53">
        <v>45805</v>
      </c>
      <c r="D57" t="s">
        <v>53</v>
      </c>
      <c r="E57" t="s">
        <v>13</v>
      </c>
      <c r="F57" t="s">
        <v>91</v>
      </c>
      <c r="G57" t="s">
        <v>92</v>
      </c>
      <c r="H57" s="121" t="s">
        <v>6</v>
      </c>
      <c r="I57">
        <v>1000</v>
      </c>
    </row>
    <row r="58" spans="1:9">
      <c r="A58" t="s">
        <v>20</v>
      </c>
      <c r="B58" s="53">
        <v>45805</v>
      </c>
      <c r="D58" t="s">
        <v>53</v>
      </c>
      <c r="E58" t="s">
        <v>14</v>
      </c>
      <c r="F58" t="s">
        <v>91</v>
      </c>
      <c r="G58" t="s">
        <v>92</v>
      </c>
      <c r="H58" s="121" t="s">
        <v>6</v>
      </c>
      <c r="I58">
        <v>1000</v>
      </c>
    </row>
    <row r="59" spans="1:9">
      <c r="A59" t="s">
        <v>20</v>
      </c>
      <c r="B59" s="53">
        <v>45805</v>
      </c>
      <c r="D59" t="s">
        <v>53</v>
      </c>
      <c r="E59" t="s">
        <v>40</v>
      </c>
      <c r="F59" t="s">
        <v>91</v>
      </c>
      <c r="G59" t="s">
        <v>92</v>
      </c>
      <c r="H59" s="121" t="s">
        <v>6</v>
      </c>
      <c r="I59">
        <v>1000</v>
      </c>
    </row>
    <row r="60" spans="1:9">
      <c r="A60" t="s">
        <v>20</v>
      </c>
      <c r="B60" s="53">
        <v>45805</v>
      </c>
      <c r="D60" t="s">
        <v>53</v>
      </c>
      <c r="E60" t="s">
        <v>41</v>
      </c>
      <c r="F60" t="s">
        <v>91</v>
      </c>
      <c r="G60" t="s">
        <v>92</v>
      </c>
      <c r="H60" s="121" t="s">
        <v>6</v>
      </c>
      <c r="I60">
        <v>1000</v>
      </c>
    </row>
    <row r="61" spans="1:9">
      <c r="A61" t="s">
        <v>20</v>
      </c>
      <c r="B61" s="53">
        <v>45805</v>
      </c>
      <c r="D61" t="s">
        <v>39</v>
      </c>
      <c r="E61" t="s">
        <v>13</v>
      </c>
      <c r="F61" t="s">
        <v>91</v>
      </c>
      <c r="G61" t="s">
        <v>92</v>
      </c>
      <c r="H61" s="121" t="s">
        <v>6</v>
      </c>
      <c r="I61">
        <v>1000</v>
      </c>
    </row>
    <row r="62" spans="1:9">
      <c r="A62" t="s">
        <v>20</v>
      </c>
      <c r="B62" s="53">
        <v>45805</v>
      </c>
      <c r="D62" t="s">
        <v>39</v>
      </c>
      <c r="E62" t="s">
        <v>43</v>
      </c>
      <c r="F62" t="s">
        <v>91</v>
      </c>
      <c r="G62" t="s">
        <v>92</v>
      </c>
      <c r="H62" s="121" t="s">
        <v>6</v>
      </c>
      <c r="I62">
        <v>1000</v>
      </c>
    </row>
    <row r="63" spans="1:9">
      <c r="A63" t="s">
        <v>20</v>
      </c>
      <c r="B63" s="53">
        <v>45805</v>
      </c>
      <c r="D63" t="s">
        <v>39</v>
      </c>
      <c r="E63" t="s">
        <v>44</v>
      </c>
      <c r="F63" t="s">
        <v>91</v>
      </c>
      <c r="G63" t="s">
        <v>92</v>
      </c>
      <c r="H63" s="121" t="s">
        <v>6</v>
      </c>
      <c r="I63">
        <v>1000</v>
      </c>
    </row>
    <row r="64" spans="1:9">
      <c r="A64" t="s">
        <v>20</v>
      </c>
      <c r="B64" s="53">
        <v>45805</v>
      </c>
      <c r="D64" t="s">
        <v>39</v>
      </c>
      <c r="E64" t="s">
        <v>46</v>
      </c>
      <c r="F64" t="s">
        <v>91</v>
      </c>
      <c r="G64" t="s">
        <v>92</v>
      </c>
      <c r="H64" s="121" t="s">
        <v>6</v>
      </c>
      <c r="I64">
        <v>1000</v>
      </c>
    </row>
    <row r="65" spans="1:9">
      <c r="A65" t="s">
        <v>20</v>
      </c>
      <c r="B65" s="53">
        <v>45805</v>
      </c>
      <c r="D65" t="s">
        <v>39</v>
      </c>
      <c r="E65" t="s">
        <v>47</v>
      </c>
      <c r="F65" t="s">
        <v>91</v>
      </c>
      <c r="G65" t="s">
        <v>92</v>
      </c>
      <c r="H65" s="121" t="s">
        <v>6</v>
      </c>
      <c r="I65">
        <v>1000</v>
      </c>
    </row>
    <row r="66" spans="1:9">
      <c r="A66" t="s">
        <v>20</v>
      </c>
      <c r="B66" s="53">
        <v>45805</v>
      </c>
      <c r="D66" t="s">
        <v>39</v>
      </c>
      <c r="E66" t="s">
        <v>49</v>
      </c>
      <c r="F66" t="s">
        <v>91</v>
      </c>
      <c r="G66" t="s">
        <v>92</v>
      </c>
      <c r="H66" s="121" t="s">
        <v>6</v>
      </c>
      <c r="I66">
        <v>1000</v>
      </c>
    </row>
    <row r="67" spans="1:9">
      <c r="A67" t="s">
        <v>20</v>
      </c>
      <c r="B67" s="53">
        <v>45805</v>
      </c>
      <c r="D67" t="s">
        <v>39</v>
      </c>
      <c r="E67" t="s">
        <v>60</v>
      </c>
      <c r="F67" t="s">
        <v>91</v>
      </c>
      <c r="G67" t="s">
        <v>92</v>
      </c>
      <c r="H67" s="121" t="s">
        <v>6</v>
      </c>
      <c r="I67">
        <v>1000</v>
      </c>
    </row>
    <row r="68" spans="1:9">
      <c r="A68" t="s">
        <v>20</v>
      </c>
      <c r="B68" s="53">
        <v>45805</v>
      </c>
      <c r="D68" t="s">
        <v>51</v>
      </c>
      <c r="E68" t="s">
        <v>13</v>
      </c>
      <c r="F68" t="s">
        <v>91</v>
      </c>
      <c r="G68" t="s">
        <v>92</v>
      </c>
      <c r="H68" s="121" t="s">
        <v>6</v>
      </c>
      <c r="I68">
        <v>1000</v>
      </c>
    </row>
    <row r="69" spans="1:9">
      <c r="A69" t="s">
        <v>20</v>
      </c>
      <c r="B69" s="53">
        <v>45805</v>
      </c>
      <c r="D69" t="s">
        <v>51</v>
      </c>
      <c r="E69" t="s">
        <v>40</v>
      </c>
      <c r="F69" t="s">
        <v>91</v>
      </c>
      <c r="G69" t="s">
        <v>92</v>
      </c>
      <c r="H69" s="121" t="s">
        <v>6</v>
      </c>
      <c r="I69">
        <v>1000</v>
      </c>
    </row>
    <row r="70" spans="1:9">
      <c r="A70" t="s">
        <v>20</v>
      </c>
      <c r="B70" s="53">
        <v>45805</v>
      </c>
      <c r="D70" t="s">
        <v>51</v>
      </c>
      <c r="E70" t="s">
        <v>41</v>
      </c>
      <c r="F70" t="s">
        <v>91</v>
      </c>
      <c r="G70" t="s">
        <v>92</v>
      </c>
      <c r="H70" s="121" t="s">
        <v>6</v>
      </c>
      <c r="I70">
        <v>1000</v>
      </c>
    </row>
    <row r="71" spans="1:9">
      <c r="A71" t="s">
        <v>20</v>
      </c>
      <c r="B71" s="53">
        <v>45805</v>
      </c>
      <c r="D71" t="s">
        <v>51</v>
      </c>
      <c r="E71" t="s">
        <v>48</v>
      </c>
      <c r="F71" t="s">
        <v>91</v>
      </c>
      <c r="G71" t="s">
        <v>92</v>
      </c>
      <c r="H71" s="121" t="s">
        <v>6</v>
      </c>
      <c r="I71">
        <v>1000</v>
      </c>
    </row>
    <row r="72" spans="1:9">
      <c r="A72" t="s">
        <v>20</v>
      </c>
      <c r="B72" s="53">
        <v>45805</v>
      </c>
      <c r="D72" t="s">
        <v>52</v>
      </c>
      <c r="E72" t="s">
        <v>63</v>
      </c>
      <c r="F72" t="s">
        <v>91</v>
      </c>
      <c r="G72" t="s">
        <v>92</v>
      </c>
      <c r="H72" s="121" t="s">
        <v>6</v>
      </c>
      <c r="I72">
        <v>1000</v>
      </c>
    </row>
    <row r="73" spans="1:9">
      <c r="A73" t="s">
        <v>20</v>
      </c>
      <c r="B73" s="53">
        <v>45805</v>
      </c>
      <c r="D73" t="s">
        <v>52</v>
      </c>
      <c r="E73" t="s">
        <v>64</v>
      </c>
      <c r="F73" t="s">
        <v>91</v>
      </c>
      <c r="G73" t="s">
        <v>92</v>
      </c>
      <c r="H73" s="121" t="s">
        <v>6</v>
      </c>
      <c r="I73">
        <v>1000</v>
      </c>
    </row>
    <row r="74" spans="1:9">
      <c r="A74" t="s">
        <v>20</v>
      </c>
      <c r="B74" s="53">
        <v>45805</v>
      </c>
      <c r="D74" t="s">
        <v>51</v>
      </c>
      <c r="E74" t="s">
        <v>15</v>
      </c>
      <c r="F74" t="s">
        <v>91</v>
      </c>
      <c r="G74" t="s">
        <v>92</v>
      </c>
      <c r="H74" s="121" t="s">
        <v>7</v>
      </c>
      <c r="I74">
        <v>1000</v>
      </c>
    </row>
    <row r="75" spans="1:9">
      <c r="A75" t="s">
        <v>20</v>
      </c>
      <c r="B75" s="53">
        <v>45805</v>
      </c>
      <c r="D75" t="s">
        <v>51</v>
      </c>
      <c r="E75" t="s">
        <v>13</v>
      </c>
      <c r="F75" t="s">
        <v>91</v>
      </c>
      <c r="G75" t="s">
        <v>92</v>
      </c>
      <c r="H75" s="121" t="s">
        <v>7</v>
      </c>
      <c r="I75">
        <v>1000</v>
      </c>
    </row>
    <row r="76" spans="1:9">
      <c r="A76" t="s">
        <v>20</v>
      </c>
      <c r="B76" s="53">
        <v>45805</v>
      </c>
      <c r="D76" t="s">
        <v>51</v>
      </c>
      <c r="E76" t="s">
        <v>14</v>
      </c>
      <c r="F76" t="s">
        <v>91</v>
      </c>
      <c r="G76" t="s">
        <v>92</v>
      </c>
      <c r="H76" s="121" t="s">
        <v>7</v>
      </c>
      <c r="I76">
        <v>1000</v>
      </c>
    </row>
    <row r="77" spans="1:9">
      <c r="A77" t="s">
        <v>20</v>
      </c>
      <c r="B77" s="53">
        <v>45805</v>
      </c>
      <c r="D77" t="s">
        <v>51</v>
      </c>
      <c r="E77" t="s">
        <v>44</v>
      </c>
      <c r="F77" t="s">
        <v>91</v>
      </c>
      <c r="G77" t="s">
        <v>92</v>
      </c>
      <c r="H77" s="121" t="s">
        <v>7</v>
      </c>
      <c r="I77">
        <v>1000</v>
      </c>
    </row>
    <row r="78" spans="1:9">
      <c r="A78" t="s">
        <v>20</v>
      </c>
      <c r="B78" s="53">
        <v>45805</v>
      </c>
      <c r="D78" t="s">
        <v>51</v>
      </c>
      <c r="E78" t="s">
        <v>57</v>
      </c>
      <c r="F78" t="s">
        <v>91</v>
      </c>
      <c r="G78" t="s">
        <v>92</v>
      </c>
      <c r="H78" s="121" t="s">
        <v>7</v>
      </c>
      <c r="I78">
        <v>1000</v>
      </c>
    </row>
    <row r="79" spans="1:9">
      <c r="A79" t="s">
        <v>20</v>
      </c>
      <c r="B79" s="53">
        <v>45805</v>
      </c>
      <c r="D79" t="s">
        <v>51</v>
      </c>
      <c r="E79" t="s">
        <v>69</v>
      </c>
      <c r="F79" t="s">
        <v>91</v>
      </c>
      <c r="G79" t="s">
        <v>92</v>
      </c>
      <c r="H79" s="121" t="s">
        <v>7</v>
      </c>
      <c r="I79">
        <v>1000</v>
      </c>
    </row>
    <row r="80" spans="1:9">
      <c r="B80" s="53"/>
      <c r="H80" s="121"/>
    </row>
    <row r="81" spans="2:8">
      <c r="B81" s="53"/>
      <c r="H81" s="121"/>
    </row>
    <row r="82" spans="2:8">
      <c r="B82" s="53"/>
      <c r="H82" s="121"/>
    </row>
    <row r="83" spans="2:8">
      <c r="B83" s="53"/>
      <c r="H83" s="121"/>
    </row>
    <row r="84" spans="2:8">
      <c r="B84" s="53"/>
      <c r="H84" s="121"/>
    </row>
    <row r="85" spans="2:8">
      <c r="B85" s="53"/>
      <c r="H85" s="121"/>
    </row>
    <row r="86" spans="2:8">
      <c r="B86" s="53"/>
      <c r="H86" s="121"/>
    </row>
    <row r="87" spans="2:8">
      <c r="B87" s="53"/>
      <c r="H87" s="115"/>
    </row>
    <row r="88" spans="2:8">
      <c r="B88" s="53"/>
      <c r="H88" s="115"/>
    </row>
    <row r="89" spans="2:8">
      <c r="B89" s="53"/>
      <c r="H89" s="115"/>
    </row>
    <row r="90" spans="2:8">
      <c r="B90" s="53"/>
      <c r="H90" s="115"/>
    </row>
    <row r="91" spans="2:8">
      <c r="B91" s="53"/>
      <c r="H91" s="115"/>
    </row>
    <row r="92" spans="2:8">
      <c r="B92" s="53"/>
      <c r="H92" s="115"/>
    </row>
    <row r="93" spans="2:8">
      <c r="B93" s="53"/>
      <c r="H93" s="115"/>
    </row>
    <row r="94" spans="2:8">
      <c r="B94" s="53"/>
    </row>
    <row r="95" spans="2:8">
      <c r="B95" s="53"/>
    </row>
    <row r="96" spans="2:8">
      <c r="B96" s="53"/>
      <c r="H96" s="115"/>
    </row>
    <row r="97" spans="2:8">
      <c r="B97" s="53"/>
      <c r="H97" s="115"/>
    </row>
    <row r="98" spans="2:8">
      <c r="B98" s="53"/>
      <c r="H98" s="115"/>
    </row>
    <row r="99" spans="2:8">
      <c r="B99" s="53"/>
      <c r="H99" s="115"/>
    </row>
    <row r="100" spans="2:8">
      <c r="B100" s="53"/>
      <c r="H100" s="115"/>
    </row>
    <row r="101" spans="2:8">
      <c r="B101" s="53"/>
      <c r="H101" s="115"/>
    </row>
    <row r="102" spans="2:8">
      <c r="B102" s="53"/>
      <c r="H102" s="115"/>
    </row>
    <row r="103" spans="2:8">
      <c r="B103" s="53"/>
      <c r="H103" s="115"/>
    </row>
    <row r="104" spans="2:8">
      <c r="B104" s="53"/>
    </row>
    <row r="105" spans="2:8">
      <c r="B105" s="53"/>
    </row>
    <row r="106" spans="2:8">
      <c r="B106" s="53"/>
    </row>
    <row r="107" spans="2:8">
      <c r="B107" s="53"/>
      <c r="H107" s="115"/>
    </row>
    <row r="108" spans="2:8">
      <c r="B108" s="53"/>
    </row>
    <row r="109" spans="2:8">
      <c r="B109" s="53"/>
    </row>
    <row r="110" spans="2:8">
      <c r="B110" s="53"/>
    </row>
    <row r="111" spans="2:8">
      <c r="B111" s="53"/>
    </row>
    <row r="112" spans="2:8">
      <c r="B112" s="53"/>
    </row>
    <row r="113" spans="2:8">
      <c r="B113" s="53"/>
    </row>
    <row r="114" spans="2:8">
      <c r="B114" s="53"/>
    </row>
    <row r="115" spans="2:8">
      <c r="B115" s="53"/>
    </row>
    <row r="116" spans="2:8">
      <c r="B116" s="53"/>
      <c r="H116" s="115"/>
    </row>
    <row r="117" spans="2:8">
      <c r="B117" s="53"/>
    </row>
    <row r="118" spans="2:8">
      <c r="B118" s="53"/>
      <c r="H118" s="115"/>
    </row>
    <row r="119" spans="2:8">
      <c r="B119" s="53"/>
      <c r="H119" s="115"/>
    </row>
    <row r="120" spans="2:8">
      <c r="B120" s="53"/>
      <c r="H120" s="115"/>
    </row>
    <row r="121" spans="2:8">
      <c r="B121" s="53"/>
      <c r="H121" s="115"/>
    </row>
    <row r="122" spans="2:8">
      <c r="B122" s="53"/>
      <c r="H122" s="115"/>
    </row>
    <row r="123" spans="2:8">
      <c r="B123" s="53"/>
    </row>
    <row r="124" spans="2:8">
      <c r="B124" s="53"/>
    </row>
    <row r="125" spans="2:8">
      <c r="B125" s="53"/>
      <c r="H125" s="115"/>
    </row>
    <row r="126" spans="2:8">
      <c r="B126" s="53"/>
      <c r="H126" s="115"/>
    </row>
    <row r="127" spans="2:8">
      <c r="B127" s="53"/>
      <c r="H127" s="115"/>
    </row>
    <row r="128" spans="2:8">
      <c r="B128" s="53"/>
      <c r="H128" s="115"/>
    </row>
    <row r="129" spans="2:8">
      <c r="B129" s="53"/>
      <c r="H129" s="115"/>
    </row>
    <row r="130" spans="2:8">
      <c r="B130" s="53"/>
      <c r="H130" s="115"/>
    </row>
    <row r="131" spans="2:8">
      <c r="B131" s="53"/>
      <c r="H131" s="115"/>
    </row>
    <row r="132" spans="2:8">
      <c r="B132" s="53"/>
      <c r="H132" s="115"/>
    </row>
    <row r="133" spans="2:8">
      <c r="B133" s="53"/>
    </row>
    <row r="134" spans="2:8">
      <c r="B134" s="53"/>
    </row>
    <row r="135" spans="2:8">
      <c r="B135" s="53"/>
      <c r="H135" s="115"/>
    </row>
    <row r="136" spans="2:8">
      <c r="B136" s="53"/>
      <c r="H136" s="115"/>
    </row>
    <row r="137" spans="2:8">
      <c r="B137" s="53"/>
      <c r="H137" s="115"/>
    </row>
    <row r="138" spans="2:8">
      <c r="B138" s="53"/>
      <c r="H138" s="115"/>
    </row>
    <row r="139" spans="2:8">
      <c r="B139" s="53"/>
    </row>
    <row r="140" spans="2:8">
      <c r="B140" s="53"/>
    </row>
    <row r="141" spans="2:8">
      <c r="B141" s="53"/>
    </row>
    <row r="142" spans="2:8">
      <c r="B142" s="53"/>
    </row>
    <row r="143" spans="2:8">
      <c r="B143" s="53"/>
      <c r="H143" s="115"/>
    </row>
    <row r="144" spans="2:8">
      <c r="B144" s="53"/>
    </row>
    <row r="145" spans="2:8">
      <c r="B145" s="53"/>
    </row>
    <row r="146" spans="2:8">
      <c r="B146" s="53"/>
    </row>
    <row r="147" spans="2:8">
      <c r="B147" s="53"/>
    </row>
    <row r="148" spans="2:8">
      <c r="B148" s="53"/>
    </row>
    <row r="149" spans="2:8">
      <c r="B149" s="53"/>
    </row>
    <row r="150" spans="2:8">
      <c r="B150" s="53"/>
    </row>
    <row r="151" spans="2:8">
      <c r="B151" s="53"/>
    </row>
    <row r="152" spans="2:8">
      <c r="B152" s="53"/>
      <c r="H152" s="115"/>
    </row>
    <row r="153" spans="2:8">
      <c r="B153" s="53"/>
    </row>
    <row r="154" spans="2:8">
      <c r="B154" s="53"/>
      <c r="H154" s="115"/>
    </row>
    <row r="155" spans="2:8">
      <c r="B155" s="53"/>
      <c r="H155" s="115"/>
    </row>
    <row r="156" spans="2:8">
      <c r="B156" s="53"/>
      <c r="H156" s="115"/>
    </row>
    <row r="157" spans="2:8">
      <c r="B157" s="53"/>
      <c r="H157" s="115"/>
    </row>
    <row r="158" spans="2:8">
      <c r="B158" s="53"/>
      <c r="H158" s="115"/>
    </row>
    <row r="159" spans="2:8">
      <c r="B159" s="53"/>
    </row>
    <row r="160" spans="2:8">
      <c r="B160" s="53"/>
    </row>
    <row r="161" spans="2:8">
      <c r="B161" s="53"/>
      <c r="H161" s="115"/>
    </row>
    <row r="162" spans="2:8">
      <c r="B162" s="53"/>
      <c r="H162" s="115"/>
    </row>
    <row r="163" spans="2:8">
      <c r="B163" s="53"/>
      <c r="H163" s="115"/>
    </row>
    <row r="164" spans="2:8">
      <c r="B164" s="53"/>
      <c r="H164" s="115"/>
    </row>
    <row r="165" spans="2:8">
      <c r="B165" s="53"/>
      <c r="H165" s="115"/>
    </row>
    <row r="166" spans="2:8">
      <c r="B166" s="53"/>
      <c r="H166" s="115"/>
    </row>
    <row r="167" spans="2:8">
      <c r="B167" s="53"/>
      <c r="H167" s="115"/>
    </row>
    <row r="168" spans="2:8">
      <c r="B168" s="53"/>
      <c r="H168" s="115"/>
    </row>
    <row r="169" spans="2:8">
      <c r="B169" s="53"/>
      <c r="H169" s="115"/>
    </row>
    <row r="170" spans="2:8">
      <c r="B170" s="53"/>
      <c r="H170" s="115"/>
    </row>
    <row r="171" spans="2:8">
      <c r="B171" s="53"/>
      <c r="H171" s="115"/>
    </row>
    <row r="172" spans="2:8">
      <c r="B172" s="53"/>
      <c r="H172" s="115"/>
    </row>
    <row r="173" spans="2:8">
      <c r="B173" s="53"/>
      <c r="H173" s="115"/>
    </row>
    <row r="174" spans="2:8">
      <c r="B174" s="53"/>
      <c r="H174" s="115"/>
    </row>
    <row r="175" spans="2:8">
      <c r="B175" s="53"/>
      <c r="H175" s="115"/>
    </row>
    <row r="176" spans="2:8">
      <c r="B176" s="53"/>
      <c r="H176" s="115"/>
    </row>
    <row r="177" spans="2:8">
      <c r="B177" s="53"/>
      <c r="H177" s="115"/>
    </row>
    <row r="178" spans="2:8">
      <c r="B178" s="53"/>
      <c r="H178" s="115"/>
    </row>
    <row r="179" spans="2:8">
      <c r="B179" s="53"/>
      <c r="H179" s="115"/>
    </row>
    <row r="180" spans="2:8">
      <c r="B180" s="53"/>
      <c r="H180" s="115"/>
    </row>
    <row r="181" spans="2:8">
      <c r="B181" s="53"/>
      <c r="H181" s="115"/>
    </row>
    <row r="182" spans="2:8">
      <c r="B182" s="53"/>
      <c r="H182" s="115"/>
    </row>
    <row r="183" spans="2:8">
      <c r="B183" s="53"/>
      <c r="H183" s="115"/>
    </row>
    <row r="184" spans="2:8">
      <c r="B184" s="53"/>
      <c r="H184" s="115"/>
    </row>
    <row r="185" spans="2:8">
      <c r="B185" s="53"/>
      <c r="H185" s="115"/>
    </row>
    <row r="186" spans="2:8">
      <c r="B186" s="53"/>
    </row>
    <row r="187" spans="2:8">
      <c r="B187" s="53"/>
    </row>
    <row r="188" spans="2:8">
      <c r="B188" s="53"/>
    </row>
    <row r="189" spans="2:8">
      <c r="B189" s="53"/>
    </row>
    <row r="190" spans="2:8">
      <c r="B190" s="53"/>
    </row>
    <row r="191" spans="2:8">
      <c r="B191" s="53"/>
    </row>
    <row r="192" spans="2:8">
      <c r="B192" s="53"/>
    </row>
    <row r="193" spans="2:8">
      <c r="B193" s="53"/>
      <c r="H193" s="115"/>
    </row>
    <row r="194" spans="2:8">
      <c r="B194" s="53"/>
      <c r="H194" s="115"/>
    </row>
    <row r="195" spans="2:8">
      <c r="B195" s="53"/>
      <c r="H195" s="115"/>
    </row>
    <row r="196" spans="2:8">
      <c r="B196" s="53"/>
      <c r="H196" s="115"/>
    </row>
    <row r="199" spans="2:8">
      <c r="B199" s="53"/>
    </row>
    <row r="200" spans="2:8">
      <c r="H200" s="115"/>
    </row>
    <row r="201" spans="2:8">
      <c r="H201" s="115"/>
    </row>
    <row r="202" spans="2:8">
      <c r="H202" s="115"/>
    </row>
    <row r="203" spans="2:8">
      <c r="H203" s="115"/>
    </row>
    <row r="208" spans="2:8">
      <c r="H208" s="115"/>
    </row>
    <row r="210" spans="2:8">
      <c r="H210" s="115"/>
    </row>
    <row r="212" spans="2:8">
      <c r="B212" s="53"/>
      <c r="H212" s="115"/>
    </row>
    <row r="213" spans="2:8">
      <c r="B213" s="53"/>
      <c r="H213" s="115"/>
    </row>
    <row r="214" spans="2:8">
      <c r="B214" s="53"/>
      <c r="H214" s="115"/>
    </row>
    <row r="215" spans="2:8">
      <c r="B215" s="53"/>
      <c r="H215" s="115"/>
    </row>
    <row r="216" spans="2:8">
      <c r="B216" s="53"/>
      <c r="H216" s="115"/>
    </row>
    <row r="217" spans="2:8">
      <c r="B217" s="53"/>
      <c r="H217" s="115"/>
    </row>
    <row r="218" spans="2:8">
      <c r="B218" s="53"/>
    </row>
    <row r="219" spans="2:8">
      <c r="B219" s="53"/>
      <c r="H219" s="115"/>
    </row>
    <row r="220" spans="2:8">
      <c r="B220" s="53"/>
      <c r="H220" s="115"/>
    </row>
    <row r="221" spans="2:8">
      <c r="B221" s="53"/>
      <c r="H221" s="115"/>
    </row>
    <row r="222" spans="2:8">
      <c r="B222" s="53"/>
      <c r="H222" s="115"/>
    </row>
    <row r="223" spans="2:8">
      <c r="B223" s="53"/>
      <c r="H223" s="115"/>
    </row>
    <row r="224" spans="2:8">
      <c r="B224" s="53"/>
      <c r="H224" s="115"/>
    </row>
    <row r="225" spans="2:8">
      <c r="B225" s="53"/>
      <c r="H225" s="115"/>
    </row>
    <row r="226" spans="2:8">
      <c r="B226" s="53"/>
      <c r="H226" s="115"/>
    </row>
    <row r="227" spans="2:8">
      <c r="B227" s="53"/>
      <c r="H227" s="115"/>
    </row>
    <row r="228" spans="2:8">
      <c r="B228" s="53"/>
      <c r="H228" s="115"/>
    </row>
    <row r="229" spans="2:8">
      <c r="B229" s="53"/>
      <c r="H229" s="115"/>
    </row>
    <row r="230" spans="2:8">
      <c r="B230" s="53"/>
      <c r="H230" s="115"/>
    </row>
    <row r="231" spans="2:8">
      <c r="B231" s="53"/>
      <c r="H231" s="115"/>
    </row>
    <row r="232" spans="2:8">
      <c r="B232" s="53"/>
      <c r="H232" s="115"/>
    </row>
    <row r="233" spans="2:8">
      <c r="B233" s="53"/>
      <c r="H233" s="115"/>
    </row>
    <row r="234" spans="2:8">
      <c r="B234" s="53"/>
    </row>
    <row r="235" spans="2:8">
      <c r="B235" s="53"/>
    </row>
    <row r="236" spans="2:8">
      <c r="B236" s="53"/>
    </row>
    <row r="237" spans="2:8">
      <c r="B237" s="53"/>
    </row>
    <row r="238" spans="2:8">
      <c r="B238" s="53"/>
    </row>
    <row r="239" spans="2:8">
      <c r="B239" s="53"/>
    </row>
    <row r="240" spans="2:8">
      <c r="B240" s="53"/>
    </row>
    <row r="241" spans="2:2">
      <c r="B241" s="53"/>
    </row>
    <row r="242" spans="2:2">
      <c r="B242" s="53"/>
    </row>
    <row r="243" spans="2:2">
      <c r="B243" s="53"/>
    </row>
    <row r="244" spans="2:2">
      <c r="B244" s="53"/>
    </row>
    <row r="245" spans="2:2">
      <c r="B245" s="53"/>
    </row>
    <row r="246" spans="2:2">
      <c r="B246" s="53"/>
    </row>
    <row r="247" spans="2:2">
      <c r="B247" s="53"/>
    </row>
    <row r="248" spans="2:2">
      <c r="B248" s="53"/>
    </row>
    <row r="249" spans="2:2">
      <c r="B249" s="53"/>
    </row>
    <row r="250" spans="2:2">
      <c r="B250" s="53"/>
    </row>
    <row r="251" spans="2:2">
      <c r="B251" s="53"/>
    </row>
    <row r="252" spans="2:2">
      <c r="B252" s="53"/>
    </row>
    <row r="253" spans="2:2">
      <c r="B253" s="53"/>
    </row>
    <row r="254" spans="2:2">
      <c r="B254" s="53"/>
    </row>
    <row r="255" spans="2:2">
      <c r="B255" s="53"/>
    </row>
    <row r="256" spans="2:2">
      <c r="B256" s="53"/>
    </row>
    <row r="257" spans="2:8">
      <c r="B257" s="53"/>
    </row>
    <row r="258" spans="2:8">
      <c r="B258" s="53"/>
      <c r="H258" s="115"/>
    </row>
    <row r="259" spans="2:8">
      <c r="B259" s="53"/>
      <c r="H259" s="115"/>
    </row>
    <row r="260" spans="2:8">
      <c r="B260" s="53"/>
      <c r="H260" s="115"/>
    </row>
    <row r="261" spans="2:8">
      <c r="B261" s="53"/>
      <c r="H261" s="115"/>
    </row>
    <row r="262" spans="2:8">
      <c r="B262" s="53"/>
      <c r="H262" s="115"/>
    </row>
    <row r="263" spans="2:8">
      <c r="B263" s="53"/>
      <c r="H263" s="115"/>
    </row>
    <row r="264" spans="2:8">
      <c r="B264" s="53"/>
      <c r="H264" s="115"/>
    </row>
    <row r="265" spans="2:8">
      <c r="B265" s="53"/>
      <c r="H265" s="115"/>
    </row>
    <row r="266" spans="2:8">
      <c r="B266" s="53"/>
      <c r="H266" s="115"/>
    </row>
    <row r="267" spans="2:8">
      <c r="B267" s="53"/>
      <c r="H267" s="115"/>
    </row>
    <row r="268" spans="2:8">
      <c r="B268" s="53"/>
      <c r="H268" s="115"/>
    </row>
    <row r="269" spans="2:8">
      <c r="B269" s="53"/>
      <c r="H269" s="115"/>
    </row>
    <row r="270" spans="2:8">
      <c r="B270" s="53"/>
      <c r="H270" s="115"/>
    </row>
    <row r="271" spans="2:8">
      <c r="B271" s="53"/>
      <c r="H271" s="115"/>
    </row>
    <row r="272" spans="2:8">
      <c r="B272" s="53"/>
      <c r="H272" s="115"/>
    </row>
    <row r="273" spans="2:8">
      <c r="B273" s="53"/>
      <c r="H273" s="115"/>
    </row>
    <row r="274" spans="2:8">
      <c r="B274" s="53"/>
      <c r="H274" s="115"/>
    </row>
    <row r="275" spans="2:8">
      <c r="B275" s="53"/>
      <c r="H275" s="115"/>
    </row>
    <row r="276" spans="2:8">
      <c r="B276" s="53"/>
      <c r="H276" s="115"/>
    </row>
    <row r="277" spans="2:8">
      <c r="B277" s="53"/>
      <c r="H277" s="115"/>
    </row>
    <row r="278" spans="2:8">
      <c r="B278" s="53"/>
      <c r="H278" s="115"/>
    </row>
    <row r="279" spans="2:8">
      <c r="B279" s="53"/>
      <c r="H279" s="115"/>
    </row>
    <row r="280" spans="2:8">
      <c r="B280" s="53"/>
    </row>
    <row r="281" spans="2:8">
      <c r="B281" s="53"/>
    </row>
    <row r="282" spans="2:8">
      <c r="B282" s="53"/>
      <c r="H282" s="115"/>
    </row>
    <row r="283" spans="2:8">
      <c r="B283" s="53"/>
    </row>
    <row r="284" spans="2:8">
      <c r="B284" s="53"/>
      <c r="H284" s="115"/>
    </row>
    <row r="285" spans="2:8">
      <c r="B285" s="53"/>
      <c r="H285" s="115"/>
    </row>
    <row r="286" spans="2:8">
      <c r="B286" s="53"/>
      <c r="H286" s="115"/>
    </row>
    <row r="287" spans="2:8">
      <c r="B287" s="53"/>
      <c r="H287" s="115"/>
    </row>
    <row r="288" spans="2:8">
      <c r="B288" s="53"/>
      <c r="H288" s="115"/>
    </row>
    <row r="289" spans="2:8">
      <c r="B289" s="53"/>
      <c r="H289" s="115"/>
    </row>
    <row r="290" spans="2:8">
      <c r="B290" s="53"/>
      <c r="H290" s="115"/>
    </row>
    <row r="291" spans="2:8">
      <c r="B291" s="53"/>
      <c r="H291" s="115"/>
    </row>
    <row r="292" spans="2:8">
      <c r="B292" s="53"/>
      <c r="H292" s="115"/>
    </row>
    <row r="293" spans="2:8">
      <c r="B293" s="53"/>
      <c r="H293" s="115"/>
    </row>
    <row r="294" spans="2:8">
      <c r="B294" s="53"/>
      <c r="H294" s="115"/>
    </row>
    <row r="295" spans="2:8">
      <c r="B295" s="53"/>
      <c r="H295" s="115"/>
    </row>
    <row r="296" spans="2:8">
      <c r="B296" s="53"/>
      <c r="H296" s="115"/>
    </row>
    <row r="297" spans="2:8">
      <c r="B297" s="53"/>
      <c r="H297" s="115"/>
    </row>
    <row r="298" spans="2:8">
      <c r="B298" s="53"/>
      <c r="H298" s="115"/>
    </row>
    <row r="299" spans="2:8">
      <c r="B299" s="53"/>
    </row>
    <row r="300" spans="2:8">
      <c r="B300" s="53"/>
    </row>
    <row r="301" spans="2:8">
      <c r="B301" s="53"/>
    </row>
    <row r="302" spans="2:8">
      <c r="B302" s="53"/>
    </row>
    <row r="303" spans="2:8">
      <c r="B303" s="53"/>
    </row>
    <row r="304" spans="2:8">
      <c r="B304" s="53"/>
      <c r="H304" s="115"/>
    </row>
    <row r="305" spans="2:8">
      <c r="B305" s="53"/>
    </row>
    <row r="306" spans="2:8">
      <c r="B306" s="53"/>
      <c r="H306" s="115"/>
    </row>
    <row r="307" spans="2:8">
      <c r="B307" s="53"/>
      <c r="H307" s="115"/>
    </row>
    <row r="308" spans="2:8">
      <c r="B308" s="53"/>
      <c r="H308" s="115"/>
    </row>
    <row r="309" spans="2:8">
      <c r="B309" s="53"/>
      <c r="H309" s="115"/>
    </row>
    <row r="310" spans="2:8">
      <c r="B310" s="53"/>
      <c r="H310" s="115"/>
    </row>
    <row r="311" spans="2:8">
      <c r="B311" s="53"/>
    </row>
    <row r="312" spans="2:8">
      <c r="B312" s="53"/>
    </row>
    <row r="313" spans="2:8">
      <c r="B313" s="53"/>
      <c r="H313" s="115"/>
    </row>
    <row r="314" spans="2:8">
      <c r="B314" s="53"/>
      <c r="H314" s="115"/>
    </row>
    <row r="315" spans="2:8">
      <c r="B315" s="53"/>
      <c r="H315" s="115"/>
    </row>
    <row r="316" spans="2:8">
      <c r="B316" s="53"/>
      <c r="H316" s="115"/>
    </row>
    <row r="317" spans="2:8">
      <c r="B317" s="53"/>
      <c r="H317" s="115"/>
    </row>
    <row r="318" spans="2:8">
      <c r="B318" s="53"/>
      <c r="H318" s="115"/>
    </row>
    <row r="319" spans="2:8">
      <c r="B319" s="53"/>
      <c r="H319" s="115"/>
    </row>
    <row r="320" spans="2:8">
      <c r="B320" s="53"/>
      <c r="H320" s="115"/>
    </row>
    <row r="321" spans="2:8">
      <c r="B321" s="53"/>
    </row>
    <row r="322" spans="2:8">
      <c r="B322" s="53"/>
    </row>
    <row r="323" spans="2:8">
      <c r="B323" s="53"/>
    </row>
    <row r="324" spans="2:8">
      <c r="B324" s="53"/>
    </row>
    <row r="325" spans="2:8">
      <c r="B325" s="53"/>
    </row>
    <row r="326" spans="2:8">
      <c r="B326" s="53"/>
    </row>
    <row r="327" spans="2:8">
      <c r="B327" s="53"/>
    </row>
    <row r="328" spans="2:8">
      <c r="B328" s="53"/>
    </row>
    <row r="329" spans="2:8">
      <c r="B329" s="53"/>
    </row>
    <row r="330" spans="2:8">
      <c r="B330" s="53"/>
      <c r="H330" s="115"/>
    </row>
    <row r="331" spans="2:8">
      <c r="B331" s="53"/>
      <c r="H331" s="115"/>
    </row>
    <row r="332" spans="2:8">
      <c r="B332" s="53"/>
      <c r="H332" s="115"/>
    </row>
    <row r="333" spans="2:8">
      <c r="B333" s="53"/>
      <c r="H333" s="115"/>
    </row>
    <row r="334" spans="2:8">
      <c r="B334" s="53"/>
    </row>
    <row r="335" spans="2:8">
      <c r="B335" s="53"/>
    </row>
    <row r="336" spans="2:8">
      <c r="B336" s="53"/>
    </row>
    <row r="337" spans="2:8">
      <c r="B337" s="53"/>
    </row>
    <row r="338" spans="2:8">
      <c r="B338" s="53"/>
      <c r="H338" s="115"/>
    </row>
    <row r="339" spans="2:8">
      <c r="B339" s="53"/>
    </row>
    <row r="340" spans="2:8">
      <c r="B340" s="53"/>
    </row>
    <row r="341" spans="2:8">
      <c r="B341" s="53"/>
    </row>
    <row r="342" spans="2:8">
      <c r="B342" s="53"/>
    </row>
    <row r="343" spans="2:8">
      <c r="B343" s="53"/>
    </row>
    <row r="344" spans="2:8">
      <c r="B344" s="53"/>
    </row>
    <row r="345" spans="2:8">
      <c r="B345" s="53"/>
    </row>
    <row r="346" spans="2:8">
      <c r="B346" s="53"/>
    </row>
    <row r="347" spans="2:8">
      <c r="B347" s="53"/>
      <c r="H347" s="115"/>
    </row>
    <row r="348" spans="2:8">
      <c r="B348" s="53"/>
    </row>
    <row r="349" spans="2:8">
      <c r="B349" s="53"/>
      <c r="H349" s="115"/>
    </row>
    <row r="350" spans="2:8">
      <c r="B350" s="53"/>
      <c r="H350" s="115"/>
    </row>
    <row r="351" spans="2:8">
      <c r="B351" s="53"/>
      <c r="H351" s="115"/>
    </row>
    <row r="352" spans="2:8">
      <c r="B352" s="53"/>
      <c r="H352" s="115"/>
    </row>
    <row r="353" spans="2:8">
      <c r="B353" s="53"/>
      <c r="H353" s="115"/>
    </row>
    <row r="354" spans="2:8">
      <c r="B354" s="53"/>
      <c r="H354" s="115"/>
    </row>
    <row r="355" spans="2:8">
      <c r="B355" s="53"/>
      <c r="H355" s="115"/>
    </row>
    <row r="356" spans="2:8">
      <c r="B356" s="53"/>
      <c r="H356" s="115"/>
    </row>
    <row r="357" spans="2:8">
      <c r="B357" s="53"/>
      <c r="H357" s="115"/>
    </row>
    <row r="358" spans="2:8">
      <c r="B358" s="53"/>
      <c r="H358" s="115"/>
    </row>
    <row r="359" spans="2:8">
      <c r="B359" s="53"/>
      <c r="H359" s="115"/>
    </row>
    <row r="360" spans="2:8">
      <c r="B360" s="53"/>
      <c r="H360" s="115"/>
    </row>
    <row r="361" spans="2:8">
      <c r="B361" s="53"/>
      <c r="H361" s="115"/>
    </row>
    <row r="362" spans="2:8">
      <c r="B362" s="53"/>
      <c r="H362" s="115"/>
    </row>
    <row r="363" spans="2:8">
      <c r="B363" s="53"/>
      <c r="H363" s="115"/>
    </row>
    <row r="364" spans="2:8">
      <c r="B364" s="53"/>
      <c r="H364" s="115"/>
    </row>
    <row r="365" spans="2:8">
      <c r="B365" s="53"/>
      <c r="H365" s="115"/>
    </row>
    <row r="366" spans="2:8">
      <c r="B366" s="53"/>
      <c r="H366" s="115"/>
    </row>
    <row r="367" spans="2:8">
      <c r="B367" s="53"/>
      <c r="H367" s="115"/>
    </row>
    <row r="368" spans="2:8">
      <c r="B368" s="53"/>
      <c r="H368" s="115"/>
    </row>
    <row r="369" spans="2:8">
      <c r="B369" s="53"/>
      <c r="H369" s="115"/>
    </row>
    <row r="370" spans="2:8">
      <c r="B370" s="53"/>
      <c r="H370" s="115"/>
    </row>
    <row r="371" spans="2:8">
      <c r="B371" s="53"/>
      <c r="H371" s="115"/>
    </row>
    <row r="372" spans="2:8">
      <c r="B372" s="53"/>
      <c r="H372" s="115"/>
    </row>
    <row r="373" spans="2:8">
      <c r="B373" s="53"/>
      <c r="H373" s="115"/>
    </row>
    <row r="374" spans="2:8">
      <c r="B374" s="53"/>
    </row>
    <row r="375" spans="2:8">
      <c r="B375" s="53"/>
    </row>
    <row r="376" spans="2:8">
      <c r="B376" s="53"/>
    </row>
    <row r="377" spans="2:8">
      <c r="B377" s="53"/>
    </row>
    <row r="378" spans="2:8">
      <c r="B378" s="53"/>
    </row>
    <row r="379" spans="2:8">
      <c r="B379" s="53"/>
    </row>
    <row r="380" spans="2:8">
      <c r="B380" s="53"/>
    </row>
    <row r="381" spans="2:8">
      <c r="B381" s="53"/>
      <c r="H381" s="115"/>
    </row>
    <row r="382" spans="2:8">
      <c r="B382" s="53"/>
      <c r="H382" s="115"/>
    </row>
    <row r="383" spans="2:8">
      <c r="B383" s="53"/>
      <c r="H383" s="115"/>
    </row>
    <row r="384" spans="2:8">
      <c r="B384" s="53"/>
      <c r="H384" s="115"/>
    </row>
    <row r="385" spans="2:8">
      <c r="B385" s="53"/>
    </row>
    <row r="386" spans="2:8">
      <c r="B386" s="53"/>
    </row>
    <row r="387" spans="2:8">
      <c r="B387" s="53"/>
    </row>
    <row r="388" spans="2:8">
      <c r="B388" s="53"/>
    </row>
    <row r="389" spans="2:8">
      <c r="B389" s="53"/>
      <c r="H389" s="115"/>
    </row>
    <row r="390" spans="2:8">
      <c r="B390" s="53"/>
    </row>
    <row r="391" spans="2:8">
      <c r="B391" s="53"/>
    </row>
    <row r="394" spans="2:8">
      <c r="B394" s="53"/>
    </row>
    <row r="398" spans="2:8">
      <c r="H398" s="115"/>
    </row>
    <row r="400" spans="2:8">
      <c r="B400" s="53"/>
      <c r="H400" s="115"/>
    </row>
    <row r="401" spans="2:8">
      <c r="B401" s="53"/>
      <c r="H401" s="115"/>
    </row>
    <row r="402" spans="2:8">
      <c r="B402" s="53"/>
      <c r="H402" s="115"/>
    </row>
    <row r="403" spans="2:8">
      <c r="B403" s="53"/>
      <c r="H403" s="115"/>
    </row>
    <row r="404" spans="2:8">
      <c r="B404" s="53"/>
      <c r="H404" s="115"/>
    </row>
    <row r="405" spans="2:8">
      <c r="B405" s="53"/>
    </row>
    <row r="406" spans="2:8">
      <c r="B406" s="53"/>
    </row>
    <row r="407" spans="2:8">
      <c r="B407" s="53"/>
      <c r="H407" s="115"/>
    </row>
    <row r="408" spans="2:8">
      <c r="B408" s="53"/>
      <c r="H408" s="115"/>
    </row>
    <row r="409" spans="2:8">
      <c r="B409" s="53"/>
      <c r="H409" s="115"/>
    </row>
    <row r="410" spans="2:8">
      <c r="B410" s="53"/>
      <c r="H410" s="115"/>
    </row>
    <row r="411" spans="2:8">
      <c r="B411" s="53"/>
      <c r="H411" s="115"/>
    </row>
    <row r="412" spans="2:8">
      <c r="B412" s="53"/>
      <c r="H412" s="115"/>
    </row>
    <row r="413" spans="2:8">
      <c r="B413" s="53"/>
      <c r="H413" s="115"/>
    </row>
    <row r="414" spans="2:8">
      <c r="B414" s="53"/>
      <c r="H414" s="115"/>
    </row>
    <row r="415" spans="2:8">
      <c r="B415" s="53"/>
    </row>
    <row r="416" spans="2:8">
      <c r="B416" s="53"/>
    </row>
    <row r="417" spans="2:2">
      <c r="B417" s="53"/>
    </row>
    <row r="418" spans="2:2">
      <c r="B418" s="53"/>
    </row>
    <row r="419" spans="2:2">
      <c r="B419" s="53"/>
    </row>
    <row r="420" spans="2:2">
      <c r="B420" s="53"/>
    </row>
    <row r="421" spans="2:2">
      <c r="B421" s="53"/>
    </row>
    <row r="422" spans="2:2">
      <c r="B422" s="53"/>
    </row>
    <row r="423" spans="2:2">
      <c r="B423" s="53"/>
    </row>
    <row r="424" spans="2:2">
      <c r="B424" s="53"/>
    </row>
    <row r="425" spans="2:2">
      <c r="B425" s="53"/>
    </row>
    <row r="426" spans="2:2">
      <c r="B426" s="53"/>
    </row>
    <row r="427" spans="2:2">
      <c r="B427" s="53"/>
    </row>
    <row r="428" spans="2:2">
      <c r="B428" s="53"/>
    </row>
    <row r="429" spans="2:2">
      <c r="B429" s="53"/>
    </row>
    <row r="430" spans="2:2">
      <c r="B430" s="53"/>
    </row>
    <row r="431" spans="2:2">
      <c r="B431" s="53"/>
    </row>
    <row r="432" spans="2:2">
      <c r="B432" s="53"/>
    </row>
    <row r="433" spans="2:8">
      <c r="B433" s="53"/>
    </row>
    <row r="434" spans="2:8">
      <c r="B434" s="53"/>
    </row>
    <row r="435" spans="2:8">
      <c r="B435" s="53"/>
    </row>
    <row r="436" spans="2:8">
      <c r="B436" s="53"/>
    </row>
    <row r="437" spans="2:8">
      <c r="B437" s="53"/>
    </row>
    <row r="438" spans="2:8">
      <c r="B438" s="53"/>
    </row>
    <row r="439" spans="2:8">
      <c r="B439" s="53"/>
    </row>
    <row r="440" spans="2:8">
      <c r="B440" s="53"/>
    </row>
    <row r="441" spans="2:8">
      <c r="B441" s="53"/>
    </row>
    <row r="442" spans="2:8">
      <c r="B442" s="53"/>
    </row>
    <row r="445" spans="2:8">
      <c r="B445" s="53"/>
    </row>
    <row r="446" spans="2:8">
      <c r="B446" s="53"/>
      <c r="H446" s="115"/>
    </row>
    <row r="447" spans="2:8">
      <c r="B447" s="53"/>
      <c r="H447" s="115"/>
    </row>
    <row r="448" spans="2:8">
      <c r="B448" s="53"/>
      <c r="H448" s="115"/>
    </row>
    <row r="449" spans="2:8">
      <c r="B449" s="53"/>
      <c r="H449" s="115"/>
    </row>
    <row r="450" spans="2:8">
      <c r="B450" s="53"/>
      <c r="H450" s="115"/>
    </row>
    <row r="451" spans="2:8">
      <c r="B451" s="53"/>
      <c r="H451" s="115"/>
    </row>
    <row r="452" spans="2:8">
      <c r="B452" s="53"/>
      <c r="H452" s="115"/>
    </row>
    <row r="453" spans="2:8">
      <c r="B453" s="53"/>
      <c r="H453" s="115"/>
    </row>
    <row r="454" spans="2:8">
      <c r="B454" s="53"/>
      <c r="H454" s="115"/>
    </row>
    <row r="455" spans="2:8">
      <c r="B455" s="53"/>
      <c r="H455" s="115"/>
    </row>
    <row r="456" spans="2:8">
      <c r="B456" s="53"/>
      <c r="H456" s="115"/>
    </row>
    <row r="457" spans="2:8">
      <c r="B457" s="53"/>
      <c r="H457" s="115"/>
    </row>
    <row r="458" spans="2:8">
      <c r="B458" s="53"/>
      <c r="H458" s="115"/>
    </row>
    <row r="459" spans="2:8">
      <c r="B459" s="53"/>
      <c r="H459" s="115"/>
    </row>
    <row r="460" spans="2:8">
      <c r="B460" s="53"/>
      <c r="H460" s="115"/>
    </row>
    <row r="461" spans="2:8">
      <c r="B461" s="53"/>
      <c r="H461" s="115"/>
    </row>
    <row r="462" spans="2:8">
      <c r="B462" s="53"/>
      <c r="H462" s="115"/>
    </row>
    <row r="463" spans="2:8">
      <c r="B463" s="53"/>
      <c r="H463" s="115"/>
    </row>
    <row r="464" spans="2:8">
      <c r="B464" s="53"/>
      <c r="H464" s="115"/>
    </row>
    <row r="465" spans="2:8">
      <c r="B465" s="53"/>
      <c r="H465" s="115"/>
    </row>
    <row r="466" spans="2:8">
      <c r="B466" s="53"/>
      <c r="H466" s="115"/>
    </row>
    <row r="467" spans="2:8">
      <c r="B467" s="53"/>
      <c r="H467" s="115"/>
    </row>
    <row r="468" spans="2:8">
      <c r="B468" s="53"/>
    </row>
    <row r="469" spans="2:8">
      <c r="B469" s="53"/>
    </row>
    <row r="470" spans="2:8">
      <c r="B470" s="53"/>
    </row>
    <row r="471" spans="2:8">
      <c r="B471" s="53"/>
    </row>
    <row r="472" spans="2:8">
      <c r="B472" s="53"/>
    </row>
    <row r="473" spans="2:8">
      <c r="B473" s="53"/>
    </row>
    <row r="474" spans="2:8">
      <c r="B474" s="53"/>
    </row>
    <row r="475" spans="2:8">
      <c r="H475" s="115"/>
    </row>
    <row r="476" spans="2:8">
      <c r="H476" s="115"/>
    </row>
    <row r="477" spans="2:8">
      <c r="H477" s="115"/>
    </row>
    <row r="478" spans="2:8">
      <c r="H478" s="115"/>
    </row>
    <row r="483" spans="2:8">
      <c r="H483" s="115"/>
    </row>
    <row r="492" spans="2:8">
      <c r="H492" s="115"/>
    </row>
    <row r="494" spans="2:8">
      <c r="B494" s="53"/>
      <c r="H494" s="115"/>
    </row>
    <row r="495" spans="2:8">
      <c r="B495" s="53"/>
      <c r="H495" s="115"/>
    </row>
    <row r="496" spans="2:8">
      <c r="B496" s="53"/>
      <c r="H496" s="115"/>
    </row>
    <row r="497" spans="2:8">
      <c r="B497" s="53"/>
      <c r="H497" s="115"/>
    </row>
    <row r="498" spans="2:8">
      <c r="B498" s="53"/>
      <c r="H498" s="115"/>
    </row>
    <row r="499" spans="2:8">
      <c r="B499" s="53"/>
    </row>
    <row r="500" spans="2:8">
      <c r="B500" s="53"/>
    </row>
    <row r="501" spans="2:8">
      <c r="B501" s="53"/>
      <c r="H501" s="115"/>
    </row>
    <row r="502" spans="2:8">
      <c r="B502" s="53"/>
      <c r="H502" s="115"/>
    </row>
    <row r="503" spans="2:8">
      <c r="B503" s="53"/>
      <c r="H503" s="115"/>
    </row>
    <row r="504" spans="2:8">
      <c r="B504" s="53"/>
      <c r="H504" s="115"/>
    </row>
    <row r="505" spans="2:8">
      <c r="B505" s="53"/>
      <c r="H505" s="115"/>
    </row>
    <row r="506" spans="2:8">
      <c r="B506" s="53"/>
      <c r="H506" s="115"/>
    </row>
    <row r="507" spans="2:8">
      <c r="B507" s="53"/>
      <c r="H507" s="115"/>
    </row>
    <row r="508" spans="2:8">
      <c r="B508" s="53"/>
      <c r="H508" s="115"/>
    </row>
    <row r="509" spans="2:8">
      <c r="B509" s="53"/>
    </row>
    <row r="510" spans="2:8">
      <c r="B510" s="53"/>
    </row>
    <row r="511" spans="2:8">
      <c r="B511" s="53"/>
    </row>
    <row r="512" spans="2:8">
      <c r="B512" s="53"/>
    </row>
    <row r="513" spans="2:2">
      <c r="B513" s="53"/>
    </row>
    <row r="514" spans="2:2">
      <c r="B514" s="53"/>
    </row>
    <row r="515" spans="2:2">
      <c r="B515" s="53"/>
    </row>
    <row r="516" spans="2:2">
      <c r="B516" s="53"/>
    </row>
    <row r="517" spans="2:2">
      <c r="B517" s="53"/>
    </row>
    <row r="518" spans="2:2">
      <c r="B518" s="53"/>
    </row>
    <row r="519" spans="2:2">
      <c r="B519" s="53"/>
    </row>
    <row r="520" spans="2:2">
      <c r="B520" s="53"/>
    </row>
    <row r="521" spans="2:2">
      <c r="B521" s="53"/>
    </row>
    <row r="522" spans="2:2">
      <c r="B522" s="53"/>
    </row>
    <row r="523" spans="2:2">
      <c r="B523" s="53"/>
    </row>
    <row r="524" spans="2:2">
      <c r="B524" s="53"/>
    </row>
    <row r="525" spans="2:2">
      <c r="B525" s="53"/>
    </row>
    <row r="526" spans="2:2">
      <c r="B526" s="53"/>
    </row>
    <row r="527" spans="2:2">
      <c r="B527" s="53"/>
    </row>
    <row r="528" spans="2:2">
      <c r="B528" s="53"/>
    </row>
    <row r="529" spans="2:8">
      <c r="B529" s="53"/>
    </row>
    <row r="530" spans="2:8">
      <c r="B530" s="53"/>
    </row>
    <row r="531" spans="2:8">
      <c r="B531" s="53"/>
    </row>
    <row r="532" spans="2:8">
      <c r="B532" s="53"/>
    </row>
    <row r="533" spans="2:8">
      <c r="B533" s="53"/>
    </row>
    <row r="534" spans="2:8">
      <c r="B534" s="53"/>
    </row>
    <row r="535" spans="2:8">
      <c r="B535" s="53"/>
    </row>
    <row r="536" spans="2:8">
      <c r="B536" s="53"/>
    </row>
    <row r="539" spans="2:8">
      <c r="B539" s="53"/>
    </row>
    <row r="540" spans="2:8">
      <c r="B540" s="53"/>
      <c r="H540" s="115"/>
    </row>
    <row r="541" spans="2:8">
      <c r="B541" s="53"/>
      <c r="H541" s="115"/>
    </row>
    <row r="542" spans="2:8">
      <c r="B542" s="53"/>
      <c r="H542" s="115"/>
    </row>
    <row r="543" spans="2:8">
      <c r="B543" s="53"/>
      <c r="H543" s="115"/>
    </row>
    <row r="544" spans="2:8">
      <c r="B544" s="53"/>
      <c r="H544" s="115"/>
    </row>
    <row r="545" spans="2:8">
      <c r="B545" s="53"/>
      <c r="H545" s="115"/>
    </row>
    <row r="546" spans="2:8">
      <c r="B546" s="53"/>
      <c r="H546" s="115"/>
    </row>
    <row r="547" spans="2:8">
      <c r="B547" s="53"/>
      <c r="H547" s="115"/>
    </row>
    <row r="548" spans="2:8">
      <c r="B548" s="53"/>
      <c r="H548" s="115"/>
    </row>
    <row r="549" spans="2:8">
      <c r="B549" s="53"/>
      <c r="H549" s="115"/>
    </row>
    <row r="550" spans="2:8">
      <c r="B550" s="53"/>
      <c r="H550" s="115"/>
    </row>
    <row r="551" spans="2:8">
      <c r="B551" s="53"/>
      <c r="H551" s="115"/>
    </row>
    <row r="552" spans="2:8">
      <c r="B552" s="53"/>
      <c r="H552" s="115"/>
    </row>
    <row r="553" spans="2:8">
      <c r="B553" s="53"/>
      <c r="H553" s="115"/>
    </row>
    <row r="554" spans="2:8">
      <c r="B554" s="53"/>
      <c r="H554" s="115"/>
    </row>
    <row r="555" spans="2:8">
      <c r="B555" s="53"/>
      <c r="H555" s="115"/>
    </row>
    <row r="556" spans="2:8">
      <c r="B556" s="53"/>
      <c r="H556" s="115"/>
    </row>
    <row r="557" spans="2:8">
      <c r="B557" s="53"/>
      <c r="H557" s="115"/>
    </row>
    <row r="558" spans="2:8">
      <c r="B558" s="53"/>
      <c r="H558" s="115"/>
    </row>
    <row r="559" spans="2:8">
      <c r="B559" s="53"/>
      <c r="H559" s="115"/>
    </row>
    <row r="560" spans="2:8">
      <c r="B560" s="53"/>
      <c r="H560" s="115"/>
    </row>
    <row r="561" spans="2:8">
      <c r="B561" s="53"/>
      <c r="H561" s="115"/>
    </row>
    <row r="562" spans="2:8">
      <c r="B562" s="53"/>
    </row>
    <row r="563" spans="2:8">
      <c r="B563" s="53"/>
    </row>
    <row r="564" spans="2:8">
      <c r="B564" s="53"/>
    </row>
    <row r="565" spans="2:8">
      <c r="B565" s="53"/>
    </row>
    <row r="566" spans="2:8">
      <c r="B566" s="53"/>
    </row>
    <row r="567" spans="2:8">
      <c r="B567" s="53"/>
    </row>
    <row r="568" spans="2:8">
      <c r="B568" s="53"/>
    </row>
  </sheetData>
  <conditionalFormatting sqref="A5:A49 A51:A54">
    <cfRule type="cellIs" dxfId="1" priority="1" operator="equal">
      <formula>"USCITA"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3" name="Button 3">
              <controlPr defaultSize="0" print="0" autoFill="0" autoPict="0" macro="[0]!EstraiMovimentiContratto">
                <anchor moveWithCells="1" sizeWithCells="1">
                  <from>
                    <xdr:col>2</xdr:col>
                    <xdr:colOff>25400</xdr:colOff>
                    <xdr:row>0</xdr:row>
                    <xdr:rowOff>0</xdr:rowOff>
                  </from>
                  <to>
                    <xdr:col>3</xdr:col>
                    <xdr:colOff>914400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4" name="Button 5">
              <controlPr defaultSize="0" print="0" autoFill="0" autoPict="0" macro="[0]!EstraiMovimentiPerAcquirente">
                <anchor moveWithCells="1" sizeWithCells="1">
                  <from>
                    <xdr:col>2</xdr:col>
                    <xdr:colOff>800100</xdr:colOff>
                    <xdr:row>47</xdr:row>
                    <xdr:rowOff>25400</xdr:rowOff>
                  </from>
                  <to>
                    <xdr:col>5</xdr:col>
                    <xdr:colOff>482600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5" name="Button 11">
              <controlPr defaultSize="0" print="0" autoFill="0" autoPict="0" macro="[0]!VaiAllaRigaLottoMagazzino2">
                <anchor moveWithCells="1" sizeWithCells="1">
                  <from>
                    <xdr:col>5</xdr:col>
                    <xdr:colOff>1104900</xdr:colOff>
                    <xdr:row>47</xdr:row>
                    <xdr:rowOff>12700</xdr:rowOff>
                  </from>
                  <to>
                    <xdr:col>8</xdr:col>
                    <xdr:colOff>63500</xdr:colOff>
                    <xdr:row>51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6" name="Button 12">
              <controlPr defaultSize="0" print="0" autoFill="0" autoPict="0" macro="[0]!VaiAllaRigaLottoMagazzino2">
                <anchor moveWithCells="1" sizeWithCells="1">
                  <from>
                    <xdr:col>4</xdr:col>
                    <xdr:colOff>876300</xdr:colOff>
                    <xdr:row>0</xdr:row>
                    <xdr:rowOff>0</xdr:rowOff>
                  </from>
                  <to>
                    <xdr:col>6</xdr:col>
                    <xdr:colOff>431800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FAA0024-4EDF-4118-B330-C4C1D7D5F9E7}">
          <x14:formula1>
            <xm:f>CONTRATTI_CLIENTI!$A$2:$A$87</xm:f>
          </x14:formula1>
          <xm:sqref>B1</xm:sqref>
        </x14:dataValidation>
        <x14:dataValidation type="list" allowBlank="1" showInputMessage="1" showErrorMessage="1" xr:uid="{7841BFD1-E94A-4219-92B7-7D3DFE2D853F}">
          <x14:formula1>
            <xm:f>GUIDA_USO!$M$99:$M$1068</xm:f>
          </x14:formula1>
          <xm:sqref>H5:H9</xm:sqref>
        </x14:dataValidation>
        <x14:dataValidation type="list" allowBlank="1" showInputMessage="1" showErrorMessage="1" xr:uid="{768D11FB-280A-4876-BA2F-859F6440D916}">
          <x14:formula1>
            <xm:f>GUIDA_USO!$L$87:$L$88</xm:f>
          </x14:formula1>
          <xm:sqref>A5:A9</xm:sqref>
        </x14:dataValidation>
        <x14:dataValidation type="list" allowBlank="1" showInputMessage="1" showErrorMessage="1" xr:uid="{71E6C86C-60DE-438D-98EF-6407BFBD294D}">
          <x14:formula1>
            <xm:f>GUIDA_USO!$L$99:$L$101</xm:f>
          </x14:formula1>
          <xm:sqref>G5:G9</xm:sqref>
        </x14:dataValidation>
        <x14:dataValidation type="list" allowBlank="1" showInputMessage="1" showErrorMessage="1" xr:uid="{FF0F3B6D-46BD-4648-B593-7741DA836785}">
          <x14:formula1>
            <xm:f>GUIDA_USO!$K$99:$K$102</xm:f>
          </x14:formula1>
          <xm:sqref>F5:F9</xm:sqref>
        </x14:dataValidation>
        <x14:dataValidation type="list" allowBlank="1" showInputMessage="1" showErrorMessage="1" xr:uid="{A3C58736-0651-4BEF-8F92-A07A5BC68100}">
          <x14:formula1>
            <xm:f>GUIDA_USO!$I$99:$I$116</xm:f>
          </x14:formula1>
          <xm:sqref>B50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>
    <tabColor rgb="FF0070C0"/>
    <pageSetUpPr fitToPage="1"/>
  </sheetPr>
  <dimension ref="B2:J349"/>
  <sheetViews>
    <sheetView zoomScale="160" zoomScaleNormal="160" workbookViewId="0">
      <selection activeCell="B6" sqref="B6"/>
    </sheetView>
  </sheetViews>
  <sheetFormatPr baseColWidth="10" defaultColWidth="8.83203125" defaultRowHeight="15"/>
  <cols>
    <col min="2" max="2" width="18.33203125" bestFit="1" customWidth="1"/>
    <col min="3" max="3" width="21.1640625" bestFit="1" customWidth="1"/>
    <col min="4" max="4" width="10.1640625" bestFit="1" customWidth="1"/>
    <col min="5" max="5" width="16" bestFit="1" customWidth="1"/>
    <col min="6" max="6" width="12.83203125" bestFit="1" customWidth="1"/>
    <col min="7" max="7" width="8.5" bestFit="1" customWidth="1"/>
    <col min="8" max="9" width="18.33203125" bestFit="1" customWidth="1"/>
    <col min="10" max="10" width="17.33203125" bestFit="1" customWidth="1"/>
    <col min="11" max="16" width="6.33203125" bestFit="1" customWidth="1"/>
    <col min="17" max="17" width="5.33203125" bestFit="1" customWidth="1"/>
    <col min="18" max="18" width="18.33203125" bestFit="1" customWidth="1"/>
    <col min="19" max="19" width="5.33203125" bestFit="1" customWidth="1"/>
    <col min="20" max="26" width="6.33203125" bestFit="1" customWidth="1"/>
    <col min="27" max="27" width="17.33203125" bestFit="1" customWidth="1"/>
    <col min="28" max="28" width="14.1640625" bestFit="1" customWidth="1"/>
    <col min="29" max="29" width="5.33203125" bestFit="1" customWidth="1"/>
    <col min="30" max="30" width="17.33203125" bestFit="1" customWidth="1"/>
    <col min="31" max="31" width="10" bestFit="1" customWidth="1"/>
    <col min="32" max="32" width="13.6640625" bestFit="1" customWidth="1"/>
    <col min="33" max="33" width="18.33203125" bestFit="1" customWidth="1"/>
  </cols>
  <sheetData>
    <row r="2" spans="2:8">
      <c r="B2" s="95" t="s">
        <v>3</v>
      </c>
      <c r="C2" s="96" t="s">
        <v>133</v>
      </c>
    </row>
    <row r="3" spans="2:8" ht="21">
      <c r="B3" s="145" t="s">
        <v>134</v>
      </c>
      <c r="C3" s="146"/>
    </row>
    <row r="4" spans="2:8" ht="21">
      <c r="B4" s="58" t="s">
        <v>1</v>
      </c>
      <c r="C4" s="63" t="s">
        <v>139</v>
      </c>
      <c r="G4" s="56"/>
      <c r="H4" s="56"/>
    </row>
    <row r="5" spans="2:8" ht="21">
      <c r="B5" s="59" t="s">
        <v>76</v>
      </c>
      <c r="C5" s="60">
        <v>23007</v>
      </c>
      <c r="G5" s="56"/>
      <c r="H5" s="56"/>
    </row>
    <row r="6" spans="2:8">
      <c r="B6" s="59" t="s">
        <v>99</v>
      </c>
      <c r="C6" s="60">
        <v>1422</v>
      </c>
      <c r="G6" s="42"/>
      <c r="H6" s="42"/>
    </row>
    <row r="7" spans="2:8">
      <c r="B7" s="59" t="s">
        <v>91</v>
      </c>
      <c r="C7" s="60">
        <v>130901</v>
      </c>
      <c r="G7" s="41"/>
      <c r="H7" s="41"/>
    </row>
    <row r="8" spans="2:8">
      <c r="B8" s="59" t="s">
        <v>98</v>
      </c>
      <c r="C8" s="60">
        <v>68872</v>
      </c>
      <c r="G8" s="41"/>
      <c r="H8" s="41"/>
    </row>
    <row r="9" spans="2:8">
      <c r="B9" s="59" t="s">
        <v>148</v>
      </c>
      <c r="C9" s="60">
        <v>24866</v>
      </c>
      <c r="G9" s="41"/>
      <c r="H9" s="41"/>
    </row>
    <row r="10" spans="2:8">
      <c r="B10" s="62" t="s">
        <v>34</v>
      </c>
      <c r="C10" s="61">
        <v>249068</v>
      </c>
      <c r="G10" s="41"/>
      <c r="H10" s="41"/>
    </row>
    <row r="11" spans="2:8">
      <c r="G11" s="41"/>
      <c r="H11" s="41"/>
    </row>
    <row r="108" spans="2:3" ht="15" customHeight="1">
      <c r="B108" s="74" t="s">
        <v>3</v>
      </c>
      <c r="C108" s="9" t="s">
        <v>133</v>
      </c>
    </row>
    <row r="109" spans="2:3" ht="15" customHeight="1">
      <c r="B109" s="97"/>
      <c r="C109" s="98"/>
    </row>
    <row r="110" spans="2:3">
      <c r="B110" s="43" t="s">
        <v>35</v>
      </c>
      <c r="C110" s="10" t="s">
        <v>139</v>
      </c>
    </row>
    <row r="111" spans="2:3">
      <c r="B111" s="21" t="s">
        <v>23</v>
      </c>
      <c r="C111" s="123">
        <v>94263</v>
      </c>
    </row>
    <row r="112" spans="2:3">
      <c r="B112" s="21" t="s">
        <v>25</v>
      </c>
      <c r="C112" s="123">
        <v>126939</v>
      </c>
    </row>
    <row r="113" spans="2:3">
      <c r="B113" s="21" t="s">
        <v>22</v>
      </c>
      <c r="C113" s="123">
        <v>27866</v>
      </c>
    </row>
    <row r="114" spans="2:3">
      <c r="B114" s="21" t="s">
        <v>34</v>
      </c>
      <c r="C114" s="123">
        <v>249068</v>
      </c>
    </row>
    <row r="215" spans="2:8" ht="15" customHeight="1">
      <c r="B215" s="57" t="s">
        <v>3</v>
      </c>
      <c r="C215" s="48" t="s">
        <v>5</v>
      </c>
    </row>
    <row r="216" spans="2:8" ht="15" customHeight="1">
      <c r="B216" s="97"/>
      <c r="C216" s="98"/>
    </row>
    <row r="217" spans="2:8">
      <c r="B217" s="57" t="s">
        <v>139</v>
      </c>
      <c r="C217" s="57" t="s">
        <v>105</v>
      </c>
      <c r="D217" s="48"/>
      <c r="E217" s="48"/>
      <c r="F217" s="48"/>
      <c r="G217" s="48"/>
      <c r="H217" s="48"/>
    </row>
    <row r="218" spans="2:8">
      <c r="B218" s="74" t="s">
        <v>37</v>
      </c>
      <c r="C218" s="9" t="s">
        <v>76</v>
      </c>
      <c r="D218" s="9" t="s">
        <v>99</v>
      </c>
      <c r="E218" s="9" t="s">
        <v>91</v>
      </c>
      <c r="F218" s="9" t="s">
        <v>98</v>
      </c>
      <c r="G218" s="9" t="s">
        <v>148</v>
      </c>
      <c r="H218" s="9" t="s">
        <v>34</v>
      </c>
    </row>
    <row r="219" spans="2:8">
      <c r="B219" s="21">
        <v>1</v>
      </c>
      <c r="C219" s="38">
        <v>19007</v>
      </c>
      <c r="D219" s="38">
        <v>1422</v>
      </c>
      <c r="E219" s="38">
        <v>41464</v>
      </c>
      <c r="F219" s="38">
        <v>64749</v>
      </c>
      <c r="G219" s="38">
        <v>20866</v>
      </c>
      <c r="H219" s="38">
        <v>147508</v>
      </c>
    </row>
    <row r="220" spans="2:8">
      <c r="B220" s="21">
        <v>2</v>
      </c>
      <c r="C220" s="38"/>
      <c r="D220" s="38"/>
      <c r="E220" s="38">
        <v>7000</v>
      </c>
      <c r="F220" s="38">
        <v>2000</v>
      </c>
      <c r="G220" s="38">
        <v>2000</v>
      </c>
      <c r="H220" s="38">
        <v>11000</v>
      </c>
    </row>
    <row r="221" spans="2:8">
      <c r="B221" s="21">
        <v>3</v>
      </c>
      <c r="C221" s="38"/>
      <c r="D221" s="38"/>
      <c r="E221" s="38">
        <v>25651</v>
      </c>
      <c r="F221" s="38">
        <v>1000</v>
      </c>
      <c r="G221" s="38">
        <v>1000</v>
      </c>
      <c r="H221" s="38">
        <v>27651</v>
      </c>
    </row>
    <row r="222" spans="2:8">
      <c r="B222" s="21">
        <v>4</v>
      </c>
      <c r="C222" s="38"/>
      <c r="D222" s="38"/>
      <c r="E222" s="38">
        <v>11754</v>
      </c>
      <c r="F222" s="38"/>
      <c r="G222" s="38"/>
      <c r="H222" s="38">
        <v>11754</v>
      </c>
    </row>
    <row r="223" spans="2:8">
      <c r="B223" s="21">
        <v>5</v>
      </c>
      <c r="C223" s="38"/>
      <c r="D223" s="38"/>
      <c r="E223" s="38">
        <v>4811</v>
      </c>
      <c r="F223" s="38"/>
      <c r="G223" s="38"/>
      <c r="H223" s="38">
        <v>4811</v>
      </c>
    </row>
    <row r="224" spans="2:8">
      <c r="B224" s="21">
        <v>6</v>
      </c>
      <c r="C224" s="38"/>
      <c r="D224" s="38"/>
      <c r="E224" s="38">
        <v>6584</v>
      </c>
      <c r="F224" s="38"/>
      <c r="G224" s="38"/>
      <c r="H224" s="38">
        <v>6584</v>
      </c>
    </row>
    <row r="225" spans="2:8">
      <c r="B225" s="21">
        <v>7</v>
      </c>
      <c r="C225" s="38"/>
      <c r="D225" s="38"/>
      <c r="E225" s="38">
        <v>31637</v>
      </c>
      <c r="F225" s="38">
        <v>1123</v>
      </c>
      <c r="G225" s="38"/>
      <c r="H225" s="38">
        <v>32760</v>
      </c>
    </row>
    <row r="226" spans="2:8">
      <c r="B226" s="21" t="s">
        <v>34</v>
      </c>
      <c r="C226" s="38">
        <v>19007</v>
      </c>
      <c r="D226" s="38">
        <v>1422</v>
      </c>
      <c r="E226" s="38">
        <v>128901</v>
      </c>
      <c r="F226" s="38">
        <v>68872</v>
      </c>
      <c r="G226" s="38">
        <v>23866</v>
      </c>
      <c r="H226" s="38">
        <v>242068</v>
      </c>
    </row>
    <row r="271" spans="2:8" ht="21" customHeight="1">
      <c r="B271" s="147" t="s">
        <v>108</v>
      </c>
      <c r="C271" s="148"/>
      <c r="D271" s="148"/>
      <c r="E271" s="148"/>
      <c r="F271" s="148"/>
      <c r="G271" s="148"/>
      <c r="H271" s="149"/>
    </row>
    <row r="272" spans="2:8" ht="21" customHeight="1">
      <c r="B272" s="150"/>
      <c r="C272" s="151"/>
      <c r="D272" s="151"/>
      <c r="E272" s="151"/>
      <c r="F272" s="151"/>
      <c r="G272" s="151"/>
      <c r="H272" s="152"/>
    </row>
    <row r="273" spans="2:8" ht="21" customHeight="1">
      <c r="B273" s="153"/>
      <c r="C273" s="154"/>
      <c r="D273" s="154"/>
      <c r="E273" s="154"/>
      <c r="F273" s="154"/>
      <c r="G273" s="154"/>
      <c r="H273" s="155"/>
    </row>
    <row r="274" spans="2:8" ht="15" customHeight="1">
      <c r="B274" s="74" t="s">
        <v>3</v>
      </c>
      <c r="C274" s="9" t="s">
        <v>104</v>
      </c>
      <c r="D274" s="9"/>
      <c r="E274" s="9"/>
      <c r="F274" s="9"/>
      <c r="G274" s="9"/>
      <c r="H274" s="9"/>
    </row>
    <row r="275" spans="2:8" ht="15" customHeight="1">
      <c r="B275" s="9"/>
      <c r="C275" s="9"/>
      <c r="D275" s="9"/>
      <c r="E275" s="9"/>
      <c r="F275" s="9"/>
      <c r="G275" s="9"/>
      <c r="H275" s="9"/>
    </row>
    <row r="276" spans="2:8" ht="15" customHeight="1">
      <c r="B276" s="74" t="s">
        <v>107</v>
      </c>
      <c r="C276" s="74" t="s">
        <v>105</v>
      </c>
      <c r="D276" s="9"/>
      <c r="E276" s="9"/>
    </row>
    <row r="277" spans="2:8">
      <c r="B277" s="74" t="s">
        <v>106</v>
      </c>
      <c r="C277" s="9" t="s">
        <v>18</v>
      </c>
      <c r="D277" s="9" t="s">
        <v>74</v>
      </c>
      <c r="E277" s="9" t="s">
        <v>34</v>
      </c>
    </row>
    <row r="278" spans="2:8">
      <c r="B278" s="92">
        <v>45778</v>
      </c>
      <c r="C278" s="38"/>
      <c r="D278" s="38">
        <v>24000</v>
      </c>
      <c r="E278" s="38">
        <v>24000</v>
      </c>
    </row>
    <row r="279" spans="2:8">
      <c r="B279" s="39" t="s">
        <v>91</v>
      </c>
      <c r="C279" s="38"/>
      <c r="D279" s="38">
        <v>24000</v>
      </c>
      <c r="E279" s="38">
        <v>24000</v>
      </c>
    </row>
    <row r="280" spans="2:8">
      <c r="B280" s="92">
        <v>45962</v>
      </c>
      <c r="C280" s="38">
        <v>144499</v>
      </c>
      <c r="D280" s="38"/>
      <c r="E280" s="38">
        <v>144499</v>
      </c>
    </row>
    <row r="281" spans="2:8">
      <c r="B281" s="39" t="s">
        <v>76</v>
      </c>
      <c r="C281" s="38">
        <v>53600</v>
      </c>
      <c r="D281" s="38"/>
      <c r="E281" s="38">
        <v>53600</v>
      </c>
    </row>
    <row r="282" spans="2:8">
      <c r="B282" s="39" t="s">
        <v>91</v>
      </c>
      <c r="C282" s="38">
        <v>48899</v>
      </c>
      <c r="D282" s="38"/>
      <c r="E282" s="38">
        <v>48899</v>
      </c>
    </row>
    <row r="283" spans="2:8">
      <c r="B283" s="39" t="s">
        <v>98</v>
      </c>
      <c r="C283" s="38">
        <v>42000</v>
      </c>
      <c r="D283" s="38"/>
      <c r="E283" s="38">
        <v>42000</v>
      </c>
    </row>
    <row r="284" spans="2:8">
      <c r="B284" s="92">
        <v>45992</v>
      </c>
      <c r="C284" s="38">
        <v>1875</v>
      </c>
      <c r="D284" s="38"/>
      <c r="E284" s="38">
        <v>1875</v>
      </c>
    </row>
    <row r="285" spans="2:8">
      <c r="B285" s="39" t="s">
        <v>76</v>
      </c>
      <c r="C285" s="38">
        <v>1875</v>
      </c>
      <c r="D285" s="38"/>
      <c r="E285" s="38">
        <v>1875</v>
      </c>
    </row>
    <row r="286" spans="2:8">
      <c r="B286" s="21" t="s">
        <v>34</v>
      </c>
      <c r="C286" s="38">
        <v>146374</v>
      </c>
      <c r="D286" s="38">
        <v>24000</v>
      </c>
      <c r="E286" s="38">
        <v>170374</v>
      </c>
    </row>
    <row r="288" spans="2:8">
      <c r="G288" s="41"/>
    </row>
    <row r="334" spans="2:10">
      <c r="B334" s="116" t="s">
        <v>3</v>
      </c>
      <c r="C334" t="s">
        <v>104</v>
      </c>
      <c r="I334" s="116" t="s">
        <v>106</v>
      </c>
      <c r="J334" t="s">
        <v>139</v>
      </c>
    </row>
    <row r="335" spans="2:10">
      <c r="I335" s="117" t="s">
        <v>76</v>
      </c>
      <c r="J335" s="118">
        <v>23007</v>
      </c>
    </row>
    <row r="336" spans="2:10">
      <c r="B336" s="116" t="s">
        <v>106</v>
      </c>
      <c r="C336" t="s">
        <v>107</v>
      </c>
      <c r="I336" s="117" t="s">
        <v>99</v>
      </c>
      <c r="J336" s="118">
        <v>1422</v>
      </c>
    </row>
    <row r="337" spans="2:10">
      <c r="B337" s="117" t="s">
        <v>76</v>
      </c>
      <c r="C337" s="118">
        <v>55475</v>
      </c>
      <c r="I337" s="117" t="s">
        <v>91</v>
      </c>
      <c r="J337" s="118">
        <v>130901</v>
      </c>
    </row>
    <row r="338" spans="2:10">
      <c r="B338" s="117" t="s">
        <v>91</v>
      </c>
      <c r="C338" s="118">
        <v>72899</v>
      </c>
      <c r="I338" s="117" t="s">
        <v>98</v>
      </c>
      <c r="J338" s="118">
        <v>68872</v>
      </c>
    </row>
    <row r="339" spans="2:10">
      <c r="B339" s="117" t="s">
        <v>98</v>
      </c>
      <c r="C339" s="118">
        <v>42000</v>
      </c>
      <c r="I339" s="117" t="s">
        <v>148</v>
      </c>
      <c r="J339" s="118">
        <v>24866</v>
      </c>
    </row>
    <row r="340" spans="2:10">
      <c r="B340" s="117" t="s">
        <v>34</v>
      </c>
      <c r="C340" s="118">
        <v>170374</v>
      </c>
      <c r="I340" s="117" t="s">
        <v>34</v>
      </c>
      <c r="J340" s="118">
        <v>249068</v>
      </c>
    </row>
    <row r="346" spans="2:10">
      <c r="B346" s="73" t="s">
        <v>155</v>
      </c>
      <c r="C346" s="120" t="s">
        <v>11</v>
      </c>
    </row>
    <row r="347" spans="2:10">
      <c r="B347" s="91" t="s">
        <v>76</v>
      </c>
      <c r="C347" s="119">
        <f>+GETPIVOTDATA("Q. Disp.",$I$334,"Descrizione           1","BIOLOGICHE")-GETPIVOTDATA("Residuo",$B$336,"Descrizione 1","BIOLOGICHE")</f>
        <v>-32468</v>
      </c>
    </row>
    <row r="348" spans="2:10">
      <c r="B348" s="91" t="s">
        <v>91</v>
      </c>
      <c r="C348" s="119">
        <f>+GETPIVOTDATA("Q. Disp.",$I$334,"Descrizione           1","CONVENZIONALI")-GETPIVOTDATA("Residuo",$B$336,"Descrizione 1","CONVENZIONALI")</f>
        <v>58002</v>
      </c>
    </row>
    <row r="349" spans="2:10">
      <c r="B349" s="91" t="s">
        <v>98</v>
      </c>
      <c r="C349" s="119">
        <f>-GETPIVOTDATA("Q. Disp.",$I$334,"Descrizione           1","FAIR FOR LIFE")-GETPIVOTDATA("Residuo",$B$336,"Descrizione 1","FAIR FOR LIFE")</f>
        <v>-110872</v>
      </c>
    </row>
  </sheetData>
  <mergeCells count="2">
    <mergeCell ref="B3:C3"/>
    <mergeCell ref="B271:H273"/>
  </mergeCells>
  <conditionalFormatting sqref="C347:C349">
    <cfRule type="cellIs" dxfId="0" priority="1" operator="lessThan">
      <formula>0</formula>
    </cfRule>
  </conditionalFormatting>
  <pageMargins left="0.75" right="0.75" top="1" bottom="1" header="0.5" footer="0.5"/>
  <pageSetup paperSize="9" orientation="portrait" r:id="rId7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77837-EF84-477D-A934-9E8DE49EF2A3}">
  <sheetPr codeName="Foglio9">
    <tabColor rgb="FF0070C0"/>
  </sheetPr>
  <dimension ref="A1"/>
  <sheetViews>
    <sheetView zoomScaleNormal="100" workbookViewId="0">
      <selection activeCell="Y28" sqref="Y28"/>
    </sheetView>
  </sheetViews>
  <sheetFormatPr baseColWidth="10" defaultColWidth="8.83203125" defaultRowHeight="1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>
    <tabColor theme="5"/>
  </sheetPr>
  <dimension ref="A1:P122"/>
  <sheetViews>
    <sheetView zoomScale="145" zoomScaleNormal="145" workbookViewId="0">
      <selection activeCell="A17" sqref="A17"/>
    </sheetView>
  </sheetViews>
  <sheetFormatPr baseColWidth="10" defaultColWidth="8.83203125" defaultRowHeight="15"/>
  <cols>
    <col min="1" max="1" width="120.33203125" customWidth="1"/>
    <col min="4" max="4" width="11.5" customWidth="1"/>
    <col min="9" max="9" width="10.33203125" customWidth="1"/>
    <col min="10" max="10" width="18.33203125" bestFit="1" customWidth="1"/>
    <col min="11" max="11" width="18.1640625" bestFit="1" customWidth="1"/>
    <col min="12" max="13" width="14.1640625" bestFit="1" customWidth="1"/>
    <col min="14" max="14" width="15" bestFit="1" customWidth="1"/>
    <col min="16" max="16" width="12" bestFit="1" customWidth="1"/>
  </cols>
  <sheetData>
    <row r="1" spans="1:1">
      <c r="A1" s="1" t="s">
        <v>112</v>
      </c>
    </row>
    <row r="2" spans="1:1">
      <c r="A2" s="2" t="s">
        <v>141</v>
      </c>
    </row>
    <row r="3" spans="1:1">
      <c r="A3" s="2" t="s">
        <v>127</v>
      </c>
    </row>
    <row r="4" spans="1:1">
      <c r="A4" s="31" t="s">
        <v>128</v>
      </c>
    </row>
    <row r="5" spans="1:1">
      <c r="A5" s="31" t="s">
        <v>124</v>
      </c>
    </row>
    <row r="6" spans="1:1">
      <c r="A6" s="2" t="s">
        <v>111</v>
      </c>
    </row>
    <row r="7" spans="1:1">
      <c r="A7" s="2" t="s">
        <v>142</v>
      </c>
    </row>
    <row r="8" spans="1:1">
      <c r="A8" s="2" t="s">
        <v>129</v>
      </c>
    </row>
    <row r="9" spans="1:1">
      <c r="A9" s="2" t="s">
        <v>130</v>
      </c>
    </row>
    <row r="10" spans="1:1">
      <c r="A10" s="2" t="s">
        <v>132</v>
      </c>
    </row>
    <row r="11" spans="1:1">
      <c r="A11" s="2" t="s">
        <v>143</v>
      </c>
    </row>
    <row r="12" spans="1:1">
      <c r="A12" s="2" t="s">
        <v>140</v>
      </c>
    </row>
    <row r="13" spans="1:1" ht="32">
      <c r="A13" s="34" t="s">
        <v>144</v>
      </c>
    </row>
    <row r="14" spans="1:1" ht="13.5" customHeight="1">
      <c r="A14" s="35" t="s">
        <v>145</v>
      </c>
    </row>
    <row r="75" spans="7:16" ht="16" thickBot="1"/>
    <row r="76" spans="7:16" ht="16" thickTop="1">
      <c r="G76" s="156" t="s">
        <v>36</v>
      </c>
      <c r="H76" s="157"/>
      <c r="I76" s="157"/>
      <c r="J76" s="157"/>
      <c r="K76" s="157"/>
      <c r="L76" s="157"/>
      <c r="M76" s="157"/>
      <c r="N76" s="157"/>
      <c r="O76" s="157"/>
      <c r="P76" s="158"/>
    </row>
    <row r="77" spans="7:16">
      <c r="G77" s="159"/>
      <c r="H77" s="160"/>
      <c r="I77" s="160"/>
      <c r="J77" s="160"/>
      <c r="K77" s="160"/>
      <c r="L77" s="160"/>
      <c r="M77" s="160"/>
      <c r="N77" s="160"/>
      <c r="O77" s="160"/>
      <c r="P77" s="161"/>
    </row>
    <row r="78" spans="7:16">
      <c r="G78" s="159"/>
      <c r="H78" s="160"/>
      <c r="I78" s="160"/>
      <c r="J78" s="160"/>
      <c r="K78" s="160"/>
      <c r="L78" s="160"/>
      <c r="M78" s="160"/>
      <c r="N78" s="160"/>
      <c r="O78" s="160"/>
      <c r="P78" s="161"/>
    </row>
    <row r="79" spans="7:16">
      <c r="G79" s="162"/>
      <c r="H79" s="163"/>
      <c r="I79" s="163"/>
      <c r="J79" s="163"/>
      <c r="K79" s="163"/>
      <c r="L79" s="163"/>
      <c r="M79" s="163"/>
      <c r="N79" s="163"/>
      <c r="O79" s="163"/>
      <c r="P79" s="164"/>
    </row>
    <row r="80" spans="7:16">
      <c r="G80" s="82"/>
      <c r="P80" s="83"/>
    </row>
    <row r="81" spans="7:16">
      <c r="G81" s="82"/>
      <c r="P81" s="83"/>
    </row>
    <row r="82" spans="7:16">
      <c r="G82" s="82"/>
      <c r="P82" s="83"/>
    </row>
    <row r="83" spans="7:16">
      <c r="G83" s="82"/>
      <c r="P83" s="83"/>
    </row>
    <row r="84" spans="7:16">
      <c r="G84" s="82"/>
      <c r="P84" s="83"/>
    </row>
    <row r="85" spans="7:16">
      <c r="G85" s="82"/>
      <c r="K85" t="s">
        <v>17</v>
      </c>
      <c r="L85" t="s">
        <v>17</v>
      </c>
      <c r="P85" s="83"/>
    </row>
    <row r="86" spans="7:16">
      <c r="G86" s="82"/>
      <c r="K86" t="s">
        <v>3</v>
      </c>
      <c r="L86" t="s">
        <v>3</v>
      </c>
      <c r="P86" s="83" t="s">
        <v>17</v>
      </c>
    </row>
    <row r="87" spans="7:16">
      <c r="G87" s="82"/>
      <c r="K87" t="s">
        <v>5</v>
      </c>
      <c r="L87" t="s">
        <v>19</v>
      </c>
      <c r="N87" s="81"/>
      <c r="P87" s="84" t="s">
        <v>24</v>
      </c>
    </row>
    <row r="88" spans="7:16">
      <c r="G88" s="82"/>
      <c r="K88" t="s">
        <v>16</v>
      </c>
      <c r="L88" t="s">
        <v>20</v>
      </c>
      <c r="N88" s="81"/>
      <c r="P88" s="84" t="s">
        <v>25</v>
      </c>
    </row>
    <row r="89" spans="7:16">
      <c r="G89" s="82"/>
      <c r="L89" t="s">
        <v>147</v>
      </c>
      <c r="N89" s="81"/>
      <c r="P89" s="84" t="s">
        <v>22</v>
      </c>
    </row>
    <row r="90" spans="7:16">
      <c r="G90" s="82"/>
      <c r="N90" s="81"/>
      <c r="P90" s="84" t="s">
        <v>23</v>
      </c>
    </row>
    <row r="91" spans="7:16">
      <c r="G91" s="82"/>
      <c r="N91" s="81"/>
      <c r="P91" s="83"/>
    </row>
    <row r="92" spans="7:16">
      <c r="G92" s="82"/>
      <c r="N92" s="81"/>
      <c r="P92" s="83"/>
    </row>
    <row r="93" spans="7:16">
      <c r="G93" s="82"/>
      <c r="P93" s="83"/>
    </row>
    <row r="94" spans="7:16">
      <c r="G94" s="82"/>
      <c r="P94" s="83"/>
    </row>
    <row r="95" spans="7:16">
      <c r="G95" s="82"/>
      <c r="P95" s="83"/>
    </row>
    <row r="96" spans="7:16">
      <c r="G96" s="82"/>
      <c r="P96" s="83"/>
    </row>
    <row r="97" spans="7:16">
      <c r="G97" s="82"/>
      <c r="P97" s="83"/>
    </row>
    <row r="98" spans="7:16">
      <c r="G98" s="82"/>
      <c r="I98" s="73" t="s">
        <v>157</v>
      </c>
      <c r="J98" s="73" t="s">
        <v>103</v>
      </c>
      <c r="K98" s="71" t="s">
        <v>88</v>
      </c>
      <c r="L98" s="70" t="s">
        <v>89</v>
      </c>
      <c r="M98" s="69" t="s">
        <v>97</v>
      </c>
      <c r="N98" s="69" t="s">
        <v>90</v>
      </c>
      <c r="O98" s="69" t="s">
        <v>37</v>
      </c>
      <c r="P98" s="85" t="s">
        <v>3</v>
      </c>
    </row>
    <row r="99" spans="7:16">
      <c r="G99" s="82"/>
      <c r="I99" s="9" t="e" cm="1">
        <f t="array" aca="1" ref="I99:I108" ca="1">_xlfn.UNIQUE(_xlfn._xlws.FILTER(LOTTI_MAGAZZINO!T170:T995,LOTTI_MAGAZZINO!T170:T995&lt;&gt;""))</f>
        <v>#NAME?</v>
      </c>
      <c r="J99" s="9" t="e" cm="1">
        <f t="array" aca="1" ref="J99:J108" ca="1">_xlfn.UNIQUE(_xlfn._xlws.FILTER(CONTRATTI_CLIENTI!A2:A1001,CONTRATTI_CLIENTI!L2:L1001="APERTO"))</f>
        <v>#NAME?</v>
      </c>
      <c r="K99" s="47" t="s">
        <v>91</v>
      </c>
      <c r="L99" s="46" t="s">
        <v>92</v>
      </c>
      <c r="M99" s="15" t="s">
        <v>4</v>
      </c>
      <c r="N99" s="9" t="s">
        <v>96</v>
      </c>
      <c r="O99" s="6">
        <v>1</v>
      </c>
      <c r="P99" s="86" t="s">
        <v>5</v>
      </c>
    </row>
    <row r="100" spans="7:16">
      <c r="G100" s="82"/>
      <c r="I100" s="9" t="e">
        <f ca="1"/>
        <v>#NAME?</v>
      </c>
      <c r="J100" s="9" t="e">
        <f ca="1"/>
        <v>#NAME?</v>
      </c>
      <c r="K100" s="47" t="s">
        <v>76</v>
      </c>
      <c r="L100" s="46" t="s">
        <v>8</v>
      </c>
      <c r="M100" s="15" t="s">
        <v>6</v>
      </c>
      <c r="N100" s="9" t="s">
        <v>95</v>
      </c>
      <c r="O100" s="6">
        <v>2</v>
      </c>
      <c r="P100" s="86" t="s">
        <v>110</v>
      </c>
    </row>
    <row r="101" spans="7:16">
      <c r="G101" s="82"/>
      <c r="I101" s="9" t="e">
        <f ca="1"/>
        <v>#NAME?</v>
      </c>
      <c r="J101" s="9" t="e">
        <f ca="1"/>
        <v>#NAME?</v>
      </c>
      <c r="K101" s="47" t="s">
        <v>98</v>
      </c>
      <c r="L101" s="46" t="s">
        <v>73</v>
      </c>
      <c r="M101" s="15" t="s">
        <v>7</v>
      </c>
      <c r="N101" s="9"/>
      <c r="O101" s="6">
        <v>3</v>
      </c>
      <c r="P101" s="86"/>
    </row>
    <row r="102" spans="7:16">
      <c r="G102" s="82"/>
      <c r="I102" s="9" t="e">
        <f ca="1"/>
        <v>#NAME?</v>
      </c>
      <c r="J102" s="9" t="e">
        <f ca="1"/>
        <v>#NAME?</v>
      </c>
      <c r="K102" s="47" t="s">
        <v>99</v>
      </c>
      <c r="L102" s="46"/>
      <c r="M102" s="15" t="s">
        <v>93</v>
      </c>
      <c r="N102" s="9"/>
      <c r="O102" s="6">
        <v>4</v>
      </c>
      <c r="P102" s="86"/>
    </row>
    <row r="103" spans="7:16">
      <c r="G103" s="82"/>
      <c r="I103" s="9" t="e">
        <f ca="1"/>
        <v>#NAME?</v>
      </c>
      <c r="J103" s="9" t="e">
        <f ca="1"/>
        <v>#NAME?</v>
      </c>
      <c r="K103" s="47" t="s">
        <v>148</v>
      </c>
      <c r="L103" s="46"/>
      <c r="M103" s="15" t="s">
        <v>87</v>
      </c>
      <c r="N103" s="9"/>
      <c r="O103" s="6">
        <v>5</v>
      </c>
      <c r="P103" s="86"/>
    </row>
    <row r="104" spans="7:16">
      <c r="G104" s="82"/>
      <c r="I104" s="9" t="e">
        <f ca="1"/>
        <v>#NAME?</v>
      </c>
      <c r="J104" s="9" t="e">
        <f ca="1"/>
        <v>#NAME?</v>
      </c>
      <c r="K104" s="47"/>
      <c r="L104" s="46"/>
      <c r="M104" s="15" t="s">
        <v>100</v>
      </c>
      <c r="N104" s="9"/>
      <c r="O104" s="6">
        <v>6</v>
      </c>
      <c r="P104" s="86"/>
    </row>
    <row r="105" spans="7:16">
      <c r="G105" s="82"/>
      <c r="I105" s="9" t="e">
        <f ca="1"/>
        <v>#NAME?</v>
      </c>
      <c r="J105" s="9" t="e">
        <f ca="1"/>
        <v>#NAME?</v>
      </c>
      <c r="K105" s="47"/>
      <c r="L105" s="46"/>
      <c r="M105" s="15" t="s">
        <v>94</v>
      </c>
      <c r="N105" s="9"/>
      <c r="O105" s="6">
        <v>7</v>
      </c>
      <c r="P105" s="86"/>
    </row>
    <row r="106" spans="7:16">
      <c r="G106" s="82"/>
      <c r="I106" s="9" t="e">
        <f ca="1"/>
        <v>#NAME?</v>
      </c>
      <c r="J106" s="9" t="e">
        <f ca="1"/>
        <v>#NAME?</v>
      </c>
      <c r="K106" s="47"/>
      <c r="L106" s="46"/>
      <c r="M106" s="15" t="s">
        <v>101</v>
      </c>
      <c r="N106" s="9"/>
      <c r="O106" s="6"/>
      <c r="P106" s="86"/>
    </row>
    <row r="107" spans="7:16">
      <c r="G107" s="82"/>
      <c r="I107" s="9" t="e">
        <f ca="1"/>
        <v>#NAME?</v>
      </c>
      <c r="J107" s="9" t="e">
        <f ca="1"/>
        <v>#NAME?</v>
      </c>
      <c r="K107" s="47"/>
      <c r="L107" s="46"/>
      <c r="M107" s="9" t="s">
        <v>102</v>
      </c>
      <c r="N107" s="9"/>
      <c r="O107" s="6"/>
      <c r="P107" s="86"/>
    </row>
    <row r="108" spans="7:16">
      <c r="G108" s="82"/>
      <c r="I108" s="9" t="e">
        <f ca="1"/>
        <v>#NAME?</v>
      </c>
      <c r="J108" s="9" t="e">
        <f ca="1"/>
        <v>#NAME?</v>
      </c>
      <c r="K108" s="72"/>
      <c r="L108" s="45"/>
      <c r="M108" s="9" t="s">
        <v>75</v>
      </c>
      <c r="N108" s="9"/>
      <c r="O108" s="6"/>
      <c r="P108" s="86"/>
    </row>
    <row r="109" spans="7:16">
      <c r="G109" s="82"/>
      <c r="I109" s="9"/>
      <c r="J109" s="9"/>
      <c r="K109" s="9"/>
      <c r="L109" s="9"/>
      <c r="M109" s="9" t="s">
        <v>122</v>
      </c>
      <c r="N109" s="9"/>
      <c r="O109" s="9"/>
      <c r="P109" s="86"/>
    </row>
    <row r="110" spans="7:16">
      <c r="G110" s="82"/>
      <c r="I110" s="9"/>
      <c r="J110" s="9"/>
      <c r="K110" s="9"/>
      <c r="L110" s="9"/>
      <c r="M110" s="9" t="s">
        <v>126</v>
      </c>
      <c r="N110" s="9"/>
      <c r="O110" s="9"/>
      <c r="P110" s="9"/>
    </row>
    <row r="111" spans="7:16">
      <c r="G111" s="82"/>
      <c r="P111" s="83"/>
    </row>
    <row r="112" spans="7:16">
      <c r="G112" s="82"/>
      <c r="P112" s="83"/>
    </row>
    <row r="113" spans="7:16">
      <c r="G113" s="82"/>
      <c r="P113" s="83"/>
    </row>
    <row r="114" spans="7:16">
      <c r="G114" s="82"/>
      <c r="P114" s="83"/>
    </row>
    <row r="115" spans="7:16">
      <c r="G115" s="82"/>
      <c r="P115" s="83"/>
    </row>
    <row r="116" spans="7:16">
      <c r="G116" s="82"/>
      <c r="P116" s="83"/>
    </row>
    <row r="117" spans="7:16">
      <c r="G117" s="82"/>
      <c r="P117" s="83"/>
    </row>
    <row r="118" spans="7:16">
      <c r="G118" s="82"/>
      <c r="P118" s="83"/>
    </row>
    <row r="119" spans="7:16">
      <c r="G119" s="82"/>
      <c r="P119" s="83"/>
    </row>
    <row r="120" spans="7:16">
      <c r="G120" s="82"/>
      <c r="P120" s="83"/>
    </row>
    <row r="121" spans="7:16" ht="16" thickBot="1">
      <c r="G121" s="87"/>
      <c r="H121" s="88"/>
      <c r="I121" s="88"/>
      <c r="J121" s="88"/>
      <c r="K121" s="88"/>
      <c r="L121" s="88"/>
      <c r="M121" s="88"/>
      <c r="N121" s="88"/>
      <c r="O121" s="88"/>
      <c r="P121" s="89"/>
    </row>
    <row r="122" spans="7:16" ht="16" thickTop="1"/>
  </sheetData>
  <mergeCells count="1">
    <mergeCell ref="G76:P79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alvaEBackup">
                <anchor moveWithCells="1" sizeWithCells="1">
                  <from>
                    <xdr:col>0</xdr:col>
                    <xdr:colOff>5207000</xdr:colOff>
                    <xdr:row>19</xdr:row>
                    <xdr:rowOff>127000</xdr:rowOff>
                  </from>
                  <to>
                    <xdr:col>0</xdr:col>
                    <xdr:colOff>6654800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AggiornaTuttoMagazzino">
                <anchor moveWithCells="1" sizeWithCells="1">
                  <from>
                    <xdr:col>0</xdr:col>
                    <xdr:colOff>1689100</xdr:colOff>
                    <xdr:row>16</xdr:row>
                    <xdr:rowOff>101600</xdr:rowOff>
                  </from>
                  <to>
                    <xdr:col>0</xdr:col>
                    <xdr:colOff>3860800</xdr:colOff>
                    <xdr:row>22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C88F09-B3CF-44E8-86D6-0AE99735FA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4" baseType="variant">
      <vt:variant>
        <vt:lpstr>Fogli di lavoro</vt:lpstr>
      </vt:variant>
      <vt:variant>
        <vt:i4>9</vt:i4>
      </vt:variant>
      <vt:variant>
        <vt:lpstr>Intervalli denominati</vt:lpstr>
      </vt:variant>
      <vt:variant>
        <vt:i4>1</vt:i4>
      </vt:variant>
    </vt:vector>
  </HeadingPairs>
  <TitlesOfParts>
    <vt:vector size="10" baseType="lpstr">
      <vt:lpstr>LOTTI_MAGAZZINO</vt:lpstr>
      <vt:lpstr>GIACENZE_ATTUALI</vt:lpstr>
      <vt:lpstr>MOVIMENTI_MAGAZZINO</vt:lpstr>
      <vt:lpstr>CONTRATTI_CLIENTI</vt:lpstr>
      <vt:lpstr>RICERCA_LOTTI</vt:lpstr>
      <vt:lpstr>RICERCA_USCITE</vt:lpstr>
      <vt:lpstr>TABELLE</vt:lpstr>
      <vt:lpstr>GRAFICI</vt:lpstr>
      <vt:lpstr>GUIDA_USO</vt:lpstr>
      <vt:lpstr>ContrattiAperti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assofrutti01@fmanager.it</dc:creator>
  <cp:lastModifiedBy>Microsoft Office User</cp:lastModifiedBy>
  <cp:lastPrinted>2025-05-21T08:04:24Z</cp:lastPrinted>
  <dcterms:created xsi:type="dcterms:W3CDTF">2025-04-15T08:36:16Z</dcterms:created>
  <dcterms:modified xsi:type="dcterms:W3CDTF">2026-03-31T20:45:23Z</dcterms:modified>
</cp:coreProperties>
</file>