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\\192.168.0.10\Assofrutti\MAGAZZINO\RACCOLTO 2025 2026\"/>
    </mc:Choice>
  </mc:AlternateContent>
  <xr:revisionPtr revIDLastSave="0" documentId="8_{2D8962DD-435F-44B7-B997-27BA3DC272EA}" xr6:coauthVersionLast="47" xr6:coauthVersionMax="47" xr10:uidLastSave="{00000000-0000-0000-0000-000000000000}"/>
  <bookViews>
    <workbookView xWindow="-120" yWindow="-120" windowWidth="29040" windowHeight="15720" tabRatio="471" activeTab="1" xr2:uid="{00000000-000D-0000-FFFF-FFFF00000000}"/>
  </bookViews>
  <sheets>
    <sheet name="BIOLOGICO" sheetId="3" r:id="rId1"/>
    <sheet name="BIO FAIR FOR LIFE" sheetId="5" r:id="rId2"/>
    <sheet name="CONVENZIONALE" sheetId="11" r:id="rId3"/>
    <sheet name="BIO BIOSUISSE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6" i="11" l="1"/>
  <c r="J227" i="11"/>
  <c r="J248" i="11"/>
  <c r="J225" i="11"/>
  <c r="J47" i="11"/>
  <c r="J46" i="11"/>
  <c r="J45" i="11"/>
  <c r="J232" i="11"/>
  <c r="J233" i="11"/>
  <c r="J234" i="11"/>
  <c r="J196" i="11"/>
  <c r="J197" i="11"/>
  <c r="J198" i="11"/>
  <c r="J146" i="11"/>
  <c r="J145" i="11"/>
  <c r="J144" i="11"/>
  <c r="J143" i="11"/>
  <c r="J142" i="11"/>
  <c r="J141" i="11"/>
  <c r="J140" i="11"/>
  <c r="J92" i="11"/>
  <c r="J93" i="11"/>
  <c r="J94" i="11"/>
  <c r="J95" i="11"/>
  <c r="J224" i="11"/>
  <c r="J190" i="11"/>
  <c r="J191" i="11"/>
  <c r="J192" i="11"/>
  <c r="J193" i="11"/>
  <c r="J194" i="11"/>
  <c r="J195" i="11"/>
  <c r="J199" i="11"/>
  <c r="J10" i="11"/>
  <c r="J11" i="11"/>
  <c r="J12" i="11"/>
  <c r="J223" i="11"/>
  <c r="J222" i="11"/>
  <c r="J184" i="11"/>
  <c r="J185" i="11"/>
  <c r="J186" i="11"/>
  <c r="J187" i="11"/>
  <c r="J188" i="11"/>
  <c r="J87" i="11"/>
  <c r="J88" i="11"/>
  <c r="J89" i="11"/>
  <c r="J90" i="11"/>
  <c r="J91" i="11"/>
  <c r="J96" i="11"/>
  <c r="J183" i="11"/>
  <c r="J189" i="11"/>
  <c r="J182" i="11"/>
  <c r="J86" i="11"/>
  <c r="J139" i="11"/>
  <c r="J138" i="11"/>
  <c r="J137" i="11"/>
  <c r="J136" i="11"/>
  <c r="J135" i="11"/>
  <c r="J44" i="11"/>
  <c r="J43" i="11"/>
  <c r="J231" i="11"/>
  <c r="J230" i="11"/>
  <c r="J229" i="11"/>
  <c r="J181" i="11"/>
  <c r="J85" i="11"/>
  <c r="J179" i="11"/>
  <c r="J221" i="11"/>
  <c r="J178" i="11"/>
  <c r="J177" i="11"/>
  <c r="J83" i="11"/>
  <c r="J82" i="11"/>
  <c r="J176" i="11"/>
  <c r="J175" i="11"/>
  <c r="J81" i="11"/>
  <c r="J9" i="11"/>
  <c r="J8" i="11"/>
  <c r="J174" i="11"/>
  <c r="J219" i="11"/>
  <c r="J42" i="11"/>
  <c r="J41" i="11"/>
  <c r="J218" i="11"/>
  <c r="J217" i="11"/>
  <c r="J134" i="11"/>
  <c r="J133" i="11"/>
  <c r="J132" i="11"/>
  <c r="J131" i="11"/>
  <c r="J130" i="11"/>
  <c r="J129" i="11"/>
  <c r="J128" i="11"/>
  <c r="J40" i="11"/>
  <c r="J39" i="11"/>
  <c r="J38" i="11"/>
  <c r="J169" i="11"/>
  <c r="J170" i="11"/>
  <c r="J171" i="11"/>
  <c r="J172" i="11"/>
  <c r="J173" i="11"/>
  <c r="J76" i="11"/>
  <c r="J77" i="11"/>
  <c r="J78" i="11"/>
  <c r="J79" i="11"/>
  <c r="J84" i="11"/>
  <c r="J5" i="11"/>
  <c r="J6" i="11"/>
  <c r="J7" i="11"/>
  <c r="J4" i="11"/>
  <c r="J164" i="11"/>
  <c r="J165" i="11"/>
  <c r="J166" i="11"/>
  <c r="J167" i="11"/>
  <c r="J168" i="11"/>
  <c r="J180" i="11"/>
  <c r="J71" i="11"/>
  <c r="J72" i="11"/>
  <c r="J73" i="11"/>
  <c r="J74" i="11"/>
  <c r="J75" i="11"/>
  <c r="J162" i="11"/>
  <c r="N37" i="6"/>
  <c r="G61" i="6"/>
  <c r="G60" i="6"/>
  <c r="J20" i="6"/>
  <c r="J19" i="6"/>
  <c r="J38" i="6"/>
  <c r="J5" i="6"/>
  <c r="J15" i="6"/>
  <c r="J16" i="6"/>
  <c r="J17" i="6"/>
  <c r="J18" i="6"/>
  <c r="J28" i="6"/>
  <c r="J29" i="6"/>
  <c r="J30" i="6"/>
  <c r="J31" i="6"/>
  <c r="J32" i="6"/>
  <c r="F37" i="6"/>
  <c r="L37" i="6"/>
  <c r="J24" i="6"/>
  <c r="J13" i="6"/>
  <c r="J12" i="6"/>
  <c r="G119" i="5"/>
  <c r="J88" i="5"/>
  <c r="J87" i="5"/>
  <c r="L79" i="3"/>
  <c r="J65" i="5"/>
  <c r="J66" i="5"/>
  <c r="J67" i="5"/>
  <c r="J68" i="5"/>
  <c r="J69" i="5"/>
  <c r="J30" i="5"/>
  <c r="J31" i="5"/>
  <c r="J32" i="5"/>
  <c r="J61" i="5"/>
  <c r="J62" i="5"/>
  <c r="J63" i="5"/>
  <c r="J64" i="5"/>
  <c r="G118" i="5"/>
  <c r="J85" i="5"/>
  <c r="J86" i="5"/>
  <c r="J8" i="5"/>
  <c r="J9" i="5"/>
  <c r="J10" i="5"/>
  <c r="J28" i="5"/>
  <c r="J29" i="5"/>
  <c r="J33" i="5"/>
  <c r="J34" i="5"/>
  <c r="J55" i="5"/>
  <c r="J56" i="5"/>
  <c r="J57" i="5"/>
  <c r="J58" i="5"/>
  <c r="J59" i="5"/>
  <c r="J60" i="5"/>
  <c r="J84" i="5"/>
  <c r="J24" i="5"/>
  <c r="J25" i="5"/>
  <c r="J26" i="5"/>
  <c r="J27" i="5"/>
  <c r="J83" i="5"/>
  <c r="J51" i="5"/>
  <c r="J52" i="5"/>
  <c r="J53" i="5"/>
  <c r="J54" i="5"/>
  <c r="J19" i="5"/>
  <c r="J20" i="5"/>
  <c r="J21" i="5"/>
  <c r="J22" i="5"/>
  <c r="J23" i="5"/>
  <c r="J45" i="5"/>
  <c r="J46" i="5"/>
  <c r="J47" i="5"/>
  <c r="J48" i="5"/>
  <c r="J49" i="5"/>
  <c r="G117" i="5"/>
  <c r="J18" i="5"/>
  <c r="J50" i="5"/>
  <c r="J78" i="5"/>
  <c r="J79" i="5"/>
  <c r="J80" i="5"/>
  <c r="J81" i="5"/>
  <c r="J82" i="5"/>
  <c r="G116" i="5"/>
  <c r="J36" i="11"/>
  <c r="J35" i="11"/>
  <c r="J34" i="11"/>
  <c r="J33" i="11"/>
  <c r="J126" i="11"/>
  <c r="J125" i="11"/>
  <c r="J124" i="11"/>
  <c r="J123" i="11"/>
  <c r="J122" i="11"/>
  <c r="J121" i="11"/>
  <c r="J120" i="11"/>
  <c r="J32" i="11"/>
  <c r="J31" i="11"/>
  <c r="J30" i="11"/>
  <c r="J29" i="11"/>
  <c r="J28" i="11"/>
  <c r="J27" i="11"/>
  <c r="J26" i="11"/>
  <c r="J119" i="11"/>
  <c r="J118" i="11"/>
  <c r="J117" i="11"/>
  <c r="J116" i="11"/>
  <c r="J115" i="11"/>
  <c r="J114" i="11"/>
  <c r="J113" i="11"/>
  <c r="L250" i="11"/>
  <c r="J246" i="11"/>
  <c r="J247" i="11"/>
  <c r="J215" i="11"/>
  <c r="J236" i="11"/>
  <c r="J13" i="11"/>
  <c r="N56" i="3"/>
  <c r="J52" i="3"/>
  <c r="J53" i="3"/>
  <c r="J54" i="3"/>
  <c r="F56" i="3"/>
  <c r="J51" i="3"/>
  <c r="J67" i="11"/>
  <c r="J68" i="11"/>
  <c r="J69" i="11"/>
  <c r="M250" i="11"/>
  <c r="J163" i="11"/>
  <c r="J63" i="11"/>
  <c r="J64" i="11"/>
  <c r="J65" i="11"/>
  <c r="J66" i="11"/>
  <c r="J70" i="11"/>
  <c r="J210" i="11"/>
  <c r="J211" i="11"/>
  <c r="J212" i="11"/>
  <c r="J213" i="11"/>
  <c r="J214" i="11"/>
  <c r="J209" i="11"/>
  <c r="J159" i="11"/>
  <c r="J160" i="11"/>
  <c r="J59" i="11"/>
  <c r="J60" i="11"/>
  <c r="J61" i="11"/>
  <c r="J62" i="11"/>
  <c r="J97" i="11"/>
  <c r="J112" i="11"/>
  <c r="J25" i="11"/>
  <c r="J24" i="11"/>
  <c r="J14" i="11"/>
  <c r="J3" i="11"/>
  <c r="J157" i="11"/>
  <c r="J158" i="11"/>
  <c r="J161" i="11"/>
  <c r="J54" i="11"/>
  <c r="J55" i="11"/>
  <c r="J56" i="11"/>
  <c r="J57" i="11"/>
  <c r="J58" i="11"/>
  <c r="J153" i="11"/>
  <c r="J154" i="11"/>
  <c r="J155" i="11"/>
  <c r="J156" i="11"/>
  <c r="J200" i="11"/>
  <c r="J150" i="11"/>
  <c r="J151" i="11"/>
  <c r="J152" i="11"/>
  <c r="J49" i="11"/>
  <c r="J50" i="11"/>
  <c r="J51" i="11"/>
  <c r="J52" i="11"/>
  <c r="J53" i="11"/>
  <c r="J111" i="11"/>
  <c r="G77" i="3"/>
  <c r="G78" i="3"/>
  <c r="F250" i="11"/>
  <c r="J17" i="3"/>
  <c r="L50" i="3"/>
  <c r="J245" i="11"/>
  <c r="J110" i="11"/>
  <c r="J22" i="11"/>
  <c r="J48" i="3"/>
  <c r="J49" i="3"/>
  <c r="J36" i="3"/>
  <c r="J37" i="3"/>
  <c r="J16" i="3"/>
  <c r="J35" i="3"/>
  <c r="J109" i="11"/>
  <c r="J70" i="5"/>
  <c r="F77" i="5"/>
  <c r="L77" i="5"/>
  <c r="J108" i="11" l="1"/>
  <c r="G115" i="5"/>
  <c r="J20" i="11"/>
  <c r="J107" i="11"/>
  <c r="J106" i="11"/>
  <c r="J105" i="11"/>
  <c r="J104" i="11"/>
  <c r="J28" i="3"/>
  <c r="J29" i="3"/>
  <c r="J30" i="3"/>
  <c r="J31" i="3"/>
  <c r="J32" i="3"/>
  <c r="J33" i="3"/>
  <c r="J34" i="3"/>
  <c r="J11" i="3"/>
  <c r="J12" i="3"/>
  <c r="J13" i="3"/>
  <c r="J14" i="3"/>
  <c r="J15" i="3"/>
  <c r="G76" i="3"/>
  <c r="J3" i="3" l="1"/>
  <c r="J47" i="3"/>
  <c r="G75" i="3"/>
  <c r="J27" i="3"/>
  <c r="J26" i="3"/>
  <c r="G74" i="3"/>
  <c r="J25" i="3"/>
  <c r="J4" i="3"/>
  <c r="J5" i="3"/>
  <c r="M77" i="5"/>
  <c r="N250" i="11"/>
  <c r="G250" i="11"/>
  <c r="J250" i="11" s="1"/>
  <c r="J249" i="11"/>
  <c r="O244" i="11"/>
  <c r="O250" i="11" s="1"/>
  <c r="N244" i="11"/>
  <c r="M244" i="11"/>
  <c r="L244" i="11"/>
  <c r="G244" i="11"/>
  <c r="F244" i="11"/>
  <c r="O208" i="11"/>
  <c r="N208" i="11"/>
  <c r="M208" i="11"/>
  <c r="L208" i="11"/>
  <c r="G208" i="11"/>
  <c r="F208" i="11"/>
  <c r="O102" i="11"/>
  <c r="N102" i="11"/>
  <c r="M102" i="11"/>
  <c r="L102" i="11"/>
  <c r="G102" i="11"/>
  <c r="F102" i="11"/>
  <c r="J23" i="11"/>
  <c r="O18" i="11"/>
  <c r="N18" i="11"/>
  <c r="M18" i="11"/>
  <c r="L18" i="11"/>
  <c r="G18" i="11"/>
  <c r="F18" i="11"/>
  <c r="J102" i="11" l="1"/>
  <c r="N253" i="11"/>
  <c r="L253" i="11"/>
  <c r="G253" i="11"/>
  <c r="J244" i="11"/>
  <c r="O253" i="11"/>
  <c r="J208" i="11"/>
  <c r="F253" i="11"/>
  <c r="M253" i="11"/>
  <c r="J18" i="11"/>
  <c r="F46" i="3"/>
  <c r="J38" i="3"/>
  <c r="N24" i="3"/>
  <c r="F24" i="3"/>
  <c r="L46" i="3"/>
  <c r="J253" i="11" l="1"/>
  <c r="L255" i="11"/>
  <c r="J7" i="5" l="1"/>
  <c r="G24" i="3"/>
  <c r="L24" i="3"/>
  <c r="M24" i="3"/>
  <c r="J35" i="5"/>
  <c r="J36" i="5"/>
  <c r="L97" i="5"/>
  <c r="J89" i="5"/>
  <c r="J4" i="5"/>
  <c r="J5" i="5"/>
  <c r="J6" i="5"/>
  <c r="N97" i="5"/>
  <c r="F97" i="5"/>
  <c r="F44" i="5"/>
  <c r="L44" i="5"/>
  <c r="D79" i="3"/>
  <c r="E79" i="3"/>
  <c r="I79" i="3"/>
  <c r="M37" i="6"/>
  <c r="O37" i="6"/>
  <c r="J14" i="6"/>
  <c r="N23" i="6"/>
  <c r="J4" i="6"/>
  <c r="L23" i="6"/>
  <c r="F23" i="6"/>
  <c r="O46" i="3"/>
  <c r="M46" i="3"/>
  <c r="J55" i="3"/>
  <c r="L56" i="3"/>
  <c r="O10" i="3"/>
  <c r="N10" i="3"/>
  <c r="M10" i="3"/>
  <c r="L10" i="3"/>
  <c r="O24" i="3"/>
  <c r="I64" i="6"/>
  <c r="E64" i="6"/>
  <c r="D64" i="6"/>
  <c r="G63" i="6"/>
  <c r="G62" i="6"/>
  <c r="O43" i="6"/>
  <c r="N43" i="6"/>
  <c r="M43" i="6"/>
  <c r="L43" i="6"/>
  <c r="G43" i="6"/>
  <c r="F43" i="6"/>
  <c r="J39" i="6"/>
  <c r="G37" i="6"/>
  <c r="J33" i="6"/>
  <c r="J27" i="6"/>
  <c r="J26" i="6"/>
  <c r="J25" i="6"/>
  <c r="O23" i="6"/>
  <c r="M23" i="6"/>
  <c r="G23" i="6"/>
  <c r="O11" i="6"/>
  <c r="N11" i="6"/>
  <c r="M11" i="6"/>
  <c r="L11" i="6"/>
  <c r="G11" i="6"/>
  <c r="F11" i="6"/>
  <c r="I120" i="5"/>
  <c r="E120" i="5"/>
  <c r="D120" i="5"/>
  <c r="G97" i="5"/>
  <c r="O93" i="5"/>
  <c r="O97" i="5" s="1"/>
  <c r="N93" i="5"/>
  <c r="M93" i="5"/>
  <c r="M97" i="5" s="1"/>
  <c r="L93" i="5"/>
  <c r="G93" i="5"/>
  <c r="F93" i="5"/>
  <c r="N77" i="5"/>
  <c r="G77" i="5"/>
  <c r="O44" i="5"/>
  <c r="O77" i="5" s="1"/>
  <c r="N44" i="5"/>
  <c r="M44" i="5"/>
  <c r="G44" i="5"/>
  <c r="O17" i="5"/>
  <c r="N17" i="5"/>
  <c r="M17" i="5"/>
  <c r="M100" i="5" s="1"/>
  <c r="L17" i="5"/>
  <c r="G17" i="5"/>
  <c r="F17" i="5"/>
  <c r="J11" i="5"/>
  <c r="G56" i="3"/>
  <c r="O50" i="3"/>
  <c r="O56" i="3" s="1"/>
  <c r="N50" i="3"/>
  <c r="M50" i="3"/>
  <c r="M56" i="3" s="1"/>
  <c r="G50" i="3"/>
  <c r="F50" i="3"/>
  <c r="N46" i="3"/>
  <c r="G46" i="3"/>
  <c r="G10" i="3"/>
  <c r="F10" i="3"/>
  <c r="J24" i="3" l="1"/>
  <c r="F59" i="3"/>
  <c r="G79" i="3"/>
  <c r="G45" i="6"/>
  <c r="M45" i="6"/>
  <c r="N45" i="6"/>
  <c r="O45" i="6"/>
  <c r="L45" i="6"/>
  <c r="J44" i="5"/>
  <c r="J77" i="5"/>
  <c r="J93" i="5"/>
  <c r="G100" i="5"/>
  <c r="N100" i="5"/>
  <c r="J97" i="5"/>
  <c r="J23" i="6"/>
  <c r="G64" i="6"/>
  <c r="J43" i="6"/>
  <c r="J11" i="6"/>
  <c r="G120" i="5"/>
  <c r="O100" i="5"/>
  <c r="L100" i="5"/>
  <c r="J17" i="5"/>
  <c r="J56" i="3"/>
  <c r="L59" i="3"/>
  <c r="M59" i="3"/>
  <c r="N59" i="3"/>
  <c r="J46" i="3"/>
  <c r="O59" i="3"/>
  <c r="J10" i="3"/>
  <c r="J50" i="3"/>
  <c r="F100" i="5" l="1"/>
  <c r="J100" i="5" s="1"/>
  <c r="L61" i="3"/>
  <c r="G59" i="3"/>
  <c r="J59" i="3" s="1"/>
  <c r="L102" i="5" l="1"/>
  <c r="F45" i="6"/>
  <c r="J45" i="6" s="1"/>
  <c r="J37" i="6"/>
  <c r="L47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Giuseppe</author>
  </authors>
  <commentList>
    <comment ref="G41" authorId="0" shapeId="0" xr:uid="{7BBC55F5-7C5C-4540-8957-F897AB8D1000}">
      <text>
        <r>
          <rPr>
            <b/>
            <sz val="9"/>
            <color indexed="81"/>
            <rFont val="Tahoma"/>
            <family val="2"/>
          </rPr>
          <t>Contratto 4000
- 4000 12/03 dt 34M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Giuseppe</author>
  </authors>
  <commentList>
    <comment ref="G39" authorId="0" shapeId="0" xr:uid="{4F2EEA19-78A7-4BD7-95AB-49158DADB34F}">
      <text>
        <r>
          <rPr>
            <b/>
            <sz val="9"/>
            <color indexed="81"/>
            <rFont val="Tahoma"/>
            <family val="2"/>
          </rPr>
          <t>CONTRATTO KG 30000
-4000 IL 31/10
-7000 il 13/11 dt 380m e 382m</t>
        </r>
        <r>
          <rPr>
            <sz val="9"/>
            <color indexed="81"/>
            <rFont val="Tahoma"/>
            <family val="2"/>
          </rPr>
          <t xml:space="preserve">
-5000 il 19/11 dt 391m
-4000 IL 10/12 DT 426M
-363 il 12/01 dt nr 5M
-10000 il 10/02 dt nr 04s e 05s</t>
        </r>
      </text>
    </comment>
    <comment ref="G41" authorId="0" shapeId="0" xr:uid="{6283F16D-1964-4260-A917-DE3147F07F57}">
      <text>
        <r>
          <rPr>
            <b/>
            <sz val="9"/>
            <color indexed="81"/>
            <rFont val="Tahoma"/>
            <family val="2"/>
          </rPr>
          <t>INIZIALE 15000
-5000 IL 16/02 DDT 10S E 11S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73" authorId="0" shapeId="0" xr:uid="{60483EB1-A147-463E-934C-1F6A8FC7ACD4}">
      <text>
        <r>
          <rPr>
            <b/>
            <sz val="9"/>
            <color indexed="81"/>
            <rFont val="Tahoma"/>
            <family val="2"/>
          </rPr>
          <t>inizio 28270
-4000 IL 31/10 DT 375M
-7000 il 13/11 dt 380m e 382m</t>
        </r>
        <r>
          <rPr>
            <sz val="9"/>
            <color indexed="81"/>
            <rFont val="Tahoma"/>
            <family val="2"/>
          </rPr>
          <t xml:space="preserve">
-5000 il 19/11 dt 391m
-6000 IL 10/12 DT 426M
-6270 il 12/01 dt 5M</t>
        </r>
      </text>
    </comment>
    <comment ref="G74" authorId="0" shapeId="0" xr:uid="{CDAF20F0-C4B4-4B96-8D6F-45EFFA7FFA71}">
      <text>
        <r>
          <rPr>
            <b/>
            <sz val="9"/>
            <color indexed="81"/>
            <rFont val="Tahoma"/>
            <family val="2"/>
          </rPr>
          <t>INIZIALE 15000
- 5270 IL 16/02 DDT 10S E 11S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Giuseppe</author>
  </authors>
  <commentList>
    <comment ref="G203" authorId="0" shapeId="0" xr:uid="{1DEE99C8-CAE9-4A24-9536-0C31CC1636CE}">
      <text>
        <r>
          <rPr>
            <b/>
            <sz val="9"/>
            <color indexed="81"/>
            <rFont val="Tahoma"/>
            <family val="2"/>
          </rPr>
          <t>Contratto 3000
-1000 il 22/10 dt 293f
-1000 il 24/10 dt 297f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4" authorId="0" shapeId="0" xr:uid="{4040A553-2621-4B22-9EC0-C3FE6F92519D}">
      <text>
        <r>
          <rPr>
            <b/>
            <sz val="9"/>
            <color indexed="81"/>
            <rFont val="Tahoma"/>
            <family val="2"/>
          </rPr>
          <t>contratto 5000
- 2000 il 19/11/2025</t>
        </r>
        <r>
          <rPr>
            <sz val="9"/>
            <color indexed="81"/>
            <rFont val="Tahoma"/>
            <family val="2"/>
          </rPr>
          <t xml:space="preserve">
- 3000 il 26/11/2025</t>
        </r>
      </text>
    </comment>
    <comment ref="G205" authorId="0" shapeId="0" xr:uid="{2A3070BE-A7B7-46EB-A84E-333C2243C014}">
      <text>
        <r>
          <rPr>
            <sz val="9"/>
            <color indexed="81"/>
            <rFont val="Tahoma"/>
            <family val="2"/>
          </rPr>
          <t>KG 2000 CONS IL 18/11 DDT 319F</t>
        </r>
      </text>
    </comment>
    <comment ref="G206" authorId="0" shapeId="0" xr:uid="{D7B7804F-18DD-4127-A7D6-D76E365ED4C3}">
      <text>
        <r>
          <rPr>
            <b/>
            <sz val="9"/>
            <color indexed="81"/>
            <rFont val="Tahoma"/>
            <family val="2"/>
          </rPr>
          <t>evaso 24000 il 03/02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<sst xmlns="http://schemas.openxmlformats.org/spreadsheetml/2006/main" count="1938" uniqueCount="237">
  <si>
    <t>DATA</t>
  </si>
  <si>
    <t>BIOLOGICHE</t>
  </si>
  <si>
    <t>SETTIMANA DI PRODUZ.</t>
  </si>
  <si>
    <t>DESCRIZIONE PRODOTTO</t>
  </si>
  <si>
    <t>CALIBRO</t>
  </si>
  <si>
    <t>CONTRATTI DA EVADERE</t>
  </si>
  <si>
    <t>CLIENTE/FOR</t>
  </si>
  <si>
    <t>N. CONTRATTO</t>
  </si>
  <si>
    <t>QUANTITA' DISPONIBILI</t>
  </si>
  <si>
    <t>SORIANO</t>
  </si>
  <si>
    <t>Marcio vis</t>
  </si>
  <si>
    <t>Marcio Occ.</t>
  </si>
  <si>
    <t>Cimiciato Occ.</t>
  </si>
  <si>
    <t>Cimiciato vis.</t>
  </si>
  <si>
    <t>9/11</t>
  </si>
  <si>
    <t>TOTALE PARZIALE SGUSCIATO</t>
  </si>
  <si>
    <t>di cui</t>
  </si>
  <si>
    <t>11/13</t>
  </si>
  <si>
    <t>CONTRATTI PER 11/13</t>
  </si>
  <si>
    <t>13/15</t>
  </si>
  <si>
    <t>QUADRATURA</t>
  </si>
  <si>
    <t>CONTRATTI PER 9/11</t>
  </si>
  <si>
    <t>ROTTAME</t>
  </si>
  <si>
    <t>TIPO IMBALLO</t>
  </si>
  <si>
    <t>TOTALE GENERALE BIOLOGICHE SGUSCIATE</t>
  </si>
  <si>
    <t>SILOS</t>
  </si>
  <si>
    <t>KG IN GUSCIO DA SGUSCIARE</t>
  </si>
  <si>
    <t>TOT. KG SGUSCIATO</t>
  </si>
  <si>
    <t>TOT. BIG N°</t>
  </si>
  <si>
    <t>TOTALI</t>
  </si>
  <si>
    <t>QUANTITA' IN GIACENZA</t>
  </si>
  <si>
    <t>FABRICA</t>
  </si>
  <si>
    <t>VIGNANELLO</t>
  </si>
  <si>
    <t>RESA %</t>
  </si>
  <si>
    <t>KG IN GUSCIO SGUSC.</t>
  </si>
  <si>
    <t>USCITE IN GUSCIO</t>
  </si>
  <si>
    <t>CORPI ESTRANEI</t>
  </si>
  <si>
    <t>LOTTO NOCCIOLE</t>
  </si>
  <si>
    <t>LOTTO IMBALLO</t>
  </si>
  <si>
    <t>SCARTI</t>
  </si>
  <si>
    <t>CAPRAROLA</t>
  </si>
  <si>
    <t>Contratti 13/15</t>
  </si>
  <si>
    <t>RACCOLTO BIO BIOSUISSE IN GUSCIO 2024/2025 - stima</t>
  </si>
  <si>
    <t>CONVENZIONALE</t>
  </si>
  <si>
    <t>KG USCITE IN GUSCIO</t>
  </si>
  <si>
    <t>IN GUSCIO SGUS.</t>
  </si>
  <si>
    <t>RACCOLTO BIOLOGICO IN GUSCIO 2025/2026 - stima</t>
  </si>
  <si>
    <t>RACCOLTO 2025/2026 BIO FAIR FOR LIFE</t>
  </si>
  <si>
    <t>RACCOLTO BIO FAIR FOR LIFE IN GUSCIO 2025/2026 - stima</t>
  </si>
  <si>
    <t>TOTALE GENERALE CONVENZIONALE SGUSCIATE</t>
  </si>
  <si>
    <t>S101/2025</t>
  </si>
  <si>
    <t>S102/2025</t>
  </si>
  <si>
    <t>S103/2025</t>
  </si>
  <si>
    <t>S104/2025</t>
  </si>
  <si>
    <t>S120/2025</t>
  </si>
  <si>
    <t>S121/2025</t>
  </si>
  <si>
    <t>S123/2025</t>
  </si>
  <si>
    <t>SBSS125/2025</t>
  </si>
  <si>
    <t>40/2025</t>
  </si>
  <si>
    <t>BIG01/2025</t>
  </si>
  <si>
    <t>BIG BAG N°1</t>
  </si>
  <si>
    <t>S109/2025</t>
  </si>
  <si>
    <t>BIG BAG N°2</t>
  </si>
  <si>
    <t>BIG BAG N° 1</t>
  </si>
  <si>
    <t>BIG BAG N° 2</t>
  </si>
  <si>
    <t>BIG BAG N°3</t>
  </si>
  <si>
    <t>S106/2025</t>
  </si>
  <si>
    <t>BIG BAG N°5</t>
  </si>
  <si>
    <t>BIG BAG N° 3</t>
  </si>
  <si>
    <t>BIG BAG N° 4</t>
  </si>
  <si>
    <t>BIG BAG N° 5</t>
  </si>
  <si>
    <t>BIG BAG N° 6</t>
  </si>
  <si>
    <t>BIG BAG N° 7</t>
  </si>
  <si>
    <t>BIG BAG N° 8</t>
  </si>
  <si>
    <t>42/2025</t>
  </si>
  <si>
    <t>BIG BAG N°11</t>
  </si>
  <si>
    <t>SGUSCIATO DA SCEGLIERE</t>
  </si>
  <si>
    <t>S105/2025</t>
  </si>
  <si>
    <t>BIG BAG</t>
  </si>
  <si>
    <t>43/2025</t>
  </si>
  <si>
    <t>FA10/2025</t>
  </si>
  <si>
    <t xml:space="preserve">SGUSCIATO SCELTO TGR </t>
  </si>
  <si>
    <t>Rott.</t>
  </si>
  <si>
    <t>BIG 3</t>
  </si>
  <si>
    <t>BIG 5</t>
  </si>
  <si>
    <t>BIG 6</t>
  </si>
  <si>
    <t>BIG 7</t>
  </si>
  <si>
    <t>BIG 8</t>
  </si>
  <si>
    <t>BIG 9</t>
  </si>
  <si>
    <t>BIG 11</t>
  </si>
  <si>
    <t>BIG 12</t>
  </si>
  <si>
    <t>BIG 13</t>
  </si>
  <si>
    <t>BIG BAG N° 9</t>
  </si>
  <si>
    <t>BIG BAG N° 10</t>
  </si>
  <si>
    <t>BIG BAG N° 11</t>
  </si>
  <si>
    <t>BIG BAG N° 12</t>
  </si>
  <si>
    <t>44/2025</t>
  </si>
  <si>
    <t>BIG02/2025</t>
  </si>
  <si>
    <t>SGUSCIATO SCELTO</t>
  </si>
  <si>
    <t>biosic contratto 103</t>
  </si>
  <si>
    <t>ott.2026</t>
  </si>
  <si>
    <t>CONTRATTI PER 13/15</t>
  </si>
  <si>
    <t>cimina dolciaria</t>
  </si>
  <si>
    <t>Campodata mail del 28/10</t>
  </si>
  <si>
    <t>45/2025</t>
  </si>
  <si>
    <t>FA11/2025</t>
  </si>
  <si>
    <t>46/2025</t>
  </si>
  <si>
    <t>BIG 14</t>
  </si>
  <si>
    <t>BIG 15</t>
  </si>
  <si>
    <t>BIG 17</t>
  </si>
  <si>
    <t>BIG 18</t>
  </si>
  <si>
    <t>BIG 20</t>
  </si>
  <si>
    <t>BIG 21</t>
  </si>
  <si>
    <t>mail 04/11</t>
  </si>
  <si>
    <t>SO112025</t>
  </si>
  <si>
    <t>Biosic</t>
  </si>
  <si>
    <t>47/2025</t>
  </si>
  <si>
    <t>Santaniello</t>
  </si>
  <si>
    <t>BIG BAG N° 13</t>
  </si>
  <si>
    <t>BIG BAG N° 14</t>
  </si>
  <si>
    <t>BIG BAG N° 15</t>
  </si>
  <si>
    <t>48/2025</t>
  </si>
  <si>
    <t>BIG 24</t>
  </si>
  <si>
    <t>biosic contratto 105</t>
  </si>
  <si>
    <t>BIG BAG N° 16</t>
  </si>
  <si>
    <t>BIG BAG N° 17</t>
  </si>
  <si>
    <t>BIG BAG N° 18</t>
  </si>
  <si>
    <t>BIG BAG N° 19</t>
  </si>
  <si>
    <t>BIG BAG N° 20</t>
  </si>
  <si>
    <t>BIG BAG N° 21</t>
  </si>
  <si>
    <t>RACCOLTO 2025/2026</t>
  </si>
  <si>
    <t>RACCOLTO 2025/2026 BIO BIOSUISSE</t>
  </si>
  <si>
    <t>BIG BAG N° 24</t>
  </si>
  <si>
    <t>VARI</t>
  </si>
  <si>
    <t>SCARTO 13/15</t>
  </si>
  <si>
    <t>SCARTO 11/13</t>
  </si>
  <si>
    <t>SO122025</t>
  </si>
  <si>
    <t>FA12/2025</t>
  </si>
  <si>
    <t>49/2025</t>
  </si>
  <si>
    <t>BIG 28</t>
  </si>
  <si>
    <t>BIG 30</t>
  </si>
  <si>
    <t>BIG 32</t>
  </si>
  <si>
    <t>BIG 33</t>
  </si>
  <si>
    <t>BIG 34</t>
  </si>
  <si>
    <t>BIG 35</t>
  </si>
  <si>
    <t>BIG 37</t>
  </si>
  <si>
    <t>BIG 39</t>
  </si>
  <si>
    <t>BIG 40</t>
  </si>
  <si>
    <t>BIG 41</t>
  </si>
  <si>
    <t>BIG 42</t>
  </si>
  <si>
    <t>BIG 43</t>
  </si>
  <si>
    <t>cimina dolciaria pasta</t>
  </si>
  <si>
    <t>pasta</t>
  </si>
  <si>
    <t>50/2025</t>
  </si>
  <si>
    <t>BIG 49</t>
  </si>
  <si>
    <t>BIG 53</t>
  </si>
  <si>
    <t>BIG 19</t>
  </si>
  <si>
    <t>biosic contratto 115</t>
  </si>
  <si>
    <t>1 del 24/01/26</t>
  </si>
  <si>
    <t>07/2026</t>
  </si>
  <si>
    <t>S103/2026</t>
  </si>
  <si>
    <t>09/2026</t>
  </si>
  <si>
    <t>SO11/2025</t>
  </si>
  <si>
    <t>ROTTAME SCELTO</t>
  </si>
  <si>
    <t>10/2026</t>
  </si>
  <si>
    <t>S104/2026</t>
  </si>
  <si>
    <t>C/LAV ABC</t>
  </si>
  <si>
    <t>S102-S103-S104-S105/2025</t>
  </si>
  <si>
    <t>12/2026</t>
  </si>
  <si>
    <t>BIG03/2025</t>
  </si>
  <si>
    <t>c/lavoro per sikelia</t>
  </si>
  <si>
    <t>14/2026</t>
  </si>
  <si>
    <t>NOCCIOLE SGUSCITE SCELTE</t>
  </si>
  <si>
    <t>BIG BAG N°4</t>
  </si>
  <si>
    <t>BIG BAG N°6</t>
  </si>
  <si>
    <t>BIG BAG N°7</t>
  </si>
  <si>
    <t>BIG BAG N°8</t>
  </si>
  <si>
    <t>BIG BAG N°9</t>
  </si>
  <si>
    <t>BIG BAG N°10</t>
  </si>
  <si>
    <t>15/2026</t>
  </si>
  <si>
    <t>PER ASSOBIO</t>
  </si>
  <si>
    <t>NOCCIOLE SGUSCIATE SCELTE</t>
  </si>
  <si>
    <t>damiano</t>
  </si>
  <si>
    <t>SO042026</t>
  </si>
  <si>
    <t>ROTTAME SCELTO PICCOLO</t>
  </si>
  <si>
    <t>16/2026</t>
  </si>
  <si>
    <t>FA04/2026</t>
  </si>
  <si>
    <t>SGUSCIATO SCELTO TGR</t>
  </si>
  <si>
    <t>BIG 1</t>
  </si>
  <si>
    <t>BIG 2</t>
  </si>
  <si>
    <t>BIG 4</t>
  </si>
  <si>
    <t>SO04/2026</t>
  </si>
  <si>
    <t>ROTTAME DA SCEGLIERE</t>
  </si>
  <si>
    <t>BIG 22</t>
  </si>
  <si>
    <t>BIG 23</t>
  </si>
  <si>
    <t>BIG 25</t>
  </si>
  <si>
    <t>17/2026</t>
  </si>
  <si>
    <t>FI1459/2026</t>
  </si>
  <si>
    <t>18/2026</t>
  </si>
  <si>
    <t>SCARTO TIPO 1 DA SCEGLIERE</t>
  </si>
  <si>
    <t>ROTTAME GRANDE DA SCEGLIERE</t>
  </si>
  <si>
    <t>ROTT.SGUSCIATRICE</t>
  </si>
  <si>
    <t>ROTTAME PICCOLO DA SCEGLIERE</t>
  </si>
  <si>
    <t>BIG 26</t>
  </si>
  <si>
    <t>BIG 27</t>
  </si>
  <si>
    <t>BIG 54</t>
  </si>
  <si>
    <t>BIG 55</t>
  </si>
  <si>
    <t>BIG 56</t>
  </si>
  <si>
    <t>BIG 57</t>
  </si>
  <si>
    <t>BIG 58</t>
  </si>
  <si>
    <t>BIG 59</t>
  </si>
  <si>
    <t>BIG 60</t>
  </si>
  <si>
    <t>BIG 61</t>
  </si>
  <si>
    <t>BIG 62</t>
  </si>
  <si>
    <t>BIG 63</t>
  </si>
  <si>
    <t>BIG 64</t>
  </si>
  <si>
    <t>BIG 65</t>
  </si>
  <si>
    <t>19/2026</t>
  </si>
  <si>
    <t>BIG 10</t>
  </si>
  <si>
    <t>conto lavorazione</t>
  </si>
  <si>
    <t>BIG 16</t>
  </si>
  <si>
    <t>conto lavoro</t>
  </si>
  <si>
    <t>20/2026</t>
  </si>
  <si>
    <t>FA05/2026</t>
  </si>
  <si>
    <t>BIG 66</t>
  </si>
  <si>
    <t>BIG 67</t>
  </si>
  <si>
    <t>BIG 68</t>
  </si>
  <si>
    <t>BIG 69</t>
  </si>
  <si>
    <t>BIG 70</t>
  </si>
  <si>
    <t>BIG 71</t>
  </si>
  <si>
    <t>BIG 72</t>
  </si>
  <si>
    <t>CIMINA</t>
  </si>
  <si>
    <t>SCARTO DA SCEGLIERE</t>
  </si>
  <si>
    <t>BIG 29</t>
  </si>
  <si>
    <t>miste con 13/15</t>
  </si>
  <si>
    <t>miste con 11/13</t>
  </si>
  <si>
    <t>(2 o 3 big)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</si>
</sst>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;@"/>
    <numFmt numFmtId="165" formatCode="#,##0.000"/>
    <numFmt numFmtId="166" formatCode="0.0%"/>
  </numFmts>
  <fonts count="26" x14ac:knownFonts="1">
    <font>
      <sz val="11"/>
      <color theme="1"/>
      <name val="Calibri"/>
      <family val="2"/>
      <scheme val="minor"/>
    </font>
    <font>
      <b/>
      <u/>
      <sz val="10"/>
      <name val="Arial"/>
      <family val="2"/>
    </font>
    <font>
      <b/>
      <u/>
      <sz val="12"/>
      <name val="Arial"/>
      <family val="2"/>
    </font>
    <font>
      <b/>
      <u/>
      <sz val="2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u/>
      <sz val="11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26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u/>
      <sz val="11"/>
      <name val="Arial"/>
      <family val="2"/>
    </font>
    <font>
      <sz val="12"/>
      <name val="Arial"/>
      <family val="2"/>
    </font>
    <font>
      <sz val="9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29">
    <xf numFmtId="0" fontId="0" fillId="0" borderId="0" xfId="0"/>
    <xf numFmtId="14" fontId="2" fillId="3" borderId="1" xfId="0" applyNumberFormat="1" applyFont="1" applyFill="1" applyBorder="1"/>
    <xf numFmtId="164" fontId="2" fillId="3" borderId="1" xfId="0" quotePrefix="1" applyNumberFormat="1" applyFont="1" applyFill="1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4" fillId="2" borderId="9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1" fillId="4" borderId="10" xfId="0" applyFont="1" applyFill="1" applyBorder="1" applyAlignment="1">
      <alignment vertical="center" wrapText="1"/>
    </xf>
    <xf numFmtId="0" fontId="1" fillId="5" borderId="11" xfId="0" applyFont="1" applyFill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4" fillId="0" borderId="11" xfId="0" applyFont="1" applyBorder="1" applyAlignment="1">
      <alignment horizontal="center" wrapText="1"/>
    </xf>
    <xf numFmtId="0" fontId="4" fillId="4" borderId="10" xfId="0" applyFont="1" applyFill="1" applyBorder="1" applyAlignment="1">
      <alignment wrapText="1"/>
    </xf>
    <xf numFmtId="0" fontId="6" fillId="6" borderId="10" xfId="0" applyFont="1" applyFill="1" applyBorder="1" applyAlignment="1">
      <alignment wrapText="1"/>
    </xf>
    <xf numFmtId="10" fontId="4" fillId="0" borderId="11" xfId="0" applyNumberFormat="1" applyFont="1" applyBorder="1" applyAlignment="1">
      <alignment horizontal="center" wrapText="1"/>
    </xf>
    <xf numFmtId="9" fontId="4" fillId="0" borderId="11" xfId="0" applyNumberFormat="1" applyFont="1" applyBorder="1" applyAlignment="1">
      <alignment horizontal="center" wrapText="1"/>
    </xf>
    <xf numFmtId="10" fontId="4" fillId="0" borderId="11" xfId="0" applyNumberFormat="1" applyFont="1" applyBorder="1" applyAlignment="1">
      <alignment horizontal="center"/>
    </xf>
    <xf numFmtId="17" fontId="5" fillId="7" borderId="11" xfId="0" quotePrefix="1" applyNumberFormat="1" applyFont="1" applyFill="1" applyBorder="1"/>
    <xf numFmtId="0" fontId="1" fillId="7" borderId="11" xfId="0" applyFont="1" applyFill="1" applyBorder="1"/>
    <xf numFmtId="0" fontId="5" fillId="7" borderId="11" xfId="0" applyFont="1" applyFill="1" applyBorder="1"/>
    <xf numFmtId="0" fontId="5" fillId="4" borderId="10" xfId="0" applyFont="1" applyFill="1" applyBorder="1" applyAlignment="1">
      <alignment wrapText="1"/>
    </xf>
    <xf numFmtId="0" fontId="7" fillId="8" borderId="11" xfId="0" applyFont="1" applyFill="1" applyBorder="1"/>
    <xf numFmtId="0" fontId="7" fillId="8" borderId="11" xfId="0" applyFont="1" applyFill="1" applyBorder="1" applyAlignment="1">
      <alignment horizontal="center"/>
    </xf>
    <xf numFmtId="0" fontId="7" fillId="8" borderId="10" xfId="0" applyFont="1" applyFill="1" applyBorder="1"/>
    <xf numFmtId="0" fontId="4" fillId="0" borderId="11" xfId="0" applyFont="1" applyBorder="1" applyAlignment="1">
      <alignment horizontal="center"/>
    </xf>
    <xf numFmtId="0" fontId="4" fillId="4" borderId="10" xfId="0" applyFont="1" applyFill="1" applyBorder="1"/>
    <xf numFmtId="0" fontId="4" fillId="5" borderId="10" xfId="0" applyFont="1" applyFill="1" applyBorder="1"/>
    <xf numFmtId="9" fontId="4" fillId="0" borderId="11" xfId="0" applyNumberFormat="1" applyFont="1" applyBorder="1" applyAlignment="1">
      <alignment horizontal="center"/>
    </xf>
    <xf numFmtId="17" fontId="5" fillId="9" borderId="10" xfId="0" quotePrefix="1" applyNumberFormat="1" applyFont="1" applyFill="1" applyBorder="1"/>
    <xf numFmtId="0" fontId="1" fillId="9" borderId="11" xfId="0" applyFont="1" applyFill="1" applyBorder="1"/>
    <xf numFmtId="49" fontId="5" fillId="9" borderId="11" xfId="0" quotePrefix="1" applyNumberFormat="1" applyFont="1" applyFill="1" applyBorder="1"/>
    <xf numFmtId="0" fontId="5" fillId="9" borderId="11" xfId="0" applyFont="1" applyFill="1" applyBorder="1"/>
    <xf numFmtId="17" fontId="5" fillId="10" borderId="11" xfId="0" quotePrefix="1" applyNumberFormat="1" applyFont="1" applyFill="1" applyBorder="1"/>
    <xf numFmtId="17" fontId="5" fillId="10" borderId="10" xfId="0" quotePrefix="1" applyNumberFormat="1" applyFont="1" applyFill="1" applyBorder="1"/>
    <xf numFmtId="0" fontId="1" fillId="10" borderId="11" xfId="0" applyFont="1" applyFill="1" applyBorder="1"/>
    <xf numFmtId="0" fontId="5" fillId="10" borderId="11" xfId="0" quotePrefix="1" applyFont="1" applyFill="1" applyBorder="1"/>
    <xf numFmtId="0" fontId="5" fillId="10" borderId="11" xfId="0" applyFont="1" applyFill="1" applyBorder="1"/>
    <xf numFmtId="0" fontId="7" fillId="3" borderId="11" xfId="0" applyFont="1" applyFill="1" applyBorder="1"/>
    <xf numFmtId="0" fontId="7" fillId="3" borderId="11" xfId="0" applyFont="1" applyFill="1" applyBorder="1" applyAlignment="1">
      <alignment horizontal="center"/>
    </xf>
    <xf numFmtId="0" fontId="8" fillId="0" borderId="0" xfId="0" applyFont="1"/>
    <xf numFmtId="0" fontId="2" fillId="3" borderId="11" xfId="0" applyFont="1" applyFill="1" applyBorder="1"/>
    <xf numFmtId="0" fontId="5" fillId="0" borderId="0" xfId="0" applyFont="1"/>
    <xf numFmtId="0" fontId="4" fillId="2" borderId="11" xfId="0" applyFont="1" applyFill="1" applyBorder="1" applyAlignment="1">
      <alignment horizontal="center" vertical="center" wrapText="1"/>
    </xf>
    <xf numFmtId="17" fontId="5" fillId="0" borderId="10" xfId="0" quotePrefix="1" applyNumberFormat="1" applyFont="1" applyBorder="1"/>
    <xf numFmtId="0" fontId="7" fillId="0" borderId="11" xfId="0" applyFont="1" applyBorder="1"/>
    <xf numFmtId="0" fontId="7" fillId="11" borderId="11" xfId="0" applyFont="1" applyFill="1" applyBorder="1"/>
    <xf numFmtId="0" fontId="1" fillId="0" borderId="0" xfId="0" applyFont="1"/>
    <xf numFmtId="3" fontId="5" fillId="0" borderId="11" xfId="0" applyNumberFormat="1" applyFont="1" applyBorder="1" applyAlignment="1">
      <alignment horizontal="center" vertical="center"/>
    </xf>
    <xf numFmtId="3" fontId="4" fillId="5" borderId="11" xfId="0" applyNumberFormat="1" applyFont="1" applyFill="1" applyBorder="1" applyAlignment="1">
      <alignment horizontal="center"/>
    </xf>
    <xf numFmtId="0" fontId="7" fillId="8" borderId="11" xfId="0" quotePrefix="1" applyFont="1" applyFill="1" applyBorder="1" applyAlignment="1">
      <alignment horizontal="center"/>
    </xf>
    <xf numFmtId="17" fontId="7" fillId="8" borderId="11" xfId="0" quotePrefix="1" applyNumberFormat="1" applyFont="1" applyFill="1" applyBorder="1" applyAlignment="1">
      <alignment horizontal="center"/>
    </xf>
    <xf numFmtId="0" fontId="6" fillId="12" borderId="10" xfId="0" applyFont="1" applyFill="1" applyBorder="1" applyAlignment="1">
      <alignment wrapText="1"/>
    </xf>
    <xf numFmtId="0" fontId="1" fillId="12" borderId="11" xfId="0" applyFont="1" applyFill="1" applyBorder="1" applyAlignment="1">
      <alignment horizontal="center" vertical="center" wrapText="1"/>
    </xf>
    <xf numFmtId="0" fontId="5" fillId="11" borderId="11" xfId="0" applyFont="1" applyFill="1" applyBorder="1" applyAlignment="1">
      <alignment horizontal="left"/>
    </xf>
    <xf numFmtId="0" fontId="9" fillId="4" borderId="10" xfId="0" applyFont="1" applyFill="1" applyBorder="1"/>
    <xf numFmtId="0" fontId="12" fillId="11" borderId="11" xfId="0" applyFont="1" applyFill="1" applyBorder="1" applyAlignment="1">
      <alignment horizontal="center"/>
    </xf>
    <xf numFmtId="0" fontId="9" fillId="11" borderId="11" xfId="0" applyFont="1" applyFill="1" applyBorder="1" applyAlignment="1">
      <alignment horizontal="right"/>
    </xf>
    <xf numFmtId="0" fontId="4" fillId="2" borderId="12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 vertical="center"/>
    </xf>
    <xf numFmtId="9" fontId="11" fillId="0" borderId="11" xfId="0" applyNumberFormat="1" applyFont="1" applyBorder="1" applyAlignment="1">
      <alignment horizontal="center" vertical="center"/>
    </xf>
    <xf numFmtId="0" fontId="13" fillId="4" borderId="10" xfId="0" applyFont="1" applyFill="1" applyBorder="1"/>
    <xf numFmtId="0" fontId="13" fillId="5" borderId="11" xfId="0" applyFont="1" applyFill="1" applyBorder="1"/>
    <xf numFmtId="0" fontId="13" fillId="5" borderId="10" xfId="0" applyFont="1" applyFill="1" applyBorder="1"/>
    <xf numFmtId="0" fontId="13" fillId="6" borderId="10" xfId="0" applyFont="1" applyFill="1" applyBorder="1"/>
    <xf numFmtId="0" fontId="12" fillId="0" borderId="11" xfId="0" applyFont="1" applyBorder="1" applyAlignment="1">
      <alignment vertical="center" wrapText="1"/>
    </xf>
    <xf numFmtId="0" fontId="9" fillId="0" borderId="11" xfId="0" applyFont="1" applyBorder="1" applyAlignment="1">
      <alignment horizontal="center"/>
    </xf>
    <xf numFmtId="0" fontId="9" fillId="0" borderId="11" xfId="0" applyFont="1" applyBorder="1"/>
    <xf numFmtId="0" fontId="14" fillId="0" borderId="11" xfId="0" applyFont="1" applyBorder="1"/>
    <xf numFmtId="10" fontId="5" fillId="0" borderId="11" xfId="0" applyNumberFormat="1" applyFont="1" applyBorder="1" applyAlignment="1">
      <alignment horizontal="center" vertical="center"/>
    </xf>
    <xf numFmtId="17" fontId="9" fillId="0" borderId="11" xfId="0" quotePrefix="1" applyNumberFormat="1" applyFont="1" applyBorder="1" applyAlignment="1">
      <alignment horizontal="center"/>
    </xf>
    <xf numFmtId="0" fontId="4" fillId="2" borderId="16" xfId="0" applyFont="1" applyFill="1" applyBorder="1" applyAlignment="1">
      <alignment vertical="center" wrapText="1"/>
    </xf>
    <xf numFmtId="17" fontId="5" fillId="7" borderId="10" xfId="0" quotePrefix="1" applyNumberFormat="1" applyFont="1" applyFill="1" applyBorder="1"/>
    <xf numFmtId="0" fontId="9" fillId="11" borderId="11" xfId="0" applyFont="1" applyFill="1" applyBorder="1" applyAlignment="1">
      <alignment horizontal="center"/>
    </xf>
    <xf numFmtId="0" fontId="14" fillId="0" borderId="11" xfId="0" applyFont="1" applyBorder="1" applyAlignment="1">
      <alignment wrapText="1"/>
    </xf>
    <xf numFmtId="17" fontId="14" fillId="0" borderId="10" xfId="0" quotePrefix="1" applyNumberFormat="1" applyFont="1" applyBorder="1"/>
    <xf numFmtId="17" fontId="14" fillId="9" borderId="10" xfId="0" quotePrefix="1" applyNumberFormat="1" applyFont="1" applyFill="1" applyBorder="1"/>
    <xf numFmtId="0" fontId="14" fillId="0" borderId="10" xfId="0" applyFont="1" applyBorder="1"/>
    <xf numFmtId="17" fontId="14" fillId="10" borderId="10" xfId="0" quotePrefix="1" applyNumberFormat="1" applyFont="1" applyFill="1" applyBorder="1"/>
    <xf numFmtId="17" fontId="14" fillId="0" borderId="11" xfId="0" quotePrefix="1" applyNumberFormat="1" applyFont="1" applyBorder="1"/>
    <xf numFmtId="17" fontId="14" fillId="0" borderId="11" xfId="0" applyNumberFormat="1" applyFont="1" applyBorder="1"/>
    <xf numFmtId="49" fontId="5" fillId="9" borderId="11" xfId="0" quotePrefix="1" applyNumberFormat="1" applyFont="1" applyFill="1" applyBorder="1" applyAlignment="1">
      <alignment horizontal="center" vertical="center"/>
    </xf>
    <xf numFmtId="3" fontId="5" fillId="0" borderId="12" xfId="0" applyNumberFormat="1" applyFont="1" applyBorder="1" applyAlignment="1">
      <alignment horizontal="center" vertical="center"/>
    </xf>
    <xf numFmtId="3" fontId="11" fillId="0" borderId="12" xfId="0" applyNumberFormat="1" applyFont="1" applyBorder="1" applyAlignment="1">
      <alignment horizontal="center" vertical="center"/>
    </xf>
    <xf numFmtId="3" fontId="4" fillId="5" borderId="12" xfId="0" applyNumberFormat="1" applyFont="1" applyFill="1" applyBorder="1" applyAlignment="1">
      <alignment horizontal="center"/>
    </xf>
    <xf numFmtId="0" fontId="12" fillId="13" borderId="11" xfId="0" applyFont="1" applyFill="1" applyBorder="1" applyAlignment="1">
      <alignment horizontal="center"/>
    </xf>
    <xf numFmtId="0" fontId="9" fillId="13" borderId="11" xfId="0" applyFont="1" applyFill="1" applyBorder="1" applyAlignment="1">
      <alignment horizontal="right"/>
    </xf>
    <xf numFmtId="0" fontId="7" fillId="13" borderId="11" xfId="0" applyFont="1" applyFill="1" applyBorder="1"/>
    <xf numFmtId="0" fontId="5" fillId="13" borderId="11" xfId="0" applyFont="1" applyFill="1" applyBorder="1" applyAlignment="1">
      <alignment horizontal="left"/>
    </xf>
    <xf numFmtId="0" fontId="9" fillId="13" borderId="11" xfId="0" applyFont="1" applyFill="1" applyBorder="1"/>
    <xf numFmtId="0" fontId="14" fillId="0" borderId="11" xfId="0" applyFont="1" applyBorder="1" applyAlignment="1">
      <alignment horizontal="center"/>
    </xf>
    <xf numFmtId="49" fontId="14" fillId="0" borderId="11" xfId="0" quotePrefix="1" applyNumberFormat="1" applyFont="1" applyBorder="1" applyAlignment="1">
      <alignment horizontal="center"/>
    </xf>
    <xf numFmtId="166" fontId="4" fillId="0" borderId="11" xfId="0" applyNumberFormat="1" applyFont="1" applyBorder="1" applyAlignment="1">
      <alignment horizontal="center"/>
    </xf>
    <xf numFmtId="0" fontId="14" fillId="12" borderId="10" xfId="0" applyFont="1" applyFill="1" applyBorder="1"/>
    <xf numFmtId="17" fontId="14" fillId="7" borderId="10" xfId="0" quotePrefix="1" applyNumberFormat="1" applyFont="1" applyFill="1" applyBorder="1"/>
    <xf numFmtId="16" fontId="14" fillId="7" borderId="11" xfId="0" quotePrefix="1" applyNumberFormat="1" applyFont="1" applyFill="1" applyBorder="1"/>
    <xf numFmtId="0" fontId="14" fillId="7" borderId="11" xfId="0" applyFont="1" applyFill="1" applyBorder="1" applyAlignment="1">
      <alignment wrapText="1"/>
    </xf>
    <xf numFmtId="0" fontId="14" fillId="7" borderId="10" xfId="0" quotePrefix="1" applyFont="1" applyFill="1" applyBorder="1"/>
    <xf numFmtId="0" fontId="14" fillId="7" borderId="11" xfId="0" applyFont="1" applyFill="1" applyBorder="1"/>
    <xf numFmtId="0" fontId="14" fillId="4" borderId="10" xfId="0" applyFont="1" applyFill="1" applyBorder="1"/>
    <xf numFmtId="0" fontId="14" fillId="5" borderId="10" xfId="0" applyFont="1" applyFill="1" applyBorder="1"/>
    <xf numFmtId="0" fontId="14" fillId="6" borderId="10" xfId="0" applyFont="1" applyFill="1" applyBorder="1"/>
    <xf numFmtId="0" fontId="14" fillId="9" borderId="11" xfId="0" applyFont="1" applyFill="1" applyBorder="1"/>
    <xf numFmtId="0" fontId="14" fillId="9" borderId="11" xfId="0" applyFont="1" applyFill="1" applyBorder="1" applyAlignment="1">
      <alignment wrapText="1"/>
    </xf>
    <xf numFmtId="0" fontId="14" fillId="10" borderId="11" xfId="0" applyFont="1" applyFill="1" applyBorder="1" applyAlignment="1">
      <alignment wrapText="1"/>
    </xf>
    <xf numFmtId="0" fontId="14" fillId="6" borderId="11" xfId="0" applyFont="1" applyFill="1" applyBorder="1"/>
    <xf numFmtId="0" fontId="14" fillId="0" borderId="11" xfId="0" quotePrefix="1" applyFont="1" applyBorder="1"/>
    <xf numFmtId="0" fontId="14" fillId="5" borderId="11" xfId="0" applyFont="1" applyFill="1" applyBorder="1"/>
    <xf numFmtId="17" fontId="14" fillId="9" borderId="11" xfId="0" applyNumberFormat="1" applyFont="1" applyFill="1" applyBorder="1"/>
    <xf numFmtId="0" fontId="14" fillId="0" borderId="0" xfId="0" applyFont="1"/>
    <xf numFmtId="17" fontId="14" fillId="7" borderId="11" xfId="0" quotePrefix="1" applyNumberFormat="1" applyFont="1" applyFill="1" applyBorder="1"/>
    <xf numFmtId="0" fontId="14" fillId="0" borderId="13" xfId="0" applyFont="1" applyBorder="1"/>
    <xf numFmtId="17" fontId="14" fillId="9" borderId="11" xfId="0" quotePrefix="1" applyNumberFormat="1" applyFont="1" applyFill="1" applyBorder="1"/>
    <xf numFmtId="0" fontId="14" fillId="12" borderId="11" xfId="0" applyFont="1" applyFill="1" applyBorder="1"/>
    <xf numFmtId="0" fontId="14" fillId="0" borderId="0" xfId="0" applyFont="1" applyAlignment="1">
      <alignment horizontal="center"/>
    </xf>
    <xf numFmtId="3" fontId="14" fillId="0" borderId="11" xfId="0" applyNumberFormat="1" applyFont="1" applyBorder="1" applyAlignment="1">
      <alignment horizontal="center" vertical="center"/>
    </xf>
    <xf numFmtId="17" fontId="17" fillId="0" borderId="10" xfId="0" quotePrefix="1" applyNumberFormat="1" applyFont="1" applyBorder="1"/>
    <xf numFmtId="2" fontId="14" fillId="0" borderId="0" xfId="0" applyNumberFormat="1" applyFont="1"/>
    <xf numFmtId="2" fontId="14" fillId="7" borderId="11" xfId="0" quotePrefix="1" applyNumberFormat="1" applyFont="1" applyFill="1" applyBorder="1"/>
    <xf numFmtId="0" fontId="18" fillId="9" borderId="11" xfId="0" applyFont="1" applyFill="1" applyBorder="1"/>
    <xf numFmtId="10" fontId="14" fillId="0" borderId="0" xfId="0" applyNumberFormat="1" applyFont="1" applyAlignment="1">
      <alignment horizontal="center"/>
    </xf>
    <xf numFmtId="9" fontId="14" fillId="0" borderId="0" xfId="0" applyNumberFormat="1" applyFont="1" applyAlignment="1">
      <alignment horizontal="center"/>
    </xf>
    <xf numFmtId="17" fontId="14" fillId="13" borderId="11" xfId="0" quotePrefix="1" applyNumberFormat="1" applyFont="1" applyFill="1" applyBorder="1"/>
    <xf numFmtId="17" fontId="14" fillId="13" borderId="11" xfId="0" applyNumberFormat="1" applyFont="1" applyFill="1" applyBorder="1"/>
    <xf numFmtId="0" fontId="18" fillId="13" borderId="11" xfId="0" applyFont="1" applyFill="1" applyBorder="1"/>
    <xf numFmtId="0" fontId="14" fillId="13" borderId="11" xfId="0" applyFont="1" applyFill="1" applyBorder="1"/>
    <xf numFmtId="17" fontId="14" fillId="11" borderId="11" xfId="0" quotePrefix="1" applyNumberFormat="1" applyFont="1" applyFill="1" applyBorder="1"/>
    <xf numFmtId="17" fontId="14" fillId="11" borderId="11" xfId="0" applyNumberFormat="1" applyFont="1" applyFill="1" applyBorder="1"/>
    <xf numFmtId="0" fontId="16" fillId="2" borderId="11" xfId="0" applyFont="1" applyFill="1" applyBorder="1" applyAlignment="1">
      <alignment horizontal="center" vertical="center"/>
    </xf>
    <xf numFmtId="0" fontId="17" fillId="0" borderId="11" xfId="0" applyFont="1" applyBorder="1"/>
    <xf numFmtId="17" fontId="17" fillId="0" borderId="11" xfId="0" quotePrefix="1" applyNumberFormat="1" applyFont="1" applyBorder="1"/>
    <xf numFmtId="17" fontId="17" fillId="13" borderId="11" xfId="0" quotePrefix="1" applyNumberFormat="1" applyFont="1" applyFill="1" applyBorder="1"/>
    <xf numFmtId="0" fontId="17" fillId="13" borderId="11" xfId="0" applyFont="1" applyFill="1" applyBorder="1"/>
    <xf numFmtId="17" fontId="17" fillId="11" borderId="11" xfId="0" quotePrefix="1" applyNumberFormat="1" applyFont="1" applyFill="1" applyBorder="1"/>
    <xf numFmtId="0" fontId="1" fillId="6" borderId="11" xfId="0" applyFont="1" applyFill="1" applyBorder="1" applyAlignment="1">
      <alignment horizontal="center" vertical="center" wrapText="1"/>
    </xf>
    <xf numFmtId="0" fontId="13" fillId="12" borderId="10" xfId="0" applyFont="1" applyFill="1" applyBorder="1"/>
    <xf numFmtId="0" fontId="0" fillId="0" borderId="0" xfId="0" applyAlignment="1">
      <alignment vertical="center" wrapText="1"/>
    </xf>
    <xf numFmtId="0" fontId="9" fillId="5" borderId="10" xfId="0" applyFont="1" applyFill="1" applyBorder="1"/>
    <xf numFmtId="0" fontId="5" fillId="5" borderId="10" xfId="0" applyFont="1" applyFill="1" applyBorder="1"/>
    <xf numFmtId="0" fontId="9" fillId="5" borderId="10" xfId="0" applyFont="1" applyFill="1" applyBorder="1" applyAlignment="1">
      <alignment wrapText="1"/>
    </xf>
    <xf numFmtId="0" fontId="5" fillId="12" borderId="10" xfId="0" applyFont="1" applyFill="1" applyBorder="1" applyAlignment="1">
      <alignment wrapText="1"/>
    </xf>
    <xf numFmtId="0" fontId="5" fillId="5" borderId="10" xfId="0" applyFont="1" applyFill="1" applyBorder="1" applyAlignment="1">
      <alignment wrapText="1"/>
    </xf>
    <xf numFmtId="17" fontId="5" fillId="13" borderId="11" xfId="0" applyNumberFormat="1" applyFont="1" applyFill="1" applyBorder="1" applyAlignment="1">
      <alignment horizontal="left"/>
    </xf>
    <xf numFmtId="0" fontId="7" fillId="0" borderId="11" xfId="0" applyFont="1" applyBorder="1" applyAlignment="1">
      <alignment horizontal="center"/>
    </xf>
    <xf numFmtId="17" fontId="7" fillId="0" borderId="11" xfId="0" quotePrefix="1" applyNumberFormat="1" applyFont="1" applyBorder="1" applyAlignment="1">
      <alignment horizontal="center"/>
    </xf>
    <xf numFmtId="0" fontId="14" fillId="10" borderId="11" xfId="0" applyFont="1" applyFill="1" applyBorder="1"/>
    <xf numFmtId="165" fontId="5" fillId="0" borderId="1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 wrapText="1"/>
    </xf>
    <xf numFmtId="166" fontId="5" fillId="0" borderId="1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1" fontId="7" fillId="8" borderId="11" xfId="0" applyNumberFormat="1" applyFont="1" applyFill="1" applyBorder="1"/>
    <xf numFmtId="0" fontId="9" fillId="6" borderId="10" xfId="0" applyFont="1" applyFill="1" applyBorder="1" applyAlignment="1">
      <alignment wrapText="1"/>
    </xf>
    <xf numFmtId="0" fontId="9" fillId="11" borderId="11" xfId="0" applyFont="1" applyFill="1" applyBorder="1"/>
    <xf numFmtId="0" fontId="9" fillId="6" borderId="10" xfId="0" applyFont="1" applyFill="1" applyBorder="1"/>
    <xf numFmtId="0" fontId="13" fillId="4" borderId="10" xfId="0" applyFont="1" applyFill="1" applyBorder="1" applyAlignment="1">
      <alignment wrapText="1"/>
    </xf>
    <xf numFmtId="0" fontId="14" fillId="0" borderId="13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right"/>
    </xf>
    <xf numFmtId="0" fontId="14" fillId="0" borderId="11" xfId="0" applyFont="1" applyBorder="1" applyAlignment="1">
      <alignment horizontal="right" wrapText="1"/>
    </xf>
    <xf numFmtId="0" fontId="16" fillId="6" borderId="10" xfId="0" applyFont="1" applyFill="1" applyBorder="1"/>
    <xf numFmtId="0" fontId="13" fillId="6" borderId="10" xfId="0" applyFont="1" applyFill="1" applyBorder="1" applyAlignment="1">
      <alignment wrapText="1"/>
    </xf>
    <xf numFmtId="0" fontId="13" fillId="14" borderId="10" xfId="0" applyFont="1" applyFill="1" applyBorder="1"/>
    <xf numFmtId="0" fontId="14" fillId="0" borderId="11" xfId="0" applyFont="1" applyBorder="1" applyAlignment="1">
      <alignment horizontal="right"/>
    </xf>
    <xf numFmtId="0" fontId="1" fillId="13" borderId="11" xfId="0" applyFont="1" applyFill="1" applyBorder="1" applyAlignment="1">
      <alignment horizontal="left"/>
    </xf>
    <xf numFmtId="0" fontId="19" fillId="0" borderId="0" xfId="0" applyFont="1"/>
    <xf numFmtId="17" fontId="9" fillId="0" borderId="10" xfId="0" quotePrefix="1" applyNumberFormat="1" applyFont="1" applyBorder="1"/>
    <xf numFmtId="0" fontId="14" fillId="11" borderId="11" xfId="0" applyFont="1" applyFill="1" applyBorder="1"/>
    <xf numFmtId="17" fontId="14" fillId="7" borderId="11" xfId="0" applyNumberFormat="1" applyFont="1" applyFill="1" applyBorder="1" applyAlignment="1">
      <alignment wrapText="1"/>
    </xf>
    <xf numFmtId="0" fontId="16" fillId="6" borderId="11" xfId="0" applyFont="1" applyFill="1" applyBorder="1"/>
    <xf numFmtId="17" fontId="16" fillId="0" borderId="11" xfId="0" quotePrefix="1" applyNumberFormat="1" applyFont="1" applyBorder="1"/>
    <xf numFmtId="17" fontId="22" fillId="0" borderId="10" xfId="0" quotePrefix="1" applyNumberFormat="1" applyFont="1" applyBorder="1"/>
    <xf numFmtId="17" fontId="4" fillId="0" borderId="10" xfId="0" quotePrefix="1" applyNumberFormat="1" applyFont="1" applyBorder="1"/>
    <xf numFmtId="0" fontId="16" fillId="0" borderId="11" xfId="0" applyFont="1" applyBorder="1"/>
    <xf numFmtId="17" fontId="13" fillId="0" borderId="11" xfId="0" quotePrefix="1" applyNumberFormat="1" applyFont="1" applyBorder="1" applyAlignment="1">
      <alignment horizontal="center"/>
    </xf>
    <xf numFmtId="0" fontId="16" fillId="0" borderId="11" xfId="0" applyFont="1" applyBorder="1" applyAlignment="1">
      <alignment horizontal="right" wrapText="1"/>
    </xf>
    <xf numFmtId="17" fontId="23" fillId="11" borderId="11" xfId="0" quotePrefix="1" applyNumberFormat="1" applyFont="1" applyFill="1" applyBorder="1" applyAlignment="1">
      <alignment horizontal="center"/>
    </xf>
    <xf numFmtId="0" fontId="23" fillId="11" borderId="11" xfId="0" applyFont="1" applyFill="1" applyBorder="1"/>
    <xf numFmtId="0" fontId="7" fillId="11" borderId="11" xfId="0" applyFont="1" applyFill="1" applyBorder="1" applyAlignment="1">
      <alignment horizontal="center"/>
    </xf>
    <xf numFmtId="17" fontId="7" fillId="11" borderId="11" xfId="0" quotePrefix="1" applyNumberFormat="1" applyFont="1" applyFill="1" applyBorder="1" applyAlignment="1">
      <alignment horizontal="center"/>
    </xf>
    <xf numFmtId="0" fontId="24" fillId="13" borderId="11" xfId="0" applyFont="1" applyFill="1" applyBorder="1" applyAlignment="1">
      <alignment horizontal="center"/>
    </xf>
    <xf numFmtId="17" fontId="14" fillId="10" borderId="11" xfId="0" applyNumberFormat="1" applyFont="1" applyFill="1" applyBorder="1"/>
    <xf numFmtId="0" fontId="25" fillId="0" borderId="11" xfId="0" applyFont="1" applyBorder="1" applyAlignment="1">
      <alignment wrapText="1"/>
    </xf>
    <xf numFmtId="0" fontId="17" fillId="0" borderId="11" xfId="0" applyFont="1" applyBorder="1" applyAlignment="1">
      <alignment wrapText="1"/>
    </xf>
    <xf numFmtId="0" fontId="14" fillId="0" borderId="11" xfId="0" quotePrefix="1" applyFont="1" applyBorder="1" applyAlignment="1">
      <alignment horizontal="center"/>
    </xf>
    <xf numFmtId="0" fontId="1" fillId="2" borderId="0" xfId="0" applyFont="1" applyFill="1"/>
    <xf numFmtId="14" fontId="2" fillId="3" borderId="1" xfId="0" applyNumberFormat="1" applyFont="1" applyFill="1" applyBorder="1" applyAlignment="1">
      <alignment horizontal="left"/>
    </xf>
    <xf numFmtId="0" fontId="5" fillId="2" borderId="11" xfId="0" applyFont="1" applyFill="1" applyBorder="1" applyAlignment="1">
      <alignment horizontal="center"/>
    </xf>
    <xf numFmtId="0" fontId="25" fillId="0" borderId="11" xfId="0" applyFont="1" applyBorder="1" applyAlignment="1">
      <alignment horizontal="center" wrapText="1"/>
    </xf>
    <xf numFmtId="0" fontId="1" fillId="2" borderId="0" xfId="0" applyFont="1" applyFill="1"/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10" xfId="0" applyFont="1" applyFill="1" applyBorder="1" applyAlignment="1">
      <alignment horizontal="left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3" fontId="5" fillId="0" borderId="12" xfId="0" applyNumberFormat="1" applyFont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4" fillId="5" borderId="12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3" fontId="4" fillId="5" borderId="12" xfId="0" applyNumberFormat="1" applyFont="1" applyFill="1" applyBorder="1" applyAlignment="1">
      <alignment horizontal="center"/>
    </xf>
    <xf numFmtId="3" fontId="4" fillId="5" borderId="10" xfId="0" applyNumberFormat="1" applyFont="1" applyFill="1" applyBorder="1" applyAlignment="1">
      <alignment horizontal="center"/>
    </xf>
    <xf numFmtId="165" fontId="5" fillId="0" borderId="12" xfId="0" applyNumberFormat="1" applyFont="1" applyBorder="1" applyAlignment="1">
      <alignment horizontal="center" vertical="center"/>
    </xf>
    <xf numFmtId="165" fontId="5" fillId="0" borderId="10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3" fillId="3" borderId="17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1">
    <pageSetUpPr fitToPage="1"/>
  </sheetPr>
  <dimension ref="A1:U82"/>
  <sheetViews>
    <sheetView zoomScaleNormal="100" workbookViewId="0">
      <pane ySplit="2" topLeftCell="A39" activePane="bottomLeft" state="frozen"/>
      <selection pane="bottomLeft" activeCell="D1" sqref="D1"/>
    </sheetView>
  </sheetViews>
  <sheetFormatPr defaultRowHeight="15" x14ac:dyDescent="0.25"/>
  <cols>
    <col min="1" max="1" width="11.7109375" customWidth="1"/>
    <col min="2" max="2" width="12.28515625" customWidth="1"/>
    <col min="3" max="3" width="11.85546875" customWidth="1"/>
    <col min="4" max="4" width="34.28515625" bestFit="1" customWidth="1"/>
    <col min="5" max="5" width="22.42578125" customWidth="1"/>
    <col min="6" max="6" width="12.5703125" customWidth="1"/>
    <col min="7" max="7" width="13.85546875" customWidth="1"/>
    <col min="8" max="8" width="14.7109375" customWidth="1"/>
    <col min="9" max="9" width="13.7109375" customWidth="1"/>
    <col min="10" max="10" width="14.85546875" customWidth="1"/>
    <col min="11" max="11" width="18.28515625" customWidth="1"/>
    <col min="12" max="12" width="10.28515625" customWidth="1"/>
    <col min="13" max="15" width="10.140625" customWidth="1"/>
    <col min="16" max="16" width="7.85546875" customWidth="1"/>
    <col min="17" max="17" width="8" customWidth="1"/>
    <col min="18" max="18" width="8.5703125" customWidth="1"/>
    <col min="19" max="19" width="8" customWidth="1"/>
    <col min="21" max="21" width="10" bestFit="1" customWidth="1"/>
  </cols>
  <sheetData>
    <row r="1" spans="1:21" ht="27" thickBot="1" x14ac:dyDescent="0.45">
      <c r="A1" s="189" t="s">
        <v>0</v>
      </c>
      <c r="B1" s="189"/>
      <c r="C1" s="189"/>
      <c r="D1" s="1">
        <v>46161</v>
      </c>
      <c r="E1" s="190"/>
      <c r="F1" s="3"/>
      <c r="G1" s="194" t="s">
        <v>130</v>
      </c>
      <c r="H1" s="195"/>
      <c r="I1" s="195"/>
      <c r="J1" s="196"/>
      <c r="K1" s="197" t="s">
        <v>1</v>
      </c>
      <c r="L1" s="198"/>
    </row>
    <row r="2" spans="1:21" ht="39" thickTop="1" x14ac:dyDescent="0.25">
      <c r="A2" s="6" t="s">
        <v>2</v>
      </c>
      <c r="B2" s="73" t="s">
        <v>38</v>
      </c>
      <c r="C2" s="7" t="s">
        <v>37</v>
      </c>
      <c r="D2" s="8" t="s">
        <v>3</v>
      </c>
      <c r="E2" s="8" t="s">
        <v>4</v>
      </c>
      <c r="F2" s="9" t="s">
        <v>30</v>
      </c>
      <c r="G2" s="8" t="s">
        <v>5</v>
      </c>
      <c r="H2" s="8" t="s">
        <v>6</v>
      </c>
      <c r="I2" s="8" t="s">
        <v>7</v>
      </c>
      <c r="J2" s="9" t="s">
        <v>8</v>
      </c>
      <c r="K2" s="8" t="s">
        <v>23</v>
      </c>
      <c r="L2" s="10" t="s">
        <v>9</v>
      </c>
      <c r="M2" s="11" t="s">
        <v>31</v>
      </c>
      <c r="N2" s="136" t="s">
        <v>32</v>
      </c>
      <c r="O2" s="54" t="s">
        <v>40</v>
      </c>
      <c r="P2" s="12" t="s">
        <v>10</v>
      </c>
      <c r="Q2" s="12" t="s">
        <v>11</v>
      </c>
      <c r="R2" s="12" t="s">
        <v>12</v>
      </c>
      <c r="S2" s="12" t="s">
        <v>13</v>
      </c>
      <c r="T2" s="67" t="s">
        <v>36</v>
      </c>
      <c r="U2" s="138"/>
    </row>
    <row r="3" spans="1:21" x14ac:dyDescent="0.25">
      <c r="A3" s="81"/>
      <c r="B3" s="118"/>
      <c r="C3" s="45"/>
      <c r="D3" s="70"/>
      <c r="E3" s="72"/>
      <c r="F3" s="167"/>
      <c r="G3" s="76"/>
      <c r="H3" s="76"/>
      <c r="I3" s="76"/>
      <c r="J3" s="76">
        <f t="shared" ref="J3:J5" si="0">F3-G3</f>
        <v>0</v>
      </c>
      <c r="K3" s="154"/>
      <c r="L3" s="63"/>
      <c r="M3" s="141"/>
      <c r="N3" s="156"/>
      <c r="O3" s="142"/>
      <c r="P3" s="16"/>
      <c r="Q3" s="18"/>
      <c r="R3" s="18"/>
      <c r="S3" s="16"/>
      <c r="T3" s="13"/>
      <c r="U3" s="119"/>
    </row>
    <row r="4" spans="1:21" x14ac:dyDescent="0.25">
      <c r="A4" s="81"/>
      <c r="B4" s="118"/>
      <c r="C4" s="45"/>
      <c r="D4" s="70"/>
      <c r="E4" s="72"/>
      <c r="F4" s="167"/>
      <c r="G4" s="76"/>
      <c r="H4" s="76"/>
      <c r="I4" s="76"/>
      <c r="J4" s="76">
        <f t="shared" si="0"/>
        <v>0</v>
      </c>
      <c r="K4" s="154"/>
      <c r="L4" s="63"/>
      <c r="M4" s="141"/>
      <c r="N4" s="156"/>
      <c r="O4" s="142"/>
      <c r="P4" s="16"/>
      <c r="Q4" s="18"/>
      <c r="R4" s="18"/>
      <c r="S4" s="16"/>
      <c r="T4" s="13"/>
      <c r="U4" s="119"/>
    </row>
    <row r="5" spans="1:21" x14ac:dyDescent="0.25">
      <c r="A5" s="81"/>
      <c r="B5" s="118"/>
      <c r="C5" s="45"/>
      <c r="D5" s="70"/>
      <c r="E5" s="72"/>
      <c r="F5" s="167"/>
      <c r="G5" s="76"/>
      <c r="H5" s="76"/>
      <c r="I5" s="76"/>
      <c r="J5" s="76">
        <f t="shared" si="0"/>
        <v>0</v>
      </c>
      <c r="K5" s="154"/>
      <c r="L5" s="63"/>
      <c r="M5" s="141"/>
      <c r="N5" s="156"/>
      <c r="O5" s="142"/>
      <c r="P5" s="16"/>
      <c r="Q5" s="18"/>
      <c r="R5" s="18"/>
      <c r="S5" s="16"/>
      <c r="T5" s="13"/>
      <c r="U5" s="119"/>
    </row>
    <row r="6" spans="1:21" x14ac:dyDescent="0.25">
      <c r="A6" s="19"/>
      <c r="B6" s="74"/>
      <c r="C6" s="96"/>
      <c r="D6" s="20" t="s">
        <v>21</v>
      </c>
      <c r="E6" s="97"/>
      <c r="F6" s="98"/>
      <c r="G6" s="98"/>
      <c r="H6" s="98"/>
      <c r="I6" s="98"/>
      <c r="J6" s="98"/>
      <c r="K6" s="21"/>
      <c r="L6" s="14"/>
      <c r="M6" s="143"/>
      <c r="N6" s="156"/>
      <c r="O6" s="53"/>
      <c r="P6" s="16"/>
      <c r="Q6" s="17"/>
      <c r="R6" s="17"/>
      <c r="S6" s="17"/>
      <c r="T6" s="13"/>
      <c r="U6" s="119"/>
    </row>
    <row r="7" spans="1:21" x14ac:dyDescent="0.25">
      <c r="A7" s="19"/>
      <c r="B7" s="74"/>
      <c r="C7" s="96"/>
      <c r="D7" s="20"/>
      <c r="E7" s="97"/>
      <c r="F7" s="98"/>
      <c r="G7" s="98"/>
      <c r="H7" s="98"/>
      <c r="I7" s="98"/>
      <c r="J7" s="98"/>
      <c r="K7" s="21"/>
      <c r="L7" s="14"/>
      <c r="M7" s="143"/>
      <c r="N7" s="15"/>
      <c r="O7" s="53"/>
      <c r="P7" s="16"/>
      <c r="Q7" s="17"/>
      <c r="R7" s="17"/>
      <c r="S7" s="17"/>
      <c r="T7" s="13"/>
      <c r="U7" s="119"/>
    </row>
    <row r="8" spans="1:21" x14ac:dyDescent="0.25">
      <c r="A8" s="112"/>
      <c r="B8" s="112"/>
      <c r="C8" s="99"/>
      <c r="D8" s="100"/>
      <c r="E8" s="97"/>
      <c r="F8" s="98"/>
      <c r="G8" s="98"/>
      <c r="H8" s="98"/>
      <c r="I8" s="98"/>
      <c r="J8" s="98"/>
      <c r="K8" s="21"/>
      <c r="L8" s="22"/>
      <c r="M8" s="143"/>
      <c r="N8" s="15"/>
      <c r="O8" s="53"/>
      <c r="P8" s="13"/>
      <c r="Q8" s="13"/>
      <c r="R8" s="13"/>
      <c r="S8" s="13"/>
      <c r="T8" s="13"/>
      <c r="U8" s="119"/>
    </row>
    <row r="9" spans="1:21" x14ac:dyDescent="0.25">
      <c r="A9" s="112"/>
      <c r="B9" s="112"/>
      <c r="C9" s="99"/>
      <c r="D9" s="100"/>
      <c r="E9" s="97"/>
      <c r="F9" s="98"/>
      <c r="G9" s="98"/>
      <c r="H9" s="98"/>
      <c r="I9" s="98"/>
      <c r="J9" s="98"/>
      <c r="K9" s="21"/>
      <c r="L9" s="22"/>
      <c r="M9" s="143"/>
      <c r="N9" s="15"/>
      <c r="O9" s="53"/>
      <c r="P9" s="13"/>
      <c r="Q9" s="13"/>
      <c r="R9" s="13"/>
      <c r="S9" s="13"/>
      <c r="T9" s="13"/>
      <c r="U9" s="119"/>
    </row>
    <row r="10" spans="1:21" x14ac:dyDescent="0.25">
      <c r="A10" s="113"/>
      <c r="B10" s="111"/>
      <c r="C10" s="70"/>
      <c r="D10" s="23" t="s">
        <v>15</v>
      </c>
      <c r="E10" s="51" t="s">
        <v>14</v>
      </c>
      <c r="F10" s="23">
        <f>SUM(F3:F9)</f>
        <v>0</v>
      </c>
      <c r="G10" s="23">
        <f>SUM(G3:G9)</f>
        <v>0</v>
      </c>
      <c r="H10" s="23"/>
      <c r="I10" s="23"/>
      <c r="J10" s="23">
        <f>F10-G10</f>
        <v>0</v>
      </c>
      <c r="K10" s="24" t="s">
        <v>16</v>
      </c>
      <c r="L10" s="25">
        <f>SUM(L3:L9)</f>
        <v>0</v>
      </c>
      <c r="M10" s="25">
        <f>SUM(M3:M9)</f>
        <v>0</v>
      </c>
      <c r="N10" s="25">
        <f>SUM(N3:N9)</f>
        <v>0</v>
      </c>
      <c r="O10" s="25">
        <f>SUM(O3:O9)</f>
        <v>0</v>
      </c>
      <c r="P10" s="26"/>
      <c r="Q10" s="26"/>
      <c r="R10" s="26"/>
      <c r="S10" s="26"/>
      <c r="T10" s="26"/>
      <c r="U10" s="119"/>
    </row>
    <row r="11" spans="1:21" x14ac:dyDescent="0.25">
      <c r="A11" s="81" t="s">
        <v>79</v>
      </c>
      <c r="B11" s="118" t="s">
        <v>59</v>
      </c>
      <c r="C11" s="45" t="s">
        <v>66</v>
      </c>
      <c r="D11" s="70" t="s">
        <v>98</v>
      </c>
      <c r="E11" s="72" t="s">
        <v>17</v>
      </c>
      <c r="F11" s="70">
        <v>1000</v>
      </c>
      <c r="G11" s="70"/>
      <c r="H11" s="76"/>
      <c r="I11" s="70"/>
      <c r="J11" s="70">
        <f t="shared" ref="J11:J13" si="1">F11-G11</f>
        <v>1000</v>
      </c>
      <c r="K11" s="154" t="s">
        <v>68</v>
      </c>
      <c r="L11" s="63"/>
      <c r="M11" s="139"/>
      <c r="N11" s="156">
        <v>1000</v>
      </c>
      <c r="O11" s="95"/>
      <c r="P11" s="18">
        <v>1E-3</v>
      </c>
      <c r="Q11" s="18">
        <v>3.3300000000000003E-2</v>
      </c>
      <c r="R11" s="18">
        <v>9.6600000000000005E-2</v>
      </c>
      <c r="S11" s="18">
        <v>0</v>
      </c>
      <c r="T11" s="26">
        <v>0</v>
      </c>
      <c r="U11" s="119"/>
    </row>
    <row r="12" spans="1:21" x14ac:dyDescent="0.25">
      <c r="A12" s="81" t="s">
        <v>79</v>
      </c>
      <c r="B12" s="118" t="s">
        <v>59</v>
      </c>
      <c r="C12" s="45" t="s">
        <v>66</v>
      </c>
      <c r="D12" s="70" t="s">
        <v>98</v>
      </c>
      <c r="E12" s="72" t="s">
        <v>17</v>
      </c>
      <c r="F12" s="70">
        <v>1000</v>
      </c>
      <c r="G12" s="70"/>
      <c r="H12" s="76"/>
      <c r="I12" s="70"/>
      <c r="J12" s="70">
        <f t="shared" si="1"/>
        <v>1000</v>
      </c>
      <c r="K12" s="154" t="s">
        <v>69</v>
      </c>
      <c r="L12" s="63"/>
      <c r="M12" s="139"/>
      <c r="N12" s="156">
        <v>1000</v>
      </c>
      <c r="O12" s="95"/>
      <c r="P12" s="18">
        <v>2E-3</v>
      </c>
      <c r="Q12" s="18">
        <v>0.04</v>
      </c>
      <c r="R12" s="18">
        <v>0.13</v>
      </c>
      <c r="S12" s="18">
        <v>0</v>
      </c>
      <c r="T12" s="26">
        <v>0</v>
      </c>
      <c r="U12" s="119"/>
    </row>
    <row r="13" spans="1:21" x14ac:dyDescent="0.25">
      <c r="A13" s="81" t="s">
        <v>79</v>
      </c>
      <c r="B13" s="118" t="s">
        <v>59</v>
      </c>
      <c r="C13" s="45" t="s">
        <v>66</v>
      </c>
      <c r="D13" s="70" t="s">
        <v>98</v>
      </c>
      <c r="E13" s="72" t="s">
        <v>17</v>
      </c>
      <c r="F13" s="70">
        <v>1000</v>
      </c>
      <c r="G13" s="70"/>
      <c r="H13" s="76"/>
      <c r="I13" s="70"/>
      <c r="J13" s="70">
        <f t="shared" si="1"/>
        <v>1000</v>
      </c>
      <c r="K13" s="154" t="s">
        <v>70</v>
      </c>
      <c r="L13" s="63"/>
      <c r="M13" s="139"/>
      <c r="N13" s="156">
        <v>1000</v>
      </c>
      <c r="O13" s="95"/>
      <c r="P13" s="18">
        <v>3.0000000000000001E-3</v>
      </c>
      <c r="Q13" s="18">
        <v>2.3300000000000001E-2</v>
      </c>
      <c r="R13" s="18">
        <v>0.1333</v>
      </c>
      <c r="S13" s="18">
        <v>0</v>
      </c>
      <c r="T13" s="26">
        <v>0</v>
      </c>
      <c r="U13" s="119"/>
    </row>
    <row r="14" spans="1:21" x14ac:dyDescent="0.25">
      <c r="A14" s="81" t="s">
        <v>79</v>
      </c>
      <c r="B14" s="118" t="s">
        <v>59</v>
      </c>
      <c r="C14" s="45" t="s">
        <v>66</v>
      </c>
      <c r="D14" s="70" t="s">
        <v>98</v>
      </c>
      <c r="E14" s="72" t="s">
        <v>17</v>
      </c>
      <c r="F14" s="70">
        <v>600</v>
      </c>
      <c r="G14" s="70"/>
      <c r="H14" s="76"/>
      <c r="I14" s="70"/>
      <c r="J14" s="70">
        <f>F14-G14</f>
        <v>600</v>
      </c>
      <c r="K14" s="154" t="s">
        <v>72</v>
      </c>
      <c r="L14" s="63"/>
      <c r="M14" s="139"/>
      <c r="N14" s="103">
        <v>600</v>
      </c>
      <c r="O14" s="95"/>
      <c r="P14" s="18">
        <v>1E-3</v>
      </c>
      <c r="Q14" s="18">
        <v>0.03</v>
      </c>
      <c r="R14" s="18">
        <v>8.6599999999999996E-2</v>
      </c>
      <c r="S14" s="18">
        <v>0</v>
      </c>
      <c r="T14" s="26">
        <v>0</v>
      </c>
      <c r="U14" s="119"/>
    </row>
    <row r="15" spans="1:21" x14ac:dyDescent="0.25">
      <c r="A15" s="81" t="s">
        <v>79</v>
      </c>
      <c r="B15" s="118" t="s">
        <v>59</v>
      </c>
      <c r="C15" s="45" t="s">
        <v>66</v>
      </c>
      <c r="D15" s="70" t="s">
        <v>98</v>
      </c>
      <c r="E15" s="72" t="s">
        <v>17</v>
      </c>
      <c r="F15" s="70">
        <v>596</v>
      </c>
      <c r="G15" s="70"/>
      <c r="H15" s="76"/>
      <c r="I15" s="70"/>
      <c r="J15" s="70">
        <f>F15-G15</f>
        <v>596</v>
      </c>
      <c r="K15" s="154" t="s">
        <v>73</v>
      </c>
      <c r="L15" s="63"/>
      <c r="M15" s="139"/>
      <c r="N15" s="103">
        <v>596</v>
      </c>
      <c r="O15" s="95"/>
      <c r="P15" s="18">
        <v>3.0000000000000001E-3</v>
      </c>
      <c r="Q15" s="18">
        <v>0.02</v>
      </c>
      <c r="R15" s="18">
        <v>0.15</v>
      </c>
      <c r="S15" s="18">
        <v>0</v>
      </c>
      <c r="T15" s="26">
        <v>0</v>
      </c>
      <c r="U15" s="119"/>
    </row>
    <row r="16" spans="1:21" x14ac:dyDescent="0.25">
      <c r="A16" s="81" t="s">
        <v>179</v>
      </c>
      <c r="B16" s="118" t="s">
        <v>169</v>
      </c>
      <c r="C16" s="45" t="s">
        <v>61</v>
      </c>
      <c r="D16" s="70" t="s">
        <v>98</v>
      </c>
      <c r="E16" s="72" t="s">
        <v>17</v>
      </c>
      <c r="F16" s="70">
        <v>977</v>
      </c>
      <c r="G16" s="70"/>
      <c r="H16" s="76"/>
      <c r="I16" s="70"/>
      <c r="J16" s="70">
        <f t="shared" ref="J16:J17" si="2">F16-G16</f>
        <v>977</v>
      </c>
      <c r="K16" s="154" t="s">
        <v>63</v>
      </c>
      <c r="L16" s="63"/>
      <c r="M16" s="139"/>
      <c r="N16" s="103">
        <v>977</v>
      </c>
      <c r="O16" s="95"/>
      <c r="P16" s="18">
        <v>2E-3</v>
      </c>
      <c r="Q16" s="18">
        <v>4.6600000000000003E-2</v>
      </c>
      <c r="R16" s="18">
        <v>0.12659999999999999</v>
      </c>
      <c r="S16" s="18">
        <v>0</v>
      </c>
      <c r="T16" s="26">
        <v>0</v>
      </c>
      <c r="U16" s="119"/>
    </row>
    <row r="17" spans="1:21" x14ac:dyDescent="0.25">
      <c r="A17" s="81"/>
      <c r="B17" s="118"/>
      <c r="C17" s="45"/>
      <c r="D17" s="70"/>
      <c r="E17" s="93"/>
      <c r="F17" s="167"/>
      <c r="G17" s="70"/>
      <c r="H17" s="76"/>
      <c r="I17" s="70"/>
      <c r="J17" s="177">
        <f t="shared" si="2"/>
        <v>0</v>
      </c>
      <c r="K17" s="154"/>
      <c r="L17" s="63"/>
      <c r="M17" s="139"/>
      <c r="N17" s="103"/>
      <c r="O17" s="95"/>
      <c r="P17" s="18"/>
      <c r="Q17" s="18"/>
      <c r="R17" s="18"/>
      <c r="S17" s="18"/>
      <c r="T17" s="26"/>
      <c r="U17" s="119"/>
    </row>
    <row r="18" spans="1:21" x14ac:dyDescent="0.25">
      <c r="A18" s="114"/>
      <c r="B18" s="78"/>
      <c r="C18" s="30"/>
      <c r="D18" s="31" t="s">
        <v>18</v>
      </c>
      <c r="E18" s="32"/>
      <c r="F18" s="104"/>
      <c r="G18" s="104"/>
      <c r="H18" s="104"/>
      <c r="I18" s="104"/>
      <c r="J18" s="104"/>
      <c r="K18" s="33"/>
      <c r="L18" s="27"/>
      <c r="M18" s="140"/>
      <c r="N18" s="103"/>
      <c r="O18" s="95"/>
      <c r="P18" s="18"/>
      <c r="Q18" s="18"/>
      <c r="R18" s="18"/>
      <c r="S18" s="18"/>
      <c r="T18" s="26"/>
      <c r="U18" s="119"/>
    </row>
    <row r="19" spans="1:21" x14ac:dyDescent="0.25">
      <c r="A19" s="114"/>
      <c r="B19" s="78"/>
      <c r="C19" s="30"/>
      <c r="D19" s="31"/>
      <c r="E19" s="32"/>
      <c r="F19" s="104"/>
      <c r="G19" s="104"/>
      <c r="H19" s="104"/>
      <c r="I19" s="104"/>
      <c r="J19" s="104"/>
      <c r="K19" s="33"/>
      <c r="L19" s="27"/>
      <c r="M19" s="140"/>
      <c r="N19" s="103"/>
      <c r="O19" s="95"/>
      <c r="P19" s="18"/>
      <c r="Q19" s="18"/>
      <c r="R19" s="18"/>
      <c r="S19" s="18"/>
      <c r="T19" s="26"/>
      <c r="U19" s="119"/>
    </row>
    <row r="20" spans="1:21" x14ac:dyDescent="0.25">
      <c r="A20" s="114"/>
      <c r="B20" s="78"/>
      <c r="C20" s="30"/>
      <c r="D20" s="31" t="s">
        <v>115</v>
      </c>
      <c r="E20" s="32"/>
      <c r="F20" s="104"/>
      <c r="G20" s="104">
        <v>3600</v>
      </c>
      <c r="H20" s="104"/>
      <c r="I20" s="104">
        <v>116</v>
      </c>
      <c r="J20" s="104"/>
      <c r="K20" s="33"/>
      <c r="L20" s="27"/>
      <c r="M20" s="140"/>
      <c r="N20" s="103"/>
      <c r="O20" s="95"/>
      <c r="P20" s="18"/>
      <c r="Q20" s="18"/>
      <c r="R20" s="18"/>
      <c r="S20" s="18"/>
      <c r="T20" s="26"/>
      <c r="U20" s="119"/>
    </row>
    <row r="21" spans="1:21" x14ac:dyDescent="0.25">
      <c r="A21" s="114"/>
      <c r="B21" s="78"/>
      <c r="C21" s="30"/>
      <c r="D21" s="31"/>
      <c r="E21" s="32"/>
      <c r="F21" s="104"/>
      <c r="G21" s="104"/>
      <c r="H21" s="104"/>
      <c r="I21" s="104"/>
      <c r="J21" s="104"/>
      <c r="K21" s="33"/>
      <c r="L21" s="27"/>
      <c r="M21" s="140"/>
      <c r="N21" s="103"/>
      <c r="O21" s="95"/>
      <c r="P21" s="18"/>
      <c r="Q21" s="18"/>
      <c r="R21" s="18"/>
      <c r="S21" s="18"/>
      <c r="T21" s="26"/>
      <c r="U21" s="119"/>
    </row>
    <row r="22" spans="1:21" x14ac:dyDescent="0.25">
      <c r="A22" s="114"/>
      <c r="B22" s="78"/>
      <c r="C22" s="30"/>
      <c r="D22" s="31"/>
      <c r="E22" s="32"/>
      <c r="F22" s="104"/>
      <c r="G22" s="104"/>
      <c r="H22" s="104"/>
      <c r="I22" s="104"/>
      <c r="J22" s="104"/>
      <c r="K22" s="33"/>
      <c r="L22" s="27"/>
      <c r="M22" s="140"/>
      <c r="N22" s="103"/>
      <c r="O22" s="95"/>
      <c r="P22" s="18"/>
      <c r="Q22" s="18"/>
      <c r="R22" s="18"/>
      <c r="S22" s="18"/>
      <c r="T22" s="26"/>
      <c r="U22" s="119"/>
    </row>
    <row r="23" spans="1:21" x14ac:dyDescent="0.25">
      <c r="A23" s="114"/>
      <c r="B23" s="78"/>
      <c r="C23" s="78"/>
      <c r="D23" s="121"/>
      <c r="E23" s="83"/>
      <c r="F23" s="104"/>
      <c r="G23" s="104"/>
      <c r="H23" s="110"/>
      <c r="I23" s="105"/>
      <c r="J23" s="104"/>
      <c r="K23" s="33"/>
      <c r="L23" s="27"/>
      <c r="M23" s="140"/>
      <c r="N23" s="103"/>
      <c r="O23" s="95"/>
      <c r="P23" s="18"/>
      <c r="Q23" s="18"/>
      <c r="R23" s="18"/>
      <c r="S23" s="18"/>
      <c r="T23" s="26"/>
      <c r="U23" s="119"/>
    </row>
    <row r="24" spans="1:21" x14ac:dyDescent="0.25">
      <c r="A24" s="70"/>
      <c r="B24" s="79"/>
      <c r="C24" s="79"/>
      <c r="D24" s="23" t="s">
        <v>15</v>
      </c>
      <c r="E24" s="51" t="s">
        <v>17</v>
      </c>
      <c r="F24" s="23">
        <f>SUM(F11:F17)</f>
        <v>5173</v>
      </c>
      <c r="G24" s="155">
        <f>SUM(G11:G23)</f>
        <v>3600</v>
      </c>
      <c r="H24" s="23"/>
      <c r="I24" s="23"/>
      <c r="J24" s="23">
        <f>F24-G24</f>
        <v>1573</v>
      </c>
      <c r="K24" s="24" t="s">
        <v>16</v>
      </c>
      <c r="L24" s="25">
        <f>SUM(L11:L23)</f>
        <v>0</v>
      </c>
      <c r="M24" s="25">
        <f>SUM(M11:M23)</f>
        <v>0</v>
      </c>
      <c r="N24" s="25">
        <f>SUM(N11:N17)</f>
        <v>5173</v>
      </c>
      <c r="O24" s="25">
        <f>SUM(O11:O23)</f>
        <v>0</v>
      </c>
      <c r="P24" s="26"/>
      <c r="Q24" s="26"/>
      <c r="R24" s="26"/>
      <c r="S24" s="26"/>
      <c r="T24" s="26"/>
      <c r="U24" s="119"/>
    </row>
    <row r="25" spans="1:21" x14ac:dyDescent="0.25">
      <c r="A25" s="81" t="s">
        <v>58</v>
      </c>
      <c r="B25" s="118" t="s">
        <v>59</v>
      </c>
      <c r="C25" s="45" t="s">
        <v>54</v>
      </c>
      <c r="D25" s="70" t="s">
        <v>98</v>
      </c>
      <c r="E25" s="72" t="s">
        <v>19</v>
      </c>
      <c r="F25" s="163"/>
      <c r="G25" s="76"/>
      <c r="H25" s="76"/>
      <c r="I25" s="76"/>
      <c r="J25" s="76">
        <f>F25-G25</f>
        <v>0</v>
      </c>
      <c r="K25" s="68" t="s">
        <v>60</v>
      </c>
      <c r="L25" s="63"/>
      <c r="M25" s="141"/>
      <c r="N25" s="156"/>
      <c r="O25" s="142"/>
      <c r="P25" s="16">
        <v>1E-3</v>
      </c>
      <c r="Q25" s="18">
        <v>0.01</v>
      </c>
      <c r="R25" s="18">
        <v>6.3299999999999995E-2</v>
      </c>
      <c r="S25" s="16">
        <v>0</v>
      </c>
      <c r="T25" s="13">
        <v>0</v>
      </c>
      <c r="U25" s="119"/>
    </row>
    <row r="26" spans="1:21" x14ac:dyDescent="0.25">
      <c r="A26" s="81" t="s">
        <v>58</v>
      </c>
      <c r="B26" s="118" t="s">
        <v>59</v>
      </c>
      <c r="C26" s="45" t="s">
        <v>54</v>
      </c>
      <c r="D26" s="70" t="s">
        <v>98</v>
      </c>
      <c r="E26" s="72" t="s">
        <v>19</v>
      </c>
      <c r="F26" s="163">
        <v>1000</v>
      </c>
      <c r="G26" s="70"/>
      <c r="H26" s="70"/>
      <c r="I26" s="70"/>
      <c r="J26" s="70">
        <f t="shared" ref="J26:J38" si="3">F26-G26</f>
        <v>1000</v>
      </c>
      <c r="K26" s="68" t="s">
        <v>75</v>
      </c>
      <c r="L26" s="63"/>
      <c r="M26" s="65"/>
      <c r="N26" s="158">
        <v>1000</v>
      </c>
      <c r="O26" s="95"/>
      <c r="P26" s="18">
        <v>0</v>
      </c>
      <c r="Q26" s="18">
        <v>2.3300000000000001E-2</v>
      </c>
      <c r="R26" s="18">
        <v>0.1133</v>
      </c>
      <c r="S26" s="18">
        <v>0</v>
      </c>
      <c r="T26" s="26">
        <v>0</v>
      </c>
      <c r="U26" s="119"/>
    </row>
    <row r="27" spans="1:21" x14ac:dyDescent="0.25">
      <c r="A27" s="81" t="s">
        <v>74</v>
      </c>
      <c r="B27" s="118" t="s">
        <v>59</v>
      </c>
      <c r="C27" s="45" t="s">
        <v>55</v>
      </c>
      <c r="D27" s="70" t="s">
        <v>98</v>
      </c>
      <c r="E27" s="72" t="s">
        <v>19</v>
      </c>
      <c r="F27" s="163">
        <v>700</v>
      </c>
      <c r="G27" s="70"/>
      <c r="H27" s="70"/>
      <c r="I27" s="70"/>
      <c r="J27" s="70">
        <f t="shared" si="3"/>
        <v>700</v>
      </c>
      <c r="K27" s="68" t="s">
        <v>67</v>
      </c>
      <c r="L27" s="63"/>
      <c r="M27" s="65"/>
      <c r="N27" s="158">
        <v>700</v>
      </c>
      <c r="O27" s="95"/>
      <c r="P27" s="18">
        <v>0</v>
      </c>
      <c r="Q27" s="18">
        <v>1.66E-2</v>
      </c>
      <c r="R27" s="18">
        <v>8.3299999999999999E-2</v>
      </c>
      <c r="S27" s="18">
        <v>0</v>
      </c>
      <c r="T27" s="26">
        <v>0</v>
      </c>
      <c r="U27" s="119"/>
    </row>
    <row r="28" spans="1:21" x14ac:dyDescent="0.25">
      <c r="A28" s="81" t="s">
        <v>79</v>
      </c>
      <c r="B28" s="118" t="s">
        <v>59</v>
      </c>
      <c r="C28" s="45" t="s">
        <v>66</v>
      </c>
      <c r="D28" s="70" t="s">
        <v>98</v>
      </c>
      <c r="E28" s="72" t="s">
        <v>19</v>
      </c>
      <c r="F28" s="163">
        <v>1000</v>
      </c>
      <c r="G28" s="70"/>
      <c r="H28" s="70"/>
      <c r="I28" s="70"/>
      <c r="J28" s="70">
        <f t="shared" si="3"/>
        <v>1000</v>
      </c>
      <c r="K28" s="68" t="s">
        <v>63</v>
      </c>
      <c r="L28" s="63"/>
      <c r="M28" s="65"/>
      <c r="N28" s="158">
        <v>1000</v>
      </c>
      <c r="O28" s="95"/>
      <c r="P28" s="18">
        <v>0</v>
      </c>
      <c r="Q28" s="18">
        <v>3.6600000000000001E-2</v>
      </c>
      <c r="R28" s="18">
        <v>8.3299999999999999E-2</v>
      </c>
      <c r="S28" s="18">
        <v>0</v>
      </c>
      <c r="T28" s="26">
        <v>0</v>
      </c>
      <c r="U28" s="119"/>
    </row>
    <row r="29" spans="1:21" x14ac:dyDescent="0.25">
      <c r="A29" s="81" t="s">
        <v>79</v>
      </c>
      <c r="B29" s="118" t="s">
        <v>59</v>
      </c>
      <c r="C29" s="45" t="s">
        <v>66</v>
      </c>
      <c r="D29" s="70" t="s">
        <v>98</v>
      </c>
      <c r="E29" s="72" t="s">
        <v>19</v>
      </c>
      <c r="F29" s="163">
        <v>1000</v>
      </c>
      <c r="G29" s="70"/>
      <c r="H29" s="70"/>
      <c r="I29" s="70"/>
      <c r="J29" s="70">
        <f t="shared" si="3"/>
        <v>1000</v>
      </c>
      <c r="K29" s="68" t="s">
        <v>71</v>
      </c>
      <c r="L29" s="63"/>
      <c r="M29" s="65"/>
      <c r="N29" s="158">
        <v>1000</v>
      </c>
      <c r="O29" s="95"/>
      <c r="P29" s="18">
        <v>0</v>
      </c>
      <c r="Q29" s="18">
        <v>2.3300000000000001E-2</v>
      </c>
      <c r="R29" s="18">
        <v>9.6600000000000005E-2</v>
      </c>
      <c r="S29" s="18">
        <v>0</v>
      </c>
      <c r="T29" s="26">
        <v>0</v>
      </c>
      <c r="U29" s="119"/>
    </row>
    <row r="30" spans="1:21" x14ac:dyDescent="0.25">
      <c r="A30" s="81" t="s">
        <v>79</v>
      </c>
      <c r="B30" s="118" t="s">
        <v>59</v>
      </c>
      <c r="C30" s="45" t="s">
        <v>66</v>
      </c>
      <c r="D30" s="70" t="s">
        <v>98</v>
      </c>
      <c r="E30" s="72" t="s">
        <v>19</v>
      </c>
      <c r="F30" s="163">
        <v>1000</v>
      </c>
      <c r="G30" s="70"/>
      <c r="H30" s="70"/>
      <c r="I30" s="70"/>
      <c r="J30" s="70">
        <f t="shared" si="3"/>
        <v>1000</v>
      </c>
      <c r="K30" s="68" t="s">
        <v>72</v>
      </c>
      <c r="L30" s="63"/>
      <c r="M30" s="65"/>
      <c r="N30" s="158">
        <v>1000</v>
      </c>
      <c r="O30" s="95"/>
      <c r="P30" s="18">
        <v>3.0000000000000001E-3</v>
      </c>
      <c r="Q30" s="18">
        <v>4.3299999999999998E-2</v>
      </c>
      <c r="R30" s="18">
        <v>0.1666</v>
      </c>
      <c r="S30" s="18">
        <v>0</v>
      </c>
      <c r="T30" s="26">
        <v>0</v>
      </c>
      <c r="U30" s="119"/>
    </row>
    <row r="31" spans="1:21" x14ac:dyDescent="0.25">
      <c r="A31" s="81" t="s">
        <v>79</v>
      </c>
      <c r="B31" s="118" t="s">
        <v>59</v>
      </c>
      <c r="C31" s="45" t="s">
        <v>66</v>
      </c>
      <c r="D31" s="70" t="s">
        <v>98</v>
      </c>
      <c r="E31" s="72" t="s">
        <v>19</v>
      </c>
      <c r="F31" s="163">
        <v>1000</v>
      </c>
      <c r="G31" s="70"/>
      <c r="H31" s="70"/>
      <c r="I31" s="70"/>
      <c r="J31" s="70">
        <f t="shared" si="3"/>
        <v>1000</v>
      </c>
      <c r="K31" s="68" t="s">
        <v>73</v>
      </c>
      <c r="L31" s="63"/>
      <c r="M31" s="65"/>
      <c r="N31" s="158">
        <v>1000</v>
      </c>
      <c r="O31" s="95"/>
      <c r="P31" s="18">
        <v>1E-3</v>
      </c>
      <c r="Q31" s="18">
        <v>1.66E-2</v>
      </c>
      <c r="R31" s="18">
        <v>0.12</v>
      </c>
      <c r="S31" s="18">
        <v>0</v>
      </c>
      <c r="T31" s="26">
        <v>0</v>
      </c>
      <c r="U31" s="119"/>
    </row>
    <row r="32" spans="1:21" x14ac:dyDescent="0.25">
      <c r="A32" s="81" t="s">
        <v>79</v>
      </c>
      <c r="B32" s="118" t="s">
        <v>59</v>
      </c>
      <c r="C32" s="45" t="s">
        <v>66</v>
      </c>
      <c r="D32" s="70" t="s">
        <v>98</v>
      </c>
      <c r="E32" s="72" t="s">
        <v>19</v>
      </c>
      <c r="F32" s="163">
        <v>1000</v>
      </c>
      <c r="G32" s="70"/>
      <c r="H32" s="70"/>
      <c r="I32" s="70"/>
      <c r="J32" s="70">
        <f t="shared" si="3"/>
        <v>1000</v>
      </c>
      <c r="K32" s="68" t="s">
        <v>92</v>
      </c>
      <c r="L32" s="63"/>
      <c r="M32" s="65"/>
      <c r="N32" s="158">
        <v>1000</v>
      </c>
      <c r="O32" s="95"/>
      <c r="P32" s="18">
        <v>2E-3</v>
      </c>
      <c r="Q32" s="18">
        <v>0.04</v>
      </c>
      <c r="R32" s="18">
        <v>0.1133</v>
      </c>
      <c r="S32" s="18">
        <v>0</v>
      </c>
      <c r="T32" s="26">
        <v>0</v>
      </c>
      <c r="U32" s="119"/>
    </row>
    <row r="33" spans="1:21" x14ac:dyDescent="0.25">
      <c r="A33" s="81" t="s">
        <v>79</v>
      </c>
      <c r="B33" s="118" t="s">
        <v>59</v>
      </c>
      <c r="C33" s="45" t="s">
        <v>66</v>
      </c>
      <c r="D33" s="70" t="s">
        <v>98</v>
      </c>
      <c r="E33" s="72" t="s">
        <v>19</v>
      </c>
      <c r="F33" s="163">
        <v>1000</v>
      </c>
      <c r="G33" s="70"/>
      <c r="H33" s="70"/>
      <c r="I33" s="70"/>
      <c r="J33" s="70">
        <f t="shared" si="3"/>
        <v>1000</v>
      </c>
      <c r="K33" s="68" t="s">
        <v>93</v>
      </c>
      <c r="L33" s="63"/>
      <c r="M33" s="65"/>
      <c r="N33" s="158">
        <v>1000</v>
      </c>
      <c r="O33" s="95"/>
      <c r="P33" s="18">
        <v>2E-3</v>
      </c>
      <c r="Q33" s="18">
        <v>3.6600000000000001E-2</v>
      </c>
      <c r="R33" s="18">
        <v>0.1</v>
      </c>
      <c r="S33" s="18">
        <v>0</v>
      </c>
      <c r="T33" s="26">
        <v>0</v>
      </c>
      <c r="U33" s="119"/>
    </row>
    <row r="34" spans="1:21" x14ac:dyDescent="0.25">
      <c r="A34" s="81" t="s">
        <v>79</v>
      </c>
      <c r="B34" s="118" t="s">
        <v>59</v>
      </c>
      <c r="C34" s="45" t="s">
        <v>66</v>
      </c>
      <c r="D34" s="70" t="s">
        <v>98</v>
      </c>
      <c r="E34" s="72" t="s">
        <v>19</v>
      </c>
      <c r="F34" s="163">
        <v>1000</v>
      </c>
      <c r="G34" s="70"/>
      <c r="H34" s="70"/>
      <c r="I34" s="70"/>
      <c r="J34" s="70">
        <f t="shared" si="3"/>
        <v>1000</v>
      </c>
      <c r="K34" s="68" t="s">
        <v>94</v>
      </c>
      <c r="L34" s="63"/>
      <c r="M34" s="65"/>
      <c r="N34" s="158">
        <v>1000</v>
      </c>
      <c r="O34" s="95"/>
      <c r="P34" s="18">
        <v>2E-3</v>
      </c>
      <c r="Q34" s="18">
        <v>0.04</v>
      </c>
      <c r="R34" s="18">
        <v>0.1333</v>
      </c>
      <c r="S34" s="18">
        <v>0</v>
      </c>
      <c r="T34" s="26">
        <v>0</v>
      </c>
      <c r="U34" s="119"/>
    </row>
    <row r="35" spans="1:21" x14ac:dyDescent="0.25">
      <c r="A35" s="81" t="s">
        <v>179</v>
      </c>
      <c r="B35" s="118" t="s">
        <v>169</v>
      </c>
      <c r="C35" s="45" t="s">
        <v>61</v>
      </c>
      <c r="D35" s="70" t="s">
        <v>98</v>
      </c>
      <c r="E35" s="72" t="s">
        <v>19</v>
      </c>
      <c r="F35" s="163">
        <v>1000</v>
      </c>
      <c r="G35" s="70"/>
      <c r="H35" s="70"/>
      <c r="I35" s="70"/>
      <c r="J35" s="70">
        <f t="shared" si="3"/>
        <v>1000</v>
      </c>
      <c r="K35" s="68" t="s">
        <v>63</v>
      </c>
      <c r="L35" s="63"/>
      <c r="M35" s="65"/>
      <c r="N35" s="158">
        <v>1000</v>
      </c>
      <c r="O35" s="95"/>
      <c r="P35" s="18">
        <v>1E-3</v>
      </c>
      <c r="Q35" s="18">
        <v>0.05</v>
      </c>
      <c r="R35" s="18">
        <v>0.11</v>
      </c>
      <c r="S35" s="18">
        <v>0</v>
      </c>
      <c r="T35" s="26">
        <v>0</v>
      </c>
      <c r="U35" s="119"/>
    </row>
    <row r="36" spans="1:21" x14ac:dyDescent="0.25">
      <c r="A36" s="81" t="s">
        <v>179</v>
      </c>
      <c r="B36" s="118" t="s">
        <v>169</v>
      </c>
      <c r="C36" s="45" t="s">
        <v>61</v>
      </c>
      <c r="D36" s="70" t="s">
        <v>98</v>
      </c>
      <c r="E36" s="72" t="s">
        <v>19</v>
      </c>
      <c r="F36" s="163">
        <v>670</v>
      </c>
      <c r="G36" s="70"/>
      <c r="H36" s="70"/>
      <c r="I36" s="70"/>
      <c r="J36" s="70">
        <f t="shared" si="3"/>
        <v>670</v>
      </c>
      <c r="K36" s="68" t="s">
        <v>64</v>
      </c>
      <c r="L36" s="63"/>
      <c r="M36" s="65"/>
      <c r="N36" s="158">
        <v>670</v>
      </c>
      <c r="O36" s="95"/>
      <c r="P36" s="18">
        <v>1E-3</v>
      </c>
      <c r="Q36" s="18">
        <v>0.05</v>
      </c>
      <c r="R36" s="18">
        <v>0.11</v>
      </c>
      <c r="S36" s="18">
        <v>0</v>
      </c>
      <c r="T36" s="26">
        <v>0</v>
      </c>
      <c r="U36" s="119"/>
    </row>
    <row r="37" spans="1:21" x14ac:dyDescent="0.25">
      <c r="A37" s="174"/>
      <c r="B37" s="175"/>
      <c r="C37" s="176"/>
      <c r="D37" s="177"/>
      <c r="E37" s="178"/>
      <c r="F37" s="179"/>
      <c r="G37" s="70"/>
      <c r="H37" s="70"/>
      <c r="I37" s="70"/>
      <c r="J37" s="70">
        <f t="shared" si="3"/>
        <v>0</v>
      </c>
      <c r="K37" s="154"/>
      <c r="L37" s="63"/>
      <c r="M37" s="65"/>
      <c r="N37" s="158"/>
      <c r="O37" s="95"/>
      <c r="P37" s="18"/>
      <c r="Q37" s="18"/>
      <c r="R37" s="18"/>
      <c r="S37" s="18"/>
      <c r="T37" s="26"/>
      <c r="U37" s="119"/>
    </row>
    <row r="38" spans="1:21" x14ac:dyDescent="0.25">
      <c r="A38" s="81"/>
      <c r="B38" s="118"/>
      <c r="C38" s="45"/>
      <c r="D38" s="70"/>
      <c r="E38" s="93"/>
      <c r="F38" s="70"/>
      <c r="G38" s="70"/>
      <c r="H38" s="70"/>
      <c r="I38" s="70"/>
      <c r="J38" s="70">
        <f t="shared" si="3"/>
        <v>0</v>
      </c>
      <c r="K38" s="154"/>
      <c r="L38" s="63"/>
      <c r="M38" s="65"/>
      <c r="N38" s="158"/>
      <c r="O38" s="95"/>
      <c r="P38" s="18"/>
      <c r="Q38" s="18"/>
      <c r="R38" s="18"/>
      <c r="S38" s="18"/>
      <c r="T38" s="26"/>
      <c r="U38" s="119"/>
    </row>
    <row r="39" spans="1:21" x14ac:dyDescent="0.25">
      <c r="A39" s="34"/>
      <c r="B39" s="35"/>
      <c r="C39" s="35"/>
      <c r="D39" s="36" t="s">
        <v>41</v>
      </c>
      <c r="E39" s="37"/>
      <c r="F39" s="147"/>
      <c r="G39" s="147"/>
      <c r="H39" s="147"/>
      <c r="I39" s="147"/>
      <c r="J39" s="106"/>
      <c r="K39" s="38"/>
      <c r="L39" s="63"/>
      <c r="M39" s="65"/>
      <c r="N39" s="66"/>
      <c r="O39" s="95"/>
      <c r="P39" s="18"/>
      <c r="Q39" s="18"/>
      <c r="R39" s="18"/>
      <c r="S39" s="18"/>
      <c r="T39" s="26"/>
      <c r="U39" s="119"/>
    </row>
    <row r="40" spans="1:21" x14ac:dyDescent="0.25">
      <c r="A40" s="34"/>
      <c r="B40" s="35"/>
      <c r="C40" s="35"/>
      <c r="D40" s="36"/>
      <c r="E40" s="37"/>
      <c r="F40" s="147"/>
      <c r="G40" s="147"/>
      <c r="H40" s="147"/>
      <c r="I40" s="147"/>
      <c r="J40" s="106"/>
      <c r="K40" s="38"/>
      <c r="L40" s="27"/>
      <c r="M40" s="28"/>
      <c r="N40" s="103"/>
      <c r="O40" s="95"/>
      <c r="P40" s="18"/>
      <c r="Q40" s="29"/>
      <c r="R40" s="29"/>
      <c r="S40" s="29"/>
      <c r="T40" s="26"/>
      <c r="U40" s="119"/>
    </row>
    <row r="41" spans="1:21" x14ac:dyDescent="0.25">
      <c r="A41" s="34"/>
      <c r="B41" s="35"/>
      <c r="C41" s="35"/>
      <c r="D41" s="36" t="s">
        <v>115</v>
      </c>
      <c r="E41" s="37"/>
      <c r="F41" s="147"/>
      <c r="G41" s="147"/>
      <c r="H41" s="147"/>
      <c r="I41" s="147">
        <v>116</v>
      </c>
      <c r="J41" s="106"/>
      <c r="K41" s="38"/>
      <c r="L41" s="27"/>
      <c r="M41" s="28"/>
      <c r="N41" s="103"/>
      <c r="O41" s="95"/>
      <c r="P41" s="18"/>
      <c r="Q41" s="29"/>
      <c r="R41" s="29"/>
      <c r="S41" s="29"/>
      <c r="T41" s="26"/>
      <c r="U41" s="119"/>
    </row>
    <row r="42" spans="1:21" x14ac:dyDescent="0.25">
      <c r="A42" s="34"/>
      <c r="B42" s="35"/>
      <c r="C42" s="35"/>
      <c r="D42" s="36"/>
      <c r="E42" s="37"/>
      <c r="F42" s="147"/>
      <c r="G42" s="147"/>
      <c r="H42" s="147"/>
      <c r="I42" s="147"/>
      <c r="J42" s="106"/>
      <c r="K42" s="38"/>
      <c r="L42" s="27"/>
      <c r="M42" s="28"/>
      <c r="N42" s="103"/>
      <c r="O42" s="95"/>
      <c r="P42" s="18"/>
      <c r="Q42" s="29"/>
      <c r="R42" s="29"/>
      <c r="S42" s="29"/>
      <c r="T42" s="26"/>
      <c r="U42" s="119"/>
    </row>
    <row r="43" spans="1:21" x14ac:dyDescent="0.25">
      <c r="A43" s="34"/>
      <c r="B43" s="35"/>
      <c r="C43" s="35"/>
      <c r="D43" s="36"/>
      <c r="E43" s="37"/>
      <c r="F43" s="147"/>
      <c r="G43" s="147"/>
      <c r="H43" s="147"/>
      <c r="I43" s="147"/>
      <c r="J43" s="106"/>
      <c r="K43" s="38"/>
      <c r="L43" s="27"/>
      <c r="M43" s="28"/>
      <c r="N43" s="103"/>
      <c r="O43" s="95"/>
      <c r="P43" s="18"/>
      <c r="Q43" s="29"/>
      <c r="R43" s="29"/>
      <c r="S43" s="29"/>
      <c r="T43" s="26"/>
      <c r="U43" s="119"/>
    </row>
    <row r="44" spans="1:21" x14ac:dyDescent="0.25">
      <c r="A44" s="34"/>
      <c r="B44" s="35"/>
      <c r="C44" s="35"/>
      <c r="D44" s="36"/>
      <c r="E44" s="37"/>
      <c r="F44" s="147"/>
      <c r="G44" s="147"/>
      <c r="H44" s="147"/>
      <c r="I44" s="147"/>
      <c r="J44" s="106"/>
      <c r="K44" s="38"/>
      <c r="L44" s="27"/>
      <c r="M44" s="28"/>
      <c r="N44" s="103"/>
      <c r="O44" s="95"/>
      <c r="P44" s="18"/>
      <c r="Q44" s="29"/>
      <c r="R44" s="29"/>
      <c r="S44" s="29"/>
      <c r="T44" s="26"/>
      <c r="U44" s="119"/>
    </row>
    <row r="45" spans="1:21" x14ac:dyDescent="0.25">
      <c r="A45" s="34"/>
      <c r="B45" s="35"/>
      <c r="C45" s="80"/>
      <c r="D45" s="36"/>
      <c r="E45" s="37"/>
      <c r="F45" s="147"/>
      <c r="G45" s="147"/>
      <c r="H45" s="147"/>
      <c r="I45" s="147"/>
      <c r="J45" s="106"/>
      <c r="K45" s="38"/>
      <c r="L45" s="101"/>
      <c r="M45" s="102"/>
      <c r="N45" s="103"/>
      <c r="O45" s="95"/>
      <c r="P45" s="26"/>
      <c r="Q45" s="26"/>
      <c r="R45" s="26"/>
      <c r="S45" s="26"/>
      <c r="T45" s="26"/>
      <c r="U45" s="119"/>
    </row>
    <row r="46" spans="1:21" x14ac:dyDescent="0.25">
      <c r="A46" s="70"/>
      <c r="B46" s="131"/>
      <c r="C46" s="70"/>
      <c r="D46" s="23" t="s">
        <v>15</v>
      </c>
      <c r="E46" s="24" t="s">
        <v>19</v>
      </c>
      <c r="F46" s="23">
        <f>SUM(F25:F38)</f>
        <v>10370</v>
      </c>
      <c r="G46" s="23">
        <f>SUM(G25:G45)</f>
        <v>0</v>
      </c>
      <c r="H46" s="23"/>
      <c r="I46" s="23"/>
      <c r="J46" s="23">
        <f>F46-G46</f>
        <v>10370</v>
      </c>
      <c r="K46" s="24" t="s">
        <v>16</v>
      </c>
      <c r="L46" s="25">
        <f>SUM(L25:L45)</f>
        <v>0</v>
      </c>
      <c r="M46" s="25">
        <f>SUM(M25:M45)</f>
        <v>0</v>
      </c>
      <c r="N46" s="25">
        <f>SUM(N25:N45)</f>
        <v>10370</v>
      </c>
      <c r="O46" s="25">
        <f>SUM(O25:O45)</f>
        <v>0</v>
      </c>
      <c r="P46" s="26"/>
      <c r="Q46" s="26"/>
      <c r="R46" s="26"/>
      <c r="S46" s="26"/>
      <c r="T46" s="26"/>
      <c r="U46" s="119"/>
    </row>
    <row r="47" spans="1:21" x14ac:dyDescent="0.25">
      <c r="A47" s="81"/>
      <c r="B47" s="118"/>
      <c r="C47" s="45"/>
      <c r="D47" s="70"/>
      <c r="E47" s="68"/>
      <c r="F47" s="58"/>
      <c r="G47" s="47"/>
      <c r="H47" s="76"/>
      <c r="I47" s="47"/>
      <c r="J47" s="70">
        <f t="shared" ref="J47:J54" si="4">F47-G47</f>
        <v>0</v>
      </c>
      <c r="K47" s="68"/>
      <c r="L47" s="63"/>
      <c r="M47" s="65"/>
      <c r="N47" s="66"/>
      <c r="O47" s="137"/>
      <c r="P47" s="18"/>
      <c r="Q47" s="18"/>
      <c r="R47" s="18"/>
      <c r="S47" s="18"/>
      <c r="T47" s="94"/>
      <c r="U47" s="123"/>
    </row>
    <row r="48" spans="1:21" x14ac:dyDescent="0.25">
      <c r="A48" s="124"/>
      <c r="B48" s="133"/>
      <c r="C48" s="125"/>
      <c r="D48" s="127"/>
      <c r="E48" s="87"/>
      <c r="F48" s="88"/>
      <c r="G48" s="91"/>
      <c r="H48" s="91"/>
      <c r="I48" s="91"/>
      <c r="J48" s="70">
        <f t="shared" si="4"/>
        <v>0</v>
      </c>
      <c r="K48" s="144"/>
      <c r="L48" s="63"/>
      <c r="M48" s="65"/>
      <c r="N48" s="107"/>
      <c r="O48" s="115"/>
      <c r="P48" s="18"/>
      <c r="Q48" s="18"/>
      <c r="R48" s="18"/>
      <c r="S48" s="18"/>
      <c r="T48" s="18"/>
      <c r="U48" s="122"/>
    </row>
    <row r="49" spans="1:21" x14ac:dyDescent="0.25">
      <c r="A49" s="127"/>
      <c r="B49" s="134"/>
      <c r="C49" s="125"/>
      <c r="D49" s="127"/>
      <c r="E49" s="87"/>
      <c r="F49" s="88"/>
      <c r="G49" s="91"/>
      <c r="H49" s="91"/>
      <c r="I49" s="91"/>
      <c r="J49" s="70">
        <f t="shared" si="4"/>
        <v>0</v>
      </c>
      <c r="K49" s="90"/>
      <c r="L49" s="56"/>
      <c r="M49" s="65"/>
      <c r="N49" s="107"/>
      <c r="O49" s="115"/>
      <c r="P49" s="18"/>
      <c r="Q49" s="18"/>
      <c r="R49" s="18"/>
      <c r="S49" s="18"/>
      <c r="T49" s="18"/>
      <c r="U49" s="123"/>
    </row>
    <row r="50" spans="1:21" x14ac:dyDescent="0.25">
      <c r="A50" s="128"/>
      <c r="B50" s="135"/>
      <c r="C50" s="129"/>
      <c r="D50" s="23" t="s">
        <v>15</v>
      </c>
      <c r="E50" s="52" t="s">
        <v>22</v>
      </c>
      <c r="F50" s="23">
        <f>SUM(F47:F49)</f>
        <v>0</v>
      </c>
      <c r="G50" s="23">
        <f>SUM(G47:G49)</f>
        <v>0</v>
      </c>
      <c r="H50" s="23"/>
      <c r="I50" s="23"/>
      <c r="J50" s="23">
        <f>F50-G50</f>
        <v>0</v>
      </c>
      <c r="K50" s="24" t="s">
        <v>16</v>
      </c>
      <c r="L50" s="25">
        <f>SUM(L47:L49)</f>
        <v>0</v>
      </c>
      <c r="M50" s="25">
        <f>SUM(M47:M47)</f>
        <v>0</v>
      </c>
      <c r="N50" s="25">
        <f>SUM(N47:N49)</f>
        <v>0</v>
      </c>
      <c r="O50" s="25">
        <f>SUM(O47:O49)</f>
        <v>0</v>
      </c>
      <c r="P50" s="18"/>
      <c r="Q50" s="18"/>
      <c r="R50" s="18"/>
      <c r="S50" s="18"/>
      <c r="T50" s="18"/>
      <c r="U50" s="123"/>
    </row>
    <row r="51" spans="1:21" x14ac:dyDescent="0.25">
      <c r="A51" s="128" t="s">
        <v>79</v>
      </c>
      <c r="B51" s="77" t="s">
        <v>97</v>
      </c>
      <c r="C51" s="129" t="s">
        <v>133</v>
      </c>
      <c r="D51" s="171" t="s">
        <v>76</v>
      </c>
      <c r="E51" s="180" t="s">
        <v>134</v>
      </c>
      <c r="F51" s="181">
        <v>560</v>
      </c>
      <c r="G51" s="47"/>
      <c r="H51" s="47"/>
      <c r="I51" s="47"/>
      <c r="J51" s="171">
        <f t="shared" si="4"/>
        <v>560</v>
      </c>
      <c r="K51" s="75" t="s">
        <v>78</v>
      </c>
      <c r="L51" s="63"/>
      <c r="M51" s="65"/>
      <c r="N51" s="107">
        <v>560</v>
      </c>
      <c r="O51" s="115"/>
      <c r="P51" s="18">
        <v>0.35899999999999999</v>
      </c>
      <c r="Q51" s="18">
        <v>0.09</v>
      </c>
      <c r="R51" s="18">
        <v>0.37</v>
      </c>
      <c r="S51" s="18">
        <v>0</v>
      </c>
      <c r="T51" s="18">
        <v>2.5999999999999999E-2</v>
      </c>
      <c r="U51" s="123"/>
    </row>
    <row r="52" spans="1:21" x14ac:dyDescent="0.25">
      <c r="A52" s="128"/>
      <c r="B52" s="135"/>
      <c r="C52" s="129"/>
      <c r="D52" s="47"/>
      <c r="E52" s="183"/>
      <c r="F52" s="47"/>
      <c r="G52" s="47"/>
      <c r="H52" s="47"/>
      <c r="I52" s="47"/>
      <c r="J52" s="171">
        <f t="shared" si="4"/>
        <v>0</v>
      </c>
      <c r="K52" s="182"/>
      <c r="L52" s="63"/>
      <c r="M52" s="65"/>
      <c r="N52" s="107"/>
      <c r="O52" s="115"/>
      <c r="P52" s="18"/>
      <c r="Q52" s="18"/>
      <c r="R52" s="18"/>
      <c r="S52" s="18"/>
      <c r="T52" s="18"/>
      <c r="U52" s="123"/>
    </row>
    <row r="53" spans="1:21" x14ac:dyDescent="0.25">
      <c r="A53" s="128"/>
      <c r="B53" s="135"/>
      <c r="C53" s="129"/>
      <c r="D53" s="47"/>
      <c r="E53" s="183"/>
      <c r="F53" s="47"/>
      <c r="G53" s="47"/>
      <c r="H53" s="47"/>
      <c r="I53" s="47"/>
      <c r="J53" s="171">
        <f t="shared" si="4"/>
        <v>0</v>
      </c>
      <c r="K53" s="182"/>
      <c r="L53" s="63"/>
      <c r="M53" s="65"/>
      <c r="N53" s="107"/>
      <c r="O53" s="115"/>
      <c r="P53" s="18"/>
      <c r="Q53" s="18"/>
      <c r="R53" s="18"/>
      <c r="S53" s="18"/>
      <c r="T53" s="18"/>
      <c r="U53" s="123"/>
    </row>
    <row r="54" spans="1:21" x14ac:dyDescent="0.25">
      <c r="A54" s="128" t="s">
        <v>79</v>
      </c>
      <c r="B54" s="77" t="s">
        <v>97</v>
      </c>
      <c r="C54" s="129" t="s">
        <v>133</v>
      </c>
      <c r="D54" s="171" t="s">
        <v>76</v>
      </c>
      <c r="E54" s="180" t="s">
        <v>135</v>
      </c>
      <c r="F54" s="157">
        <v>415</v>
      </c>
      <c r="G54" s="47"/>
      <c r="H54" s="47"/>
      <c r="I54" s="47"/>
      <c r="J54" s="171">
        <f t="shared" si="4"/>
        <v>415</v>
      </c>
      <c r="K54" s="75" t="s">
        <v>78</v>
      </c>
      <c r="L54" s="63"/>
      <c r="M54" s="65"/>
      <c r="N54" s="107">
        <v>415</v>
      </c>
      <c r="O54" s="115"/>
      <c r="P54" s="18">
        <v>0.42599999999999999</v>
      </c>
      <c r="Q54" s="18">
        <v>0.12</v>
      </c>
      <c r="R54" s="18">
        <v>0.28999999999999998</v>
      </c>
      <c r="S54" s="18">
        <v>0</v>
      </c>
      <c r="T54" s="18">
        <v>1.7999999999999999E-2</v>
      </c>
      <c r="U54" s="123"/>
    </row>
    <row r="55" spans="1:21" x14ac:dyDescent="0.25">
      <c r="A55" s="128"/>
      <c r="B55" s="135"/>
      <c r="C55" s="129"/>
      <c r="D55" s="46"/>
      <c r="E55" s="146"/>
      <c r="F55" s="46"/>
      <c r="G55" s="46"/>
      <c r="H55" s="46"/>
      <c r="I55" s="46"/>
      <c r="J55" s="70">
        <f t="shared" ref="J55" si="5">F55-G55</f>
        <v>0</v>
      </c>
      <c r="K55" s="145"/>
      <c r="L55" s="63"/>
      <c r="M55" s="65"/>
      <c r="N55" s="107"/>
      <c r="O55" s="115"/>
      <c r="P55" s="18"/>
      <c r="Q55" s="18"/>
      <c r="R55" s="18"/>
      <c r="S55" s="18"/>
      <c r="T55" s="18"/>
      <c r="U55" s="123"/>
    </row>
    <row r="56" spans="1:21" x14ac:dyDescent="0.25">
      <c r="A56" s="70"/>
      <c r="B56" s="131"/>
      <c r="C56" s="70"/>
      <c r="D56" s="23" t="s">
        <v>15</v>
      </c>
      <c r="E56" s="52" t="s">
        <v>39</v>
      </c>
      <c r="F56" s="25">
        <f>SUM(F51:F55)</f>
        <v>975</v>
      </c>
      <c r="G56" s="25">
        <f>SUM(G55:G55)</f>
        <v>0</v>
      </c>
      <c r="H56" s="23"/>
      <c r="I56" s="23"/>
      <c r="J56" s="25">
        <f>F56-G56</f>
        <v>975</v>
      </c>
      <c r="K56" s="24" t="s">
        <v>16</v>
      </c>
      <c r="L56" s="25">
        <f>SUM(L55:L55)</f>
        <v>0</v>
      </c>
      <c r="M56" s="25">
        <f>SUM(M47:M55)</f>
        <v>0</v>
      </c>
      <c r="N56" s="25">
        <f>SUM(N51:N55)</f>
        <v>975</v>
      </c>
      <c r="O56" s="25">
        <f>SUM(O47:O55)</f>
        <v>0</v>
      </c>
      <c r="P56" s="26"/>
      <c r="Q56" s="26"/>
      <c r="R56" s="26"/>
      <c r="S56" s="26"/>
      <c r="T56" s="26"/>
      <c r="U56" s="111"/>
    </row>
    <row r="57" spans="1:21" x14ac:dyDescent="0.25">
      <c r="A57" s="70"/>
      <c r="B57" s="131"/>
      <c r="C57" s="81"/>
      <c r="D57" s="70"/>
      <c r="E57" s="108"/>
      <c r="F57" s="70"/>
      <c r="G57" s="70"/>
      <c r="H57" s="70"/>
      <c r="I57" s="70"/>
      <c r="J57" s="70"/>
      <c r="K57" s="70"/>
      <c r="L57" s="101"/>
      <c r="M57" s="109"/>
      <c r="N57" s="107"/>
      <c r="O57" s="115"/>
      <c r="P57" s="26"/>
      <c r="Q57" s="26"/>
      <c r="R57" s="26"/>
      <c r="S57" s="26"/>
      <c r="T57" s="26"/>
      <c r="U57" s="111"/>
    </row>
    <row r="58" spans="1:21" x14ac:dyDescent="0.25">
      <c r="A58" s="70"/>
      <c r="B58" s="131"/>
      <c r="C58" s="70"/>
      <c r="D58" s="70"/>
      <c r="E58" s="70"/>
      <c r="F58" s="70"/>
      <c r="G58" s="70"/>
      <c r="H58" s="70"/>
      <c r="I58" s="70"/>
      <c r="J58" s="70"/>
      <c r="K58" s="70"/>
      <c r="L58" s="101"/>
      <c r="M58" s="109"/>
      <c r="N58" s="107"/>
      <c r="O58" s="115"/>
      <c r="P58" s="26"/>
      <c r="Q58" s="26"/>
      <c r="R58" s="26"/>
      <c r="S58" s="26"/>
      <c r="T58" s="70"/>
      <c r="U58" s="111"/>
    </row>
    <row r="59" spans="1:21" x14ac:dyDescent="0.25">
      <c r="A59" s="70"/>
      <c r="B59" s="131"/>
      <c r="C59" s="70"/>
      <c r="D59" s="199" t="s">
        <v>24</v>
      </c>
      <c r="E59" s="200"/>
      <c r="F59" s="39">
        <f>SUM(F10,F24,F46,F50,F56)</f>
        <v>16518</v>
      </c>
      <c r="G59" s="39">
        <f>SUM(G10,G24,G46,G50,G56)</f>
        <v>3600</v>
      </c>
      <c r="H59" s="39"/>
      <c r="I59" s="39"/>
      <c r="J59" s="39">
        <f>SUM(F59-G59)</f>
        <v>12918</v>
      </c>
      <c r="K59" s="40" t="s">
        <v>16</v>
      </c>
      <c r="L59" s="39">
        <f>SUM(L10,L24,L46,L50,L56)</f>
        <v>0</v>
      </c>
      <c r="M59" s="39">
        <f>SUM(M10,M24,M46,M50,M56)</f>
        <v>0</v>
      </c>
      <c r="N59" s="39">
        <f>SUM(N10,N24,N46,N50,N56)</f>
        <v>16518</v>
      </c>
      <c r="O59" s="39">
        <f>SUM(O10,O24,O46,O50,O56)</f>
        <v>0</v>
      </c>
      <c r="P59" s="26"/>
      <c r="Q59" s="26"/>
      <c r="R59" s="26"/>
      <c r="S59" s="26"/>
      <c r="T59" s="70"/>
      <c r="U59" s="111"/>
    </row>
    <row r="60" spans="1:21" x14ac:dyDescent="0.25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6"/>
      <c r="Q60" s="116"/>
      <c r="R60" s="116"/>
      <c r="S60" s="116"/>
      <c r="T60" s="111"/>
      <c r="U60" s="111"/>
    </row>
    <row r="61" spans="1:21" ht="18" x14ac:dyDescent="0.25">
      <c r="A61" s="111"/>
      <c r="B61" s="111"/>
      <c r="C61" s="111"/>
      <c r="D61" s="41"/>
      <c r="E61" s="111"/>
      <c r="F61" s="111"/>
      <c r="G61" s="111"/>
      <c r="H61" s="111"/>
      <c r="I61" s="111"/>
      <c r="J61" s="111"/>
      <c r="K61" s="42" t="s">
        <v>20</v>
      </c>
      <c r="L61" s="42">
        <f>F59-L59-M59-N59-O59</f>
        <v>0</v>
      </c>
      <c r="M61" s="111"/>
      <c r="N61" s="111"/>
      <c r="O61" s="111"/>
      <c r="P61" s="111"/>
      <c r="Q61" s="111"/>
      <c r="R61" s="111"/>
      <c r="S61" s="111"/>
      <c r="T61" s="111"/>
      <c r="U61" s="111"/>
    </row>
    <row r="62" spans="1:21" x14ac:dyDescent="0.25">
      <c r="A62" s="111"/>
      <c r="B62" s="111"/>
      <c r="C62" s="111"/>
      <c r="D62" s="43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</row>
    <row r="63" spans="1:21" x14ac:dyDescent="0.25">
      <c r="A63" s="111"/>
      <c r="B63" s="111"/>
      <c r="C63" s="111"/>
      <c r="D63" s="43"/>
      <c r="E63" s="111"/>
      <c r="F63" s="111"/>
      <c r="G63" s="48"/>
      <c r="H63" s="48"/>
      <c r="I63" s="48"/>
      <c r="J63" s="48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</row>
    <row r="64" spans="1:21" x14ac:dyDescent="0.25">
      <c r="A64" s="111"/>
      <c r="B64" s="111"/>
      <c r="C64" s="111"/>
      <c r="D64" s="43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</row>
    <row r="65" spans="1:21" x14ac:dyDescent="0.25">
      <c r="A65" s="111"/>
      <c r="B65" s="111"/>
      <c r="C65" s="111"/>
      <c r="D65" s="43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</row>
    <row r="66" spans="1:21" x14ac:dyDescent="0.25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</row>
    <row r="67" spans="1:21" x14ac:dyDescent="0.25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</row>
    <row r="68" spans="1:21" ht="33" x14ac:dyDescent="0.45">
      <c r="A68" s="111"/>
      <c r="B68" s="111"/>
      <c r="C68" s="111"/>
      <c r="D68" s="213" t="s">
        <v>46</v>
      </c>
      <c r="E68" s="214"/>
      <c r="F68" s="214"/>
      <c r="G68" s="214"/>
      <c r="H68" s="214"/>
      <c r="I68" s="214"/>
      <c r="J68" s="214"/>
      <c r="K68" s="214"/>
      <c r="L68" s="214"/>
      <c r="M68" s="215"/>
      <c r="N68" s="111"/>
      <c r="O68" s="111"/>
      <c r="P68" s="111"/>
      <c r="Q68" s="111"/>
      <c r="R68" s="111"/>
      <c r="S68" s="111"/>
      <c r="T68" s="111"/>
      <c r="U68" s="111"/>
    </row>
    <row r="69" spans="1:21" x14ac:dyDescent="0.25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</row>
    <row r="70" spans="1:21" x14ac:dyDescent="0.25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</row>
    <row r="71" spans="1:21" x14ac:dyDescent="0.25">
      <c r="A71" s="208" t="s">
        <v>25</v>
      </c>
      <c r="B71" s="209"/>
      <c r="C71" s="210"/>
      <c r="D71" s="44" t="s">
        <v>26</v>
      </c>
      <c r="E71" s="59" t="s">
        <v>34</v>
      </c>
      <c r="F71" s="61" t="s">
        <v>33</v>
      </c>
      <c r="G71" s="208" t="s">
        <v>27</v>
      </c>
      <c r="H71" s="210"/>
      <c r="I71" s="208" t="s">
        <v>28</v>
      </c>
      <c r="J71" s="210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</row>
    <row r="72" spans="1:21" x14ac:dyDescent="0.25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211" t="s">
        <v>44</v>
      </c>
      <c r="M72" s="212"/>
      <c r="N72" s="212"/>
      <c r="O72" s="212"/>
      <c r="P72" s="212"/>
      <c r="Q72" s="212"/>
      <c r="R72" s="212"/>
      <c r="S72" s="212"/>
      <c r="T72" s="212"/>
      <c r="U72" s="212"/>
    </row>
    <row r="73" spans="1:21" x14ac:dyDescent="0.25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30" t="s">
        <v>61</v>
      </c>
      <c r="M73" s="130"/>
      <c r="N73" s="130"/>
      <c r="O73" s="130"/>
      <c r="P73" s="130"/>
      <c r="Q73" s="130"/>
      <c r="R73" s="130"/>
      <c r="S73" s="130"/>
      <c r="T73" s="130"/>
      <c r="U73" s="130"/>
    </row>
    <row r="74" spans="1:21" x14ac:dyDescent="0.25">
      <c r="A74" s="201" t="s">
        <v>54</v>
      </c>
      <c r="B74" s="202"/>
      <c r="C74" s="203"/>
      <c r="D74" s="84"/>
      <c r="E74" s="84">
        <v>51420</v>
      </c>
      <c r="F74" s="153">
        <v>0.42799999999999999</v>
      </c>
      <c r="G74" s="204">
        <f>E74*0.428</f>
        <v>22007.759999999998</v>
      </c>
      <c r="H74" s="205"/>
      <c r="I74" s="206">
        <v>22</v>
      </c>
      <c r="J74" s="207"/>
      <c r="K74" s="111"/>
      <c r="L74" s="70">
        <v>9390</v>
      </c>
      <c r="M74" s="70"/>
      <c r="N74" s="70"/>
      <c r="O74" s="70"/>
      <c r="P74" s="70"/>
      <c r="Q74" s="70"/>
      <c r="R74" s="70"/>
      <c r="S74" s="70"/>
      <c r="T74" s="70"/>
      <c r="U74" s="70"/>
    </row>
    <row r="75" spans="1:21" x14ac:dyDescent="0.25">
      <c r="A75" s="201" t="s">
        <v>55</v>
      </c>
      <c r="B75" s="202"/>
      <c r="C75" s="203"/>
      <c r="D75" s="84"/>
      <c r="E75" s="84">
        <v>38070</v>
      </c>
      <c r="F75" s="153">
        <v>0.33100000000000002</v>
      </c>
      <c r="G75" s="204">
        <f>E75*0.331</f>
        <v>12601.17</v>
      </c>
      <c r="H75" s="205"/>
      <c r="I75" s="206">
        <v>12</v>
      </c>
      <c r="J75" s="207"/>
      <c r="K75" s="111"/>
      <c r="L75" s="70">
        <v>12480</v>
      </c>
      <c r="M75" s="70"/>
      <c r="N75" s="70"/>
      <c r="O75" s="70"/>
      <c r="P75" s="70"/>
      <c r="Q75" s="70"/>
      <c r="R75" s="70"/>
      <c r="S75" s="70"/>
      <c r="T75" s="70"/>
      <c r="U75" s="70"/>
    </row>
    <row r="76" spans="1:21" x14ac:dyDescent="0.25">
      <c r="A76" s="201" t="s">
        <v>56</v>
      </c>
      <c r="B76" s="202"/>
      <c r="C76" s="203"/>
      <c r="D76" s="84"/>
      <c r="E76" s="84">
        <v>42100</v>
      </c>
      <c r="F76" s="153">
        <v>0.36899999999999999</v>
      </c>
      <c r="G76" s="204">
        <f>E76*0.369</f>
        <v>15534.9</v>
      </c>
      <c r="H76" s="205"/>
      <c r="I76" s="206">
        <v>15</v>
      </c>
      <c r="J76" s="207"/>
      <c r="K76" s="111"/>
      <c r="L76" s="70">
        <v>13240</v>
      </c>
      <c r="M76" s="70"/>
      <c r="N76" s="70"/>
      <c r="O76" s="70"/>
      <c r="P76" s="70"/>
      <c r="Q76" s="70"/>
      <c r="R76" s="70"/>
      <c r="S76" s="70"/>
      <c r="T76" s="70"/>
      <c r="U76" s="70"/>
    </row>
    <row r="77" spans="1:21" x14ac:dyDescent="0.25">
      <c r="A77" s="201" t="s">
        <v>61</v>
      </c>
      <c r="B77" s="202"/>
      <c r="C77" s="203"/>
      <c r="D77" s="84"/>
      <c r="E77" s="84">
        <v>64570</v>
      </c>
      <c r="F77" s="153">
        <v>0.48</v>
      </c>
      <c r="G77" s="204">
        <f>E77*0.48</f>
        <v>30993.599999999999</v>
      </c>
      <c r="H77" s="205"/>
      <c r="I77" s="216">
        <v>31</v>
      </c>
      <c r="J77" s="217"/>
      <c r="K77" s="111"/>
      <c r="L77" s="70"/>
      <c r="M77" s="70"/>
      <c r="N77" s="70"/>
      <c r="O77" s="70"/>
      <c r="P77" s="70"/>
      <c r="Q77" s="70"/>
      <c r="R77" s="70"/>
      <c r="S77" s="70"/>
      <c r="T77" s="70"/>
      <c r="U77" s="70"/>
    </row>
    <row r="78" spans="1:21" x14ac:dyDescent="0.25">
      <c r="A78" s="149"/>
      <c r="B78" s="150" t="s">
        <v>66</v>
      </c>
      <c r="C78" s="151"/>
      <c r="D78" s="148"/>
      <c r="E78" s="84">
        <v>81170</v>
      </c>
      <c r="F78" s="153">
        <v>0.43</v>
      </c>
      <c r="G78" s="204">
        <f>E78*0.43</f>
        <v>34903.1</v>
      </c>
      <c r="H78" s="205"/>
      <c r="I78" s="216">
        <v>35</v>
      </c>
      <c r="J78" s="217"/>
      <c r="K78" s="111"/>
      <c r="L78" s="70"/>
      <c r="M78" s="70"/>
      <c r="N78" s="70"/>
      <c r="O78" s="70"/>
      <c r="P78" s="70"/>
      <c r="Q78" s="70"/>
      <c r="R78" s="70"/>
      <c r="S78" s="70"/>
      <c r="T78" s="70"/>
      <c r="U78" s="70"/>
    </row>
    <row r="79" spans="1:21" x14ac:dyDescent="0.25">
      <c r="A79" s="218" t="s">
        <v>29</v>
      </c>
      <c r="B79" s="219"/>
      <c r="C79" s="220"/>
      <c r="D79" s="50">
        <f>SUM(D74:D78)</f>
        <v>0</v>
      </c>
      <c r="E79" s="86">
        <f>SUM(E74:E78)</f>
        <v>277330</v>
      </c>
      <c r="F79" s="60"/>
      <c r="G79" s="221">
        <f>SUM(G74:G78)</f>
        <v>116040.53</v>
      </c>
      <c r="H79" s="222"/>
      <c r="I79" s="218">
        <f>SUM(I74:I78)</f>
        <v>115</v>
      </c>
      <c r="J79" s="220"/>
      <c r="L79">
        <f>SUM(L74:L78)</f>
        <v>35110</v>
      </c>
    </row>
    <row r="81" spans="4:4" x14ac:dyDescent="0.25">
      <c r="D81" s="169"/>
    </row>
    <row r="82" spans="4:4" x14ac:dyDescent="0.25">
      <c r="D82" s="169"/>
    </row>
  </sheetData>
  <mergeCells count="25">
    <mergeCell ref="A76:C76"/>
    <mergeCell ref="G76:H76"/>
    <mergeCell ref="I76:J76"/>
    <mergeCell ref="A77:C77"/>
    <mergeCell ref="G77:H77"/>
    <mergeCell ref="I77:J77"/>
    <mergeCell ref="G78:H78"/>
    <mergeCell ref="I78:J78"/>
    <mergeCell ref="A79:C79"/>
    <mergeCell ref="G79:H79"/>
    <mergeCell ref="I79:J79"/>
    <mergeCell ref="L72:U72"/>
    <mergeCell ref="A74:C74"/>
    <mergeCell ref="G74:H74"/>
    <mergeCell ref="I74:J74"/>
    <mergeCell ref="K1:L1"/>
    <mergeCell ref="G1:J1"/>
    <mergeCell ref="D59:E59"/>
    <mergeCell ref="D68:M68"/>
    <mergeCell ref="A75:C75"/>
    <mergeCell ref="G75:H75"/>
    <mergeCell ref="I75:J75"/>
    <mergeCell ref="A71:C71"/>
    <mergeCell ref="G71:H71"/>
    <mergeCell ref="I71:J71"/>
  </mergeCells>
  <phoneticPr fontId="15" type="noConversion"/>
  <pageMargins left="0.7" right="0.7" top="0.75" bottom="0.75" header="0.3" footer="0.3"/>
  <pageSetup paperSize="9" scale="48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5C30B-60FE-4803-A34A-FC87DD6C3347}">
  <sheetPr codeName="Foglio4"/>
  <dimension ref="A1:U120"/>
  <sheetViews>
    <sheetView tabSelected="1" workbookViewId="0">
      <selection activeCell="D22" sqref="D22"/>
    </sheetView>
  </sheetViews>
  <sheetFormatPr defaultRowHeight="15" x14ac:dyDescent="0.25"/>
  <cols>
    <col min="1" max="1" width="12.28515625" customWidth="1"/>
    <col min="2" max="2" width="12" customWidth="1"/>
    <col min="3" max="3" width="16.28515625" customWidth="1"/>
    <col min="4" max="4" width="33.140625" customWidth="1"/>
    <col min="5" max="5" width="21" customWidth="1"/>
    <col min="6" max="6" width="14.42578125" customWidth="1"/>
    <col min="7" max="7" width="13.85546875" customWidth="1"/>
    <col min="8" max="8" width="13.7109375" customWidth="1"/>
    <col min="9" max="9" width="12.7109375" customWidth="1"/>
    <col min="10" max="10" width="12.140625" customWidth="1"/>
    <col min="11" max="11" width="18.7109375" customWidth="1"/>
    <col min="12" max="12" width="10.7109375" customWidth="1"/>
    <col min="13" max="13" width="10.5703125" customWidth="1"/>
    <col min="14" max="14" width="11.140625" customWidth="1"/>
    <col min="15" max="15" width="10.85546875" customWidth="1"/>
  </cols>
  <sheetData>
    <row r="1" spans="1:21" ht="27" thickBot="1" x14ac:dyDescent="0.45">
      <c r="A1" s="193" t="s">
        <v>0</v>
      </c>
      <c r="B1" s="193"/>
      <c r="C1" s="193"/>
      <c r="D1" s="1">
        <v>46161</v>
      </c>
      <c r="E1" s="2"/>
      <c r="F1" s="3"/>
      <c r="G1" s="194" t="s">
        <v>47</v>
      </c>
      <c r="H1" s="195"/>
      <c r="I1" s="195"/>
      <c r="J1" s="195"/>
      <c r="K1" s="195"/>
      <c r="L1" s="195"/>
      <c r="M1" s="195"/>
      <c r="N1" s="198"/>
    </row>
    <row r="2" spans="1:21" ht="15.75" thickTop="1" x14ac:dyDescent="0.25">
      <c r="A2" s="4"/>
      <c r="B2" s="4"/>
      <c r="C2" s="4"/>
      <c r="D2" s="4"/>
      <c r="E2" s="5"/>
    </row>
    <row r="3" spans="1:21" ht="51" customHeight="1" x14ac:dyDescent="0.25">
      <c r="A3" s="6" t="s">
        <v>2</v>
      </c>
      <c r="B3" s="73" t="s">
        <v>38</v>
      </c>
      <c r="C3" s="7" t="s">
        <v>37</v>
      </c>
      <c r="D3" s="8" t="s">
        <v>3</v>
      </c>
      <c r="E3" s="8" t="s">
        <v>4</v>
      </c>
      <c r="F3" s="9" t="s">
        <v>30</v>
      </c>
      <c r="G3" s="8" t="s">
        <v>5</v>
      </c>
      <c r="H3" s="8" t="s">
        <v>6</v>
      </c>
      <c r="I3" s="8" t="s">
        <v>7</v>
      </c>
      <c r="J3" s="9" t="s">
        <v>8</v>
      </c>
      <c r="K3" s="8" t="s">
        <v>23</v>
      </c>
      <c r="L3" s="10" t="s">
        <v>9</v>
      </c>
      <c r="M3" s="152" t="s">
        <v>31</v>
      </c>
      <c r="N3" s="136" t="s">
        <v>32</v>
      </c>
      <c r="O3" s="54" t="s">
        <v>40</v>
      </c>
      <c r="P3" s="12" t="s">
        <v>10</v>
      </c>
      <c r="Q3" s="12" t="s">
        <v>11</v>
      </c>
      <c r="R3" s="12" t="s">
        <v>12</v>
      </c>
      <c r="S3" s="12" t="s">
        <v>13</v>
      </c>
      <c r="T3" s="67" t="s">
        <v>36</v>
      </c>
      <c r="U3" s="138"/>
    </row>
    <row r="4" spans="1:21" x14ac:dyDescent="0.25">
      <c r="A4" s="108" t="s">
        <v>104</v>
      </c>
      <c r="B4" s="79" t="s">
        <v>97</v>
      </c>
      <c r="C4" s="79" t="s">
        <v>51</v>
      </c>
      <c r="D4" s="72" t="s">
        <v>98</v>
      </c>
      <c r="E4" s="72" t="s">
        <v>14</v>
      </c>
      <c r="F4" s="163">
        <v>746</v>
      </c>
      <c r="G4" s="76"/>
      <c r="H4" s="76"/>
      <c r="I4" s="76"/>
      <c r="J4" s="76">
        <f t="shared" ref="J4:J11" si="0">F4-G4</f>
        <v>746</v>
      </c>
      <c r="K4" s="72" t="s">
        <v>65</v>
      </c>
      <c r="L4" s="63"/>
      <c r="M4" s="141"/>
      <c r="N4" s="165">
        <v>746</v>
      </c>
      <c r="O4" s="142"/>
      <c r="P4" s="16">
        <v>3.0000000000000001E-3</v>
      </c>
      <c r="Q4" s="18">
        <v>0.02</v>
      </c>
      <c r="R4" s="18">
        <v>6.6600000000000006E-2</v>
      </c>
      <c r="S4" s="16">
        <v>0</v>
      </c>
      <c r="T4" s="13">
        <v>0</v>
      </c>
      <c r="U4" s="119"/>
    </row>
    <row r="5" spans="1:21" x14ac:dyDescent="0.25">
      <c r="A5" s="108" t="s">
        <v>159</v>
      </c>
      <c r="B5" s="79" t="s">
        <v>97</v>
      </c>
      <c r="C5" s="79" t="s">
        <v>52</v>
      </c>
      <c r="D5" s="72" t="s">
        <v>98</v>
      </c>
      <c r="E5" s="72" t="s">
        <v>14</v>
      </c>
      <c r="F5" s="163">
        <v>1000</v>
      </c>
      <c r="G5" s="76"/>
      <c r="H5" s="76"/>
      <c r="I5" s="76"/>
      <c r="J5" s="76">
        <f t="shared" si="0"/>
        <v>1000</v>
      </c>
      <c r="K5" s="72" t="s">
        <v>60</v>
      </c>
      <c r="L5" s="63"/>
      <c r="M5" s="141"/>
      <c r="N5" s="165">
        <v>1000</v>
      </c>
      <c r="O5" s="142"/>
      <c r="P5" s="16">
        <v>2E-3</v>
      </c>
      <c r="Q5" s="18">
        <v>0.01</v>
      </c>
      <c r="R5" s="18">
        <v>0.1033</v>
      </c>
      <c r="S5" s="16">
        <v>0</v>
      </c>
      <c r="T5" s="13">
        <v>0</v>
      </c>
      <c r="U5" s="119"/>
    </row>
    <row r="6" spans="1:21" x14ac:dyDescent="0.25">
      <c r="A6" s="108" t="s">
        <v>159</v>
      </c>
      <c r="B6" s="79" t="s">
        <v>97</v>
      </c>
      <c r="C6" s="79" t="s">
        <v>52</v>
      </c>
      <c r="D6" s="72" t="s">
        <v>98</v>
      </c>
      <c r="E6" s="72" t="s">
        <v>14</v>
      </c>
      <c r="F6" s="163"/>
      <c r="G6" s="76"/>
      <c r="H6" s="76" t="s">
        <v>182</v>
      </c>
      <c r="I6" s="76"/>
      <c r="J6" s="76">
        <f t="shared" si="0"/>
        <v>0</v>
      </c>
      <c r="K6" s="72" t="s">
        <v>62</v>
      </c>
      <c r="L6" s="63"/>
      <c r="M6" s="141"/>
      <c r="N6" s="165"/>
      <c r="O6" s="142"/>
      <c r="P6" s="16">
        <v>2E-3</v>
      </c>
      <c r="Q6" s="18">
        <v>2.6599999999999999E-2</v>
      </c>
      <c r="R6" s="18">
        <v>7.6600000000000001E-2</v>
      </c>
      <c r="S6" s="16">
        <v>0</v>
      </c>
      <c r="T6" s="13">
        <v>0</v>
      </c>
      <c r="U6" s="119"/>
    </row>
    <row r="7" spans="1:21" x14ac:dyDescent="0.25">
      <c r="A7" s="81" t="s">
        <v>164</v>
      </c>
      <c r="B7" s="79" t="s">
        <v>97</v>
      </c>
      <c r="C7" s="170" t="s">
        <v>53</v>
      </c>
      <c r="D7" s="72" t="s">
        <v>98</v>
      </c>
      <c r="E7" s="72" t="s">
        <v>14</v>
      </c>
      <c r="F7" s="163">
        <v>1000</v>
      </c>
      <c r="G7" s="76"/>
      <c r="H7" s="76"/>
      <c r="I7" s="76"/>
      <c r="J7" s="76">
        <f t="shared" si="0"/>
        <v>1000</v>
      </c>
      <c r="K7" s="72" t="s">
        <v>60</v>
      </c>
      <c r="L7" s="63"/>
      <c r="M7" s="141"/>
      <c r="N7" s="165">
        <v>1000</v>
      </c>
      <c r="O7" s="142"/>
      <c r="P7" s="16">
        <v>4.0000000000000001E-3</v>
      </c>
      <c r="Q7" s="18">
        <v>0.03</v>
      </c>
      <c r="R7" s="18">
        <v>6.3299999999999995E-2</v>
      </c>
      <c r="S7" s="16">
        <v>0</v>
      </c>
      <c r="T7" s="13">
        <v>0</v>
      </c>
      <c r="U7" s="119"/>
    </row>
    <row r="8" spans="1:21" x14ac:dyDescent="0.25">
      <c r="A8" s="81" t="s">
        <v>164</v>
      </c>
      <c r="B8" s="79" t="s">
        <v>97</v>
      </c>
      <c r="C8" s="170" t="s">
        <v>53</v>
      </c>
      <c r="D8" s="72" t="s">
        <v>98</v>
      </c>
      <c r="E8" s="72" t="s">
        <v>14</v>
      </c>
      <c r="F8" s="163">
        <v>900</v>
      </c>
      <c r="G8" s="76"/>
      <c r="H8" s="76"/>
      <c r="I8" s="76"/>
      <c r="J8" s="76">
        <f t="shared" si="0"/>
        <v>900</v>
      </c>
      <c r="K8" s="72" t="s">
        <v>62</v>
      </c>
      <c r="L8" s="63"/>
      <c r="M8" s="141"/>
      <c r="N8" s="165">
        <v>900</v>
      </c>
      <c r="O8" s="142"/>
      <c r="P8" s="16">
        <v>1E-3</v>
      </c>
      <c r="Q8" s="18">
        <v>3.3300000000000003E-2</v>
      </c>
      <c r="R8" s="18">
        <v>7.3300000000000004E-2</v>
      </c>
      <c r="S8" s="16">
        <v>0</v>
      </c>
      <c r="T8" s="13">
        <v>0</v>
      </c>
      <c r="U8" s="119"/>
    </row>
    <row r="9" spans="1:21" ht="29.25" x14ac:dyDescent="0.25">
      <c r="A9" s="81" t="s">
        <v>168</v>
      </c>
      <c r="B9" s="79" t="s">
        <v>169</v>
      </c>
      <c r="C9" s="170" t="s">
        <v>77</v>
      </c>
      <c r="D9" s="72" t="s">
        <v>98</v>
      </c>
      <c r="E9" s="72" t="s">
        <v>14</v>
      </c>
      <c r="F9" s="163"/>
      <c r="G9" s="76"/>
      <c r="H9" s="76" t="s">
        <v>219</v>
      </c>
      <c r="I9" s="76"/>
      <c r="J9" s="76">
        <f t="shared" si="0"/>
        <v>0</v>
      </c>
      <c r="K9" s="72" t="s">
        <v>63</v>
      </c>
      <c r="L9" s="63"/>
      <c r="M9" s="141"/>
      <c r="N9" s="165"/>
      <c r="O9" s="142"/>
      <c r="P9" s="16">
        <v>2E-3</v>
      </c>
      <c r="Q9" s="18">
        <v>2.6599999999999999E-2</v>
      </c>
      <c r="R9" s="18">
        <v>4.6600000000000003E-2</v>
      </c>
      <c r="S9" s="16">
        <v>0</v>
      </c>
      <c r="T9" s="13">
        <v>0</v>
      </c>
      <c r="U9" s="119"/>
    </row>
    <row r="10" spans="1:21" x14ac:dyDescent="0.25">
      <c r="A10" s="81"/>
      <c r="B10" s="79"/>
      <c r="C10" s="170"/>
      <c r="D10" s="72"/>
      <c r="E10" s="72"/>
      <c r="F10" s="163"/>
      <c r="G10" s="76"/>
      <c r="H10" s="76"/>
      <c r="I10" s="76"/>
      <c r="J10" s="76">
        <f t="shared" si="0"/>
        <v>0</v>
      </c>
      <c r="K10" s="72"/>
      <c r="L10" s="63"/>
      <c r="M10" s="141"/>
      <c r="N10" s="165"/>
      <c r="O10" s="142"/>
      <c r="P10" s="16"/>
      <c r="Q10" s="18"/>
      <c r="R10" s="18"/>
      <c r="S10" s="16"/>
      <c r="T10" s="13"/>
      <c r="U10" s="119"/>
    </row>
    <row r="11" spans="1:21" x14ac:dyDescent="0.25">
      <c r="A11" s="81"/>
      <c r="B11" s="77"/>
      <c r="C11" s="170"/>
      <c r="D11" s="72"/>
      <c r="E11" s="72"/>
      <c r="F11" s="163"/>
      <c r="G11" s="76"/>
      <c r="H11" s="76"/>
      <c r="I11" s="76"/>
      <c r="J11" s="76">
        <f t="shared" si="0"/>
        <v>0</v>
      </c>
      <c r="K11" s="72"/>
      <c r="L11" s="63"/>
      <c r="M11" s="140"/>
      <c r="N11" s="165"/>
      <c r="O11" s="53"/>
      <c r="P11" s="16"/>
      <c r="Q11" s="18"/>
      <c r="R11" s="18"/>
      <c r="S11" s="16"/>
      <c r="T11" s="13"/>
      <c r="U11" s="119"/>
    </row>
    <row r="12" spans="1:21" x14ac:dyDescent="0.25">
      <c r="A12" s="19"/>
      <c r="B12" s="74"/>
      <c r="C12" s="96"/>
      <c r="D12" s="20"/>
      <c r="E12" s="97"/>
      <c r="F12" s="98"/>
      <c r="G12" s="98"/>
      <c r="H12" s="98"/>
      <c r="I12" s="98"/>
      <c r="J12" s="98"/>
      <c r="K12" s="21"/>
      <c r="L12" s="14"/>
      <c r="M12" s="143"/>
      <c r="N12" s="15"/>
      <c r="O12" s="53"/>
      <c r="P12" s="16"/>
      <c r="Q12" s="17"/>
      <c r="R12" s="17"/>
      <c r="S12" s="17"/>
      <c r="T12" s="13"/>
      <c r="U12" s="119"/>
    </row>
    <row r="13" spans="1:21" x14ac:dyDescent="0.25">
      <c r="A13" s="19"/>
      <c r="B13" s="74"/>
      <c r="C13" s="96"/>
      <c r="D13" s="20" t="s">
        <v>182</v>
      </c>
      <c r="E13" s="97" t="s">
        <v>236</v>
      </c>
      <c r="F13" s="98"/>
      <c r="G13" s="98">
        <v>2000</v>
      </c>
      <c r="H13" s="98"/>
      <c r="I13" s="98"/>
      <c r="J13" s="98"/>
      <c r="K13" s="21"/>
      <c r="L13" s="14"/>
      <c r="M13" s="143"/>
      <c r="N13" s="15"/>
      <c r="O13" s="53"/>
      <c r="P13" s="16"/>
      <c r="Q13" s="17"/>
      <c r="R13" s="17"/>
      <c r="S13" s="17"/>
      <c r="T13" s="13"/>
      <c r="U13" s="119"/>
    </row>
    <row r="14" spans="1:21" x14ac:dyDescent="0.25">
      <c r="A14" s="112"/>
      <c r="B14" s="96"/>
      <c r="C14" s="99"/>
      <c r="D14" s="100"/>
      <c r="E14" s="120"/>
      <c r="F14" s="98"/>
      <c r="G14" s="98"/>
      <c r="H14" s="98"/>
      <c r="I14" s="98"/>
      <c r="J14" s="98"/>
      <c r="K14" s="21"/>
      <c r="L14" s="22"/>
      <c r="M14" s="143"/>
      <c r="N14" s="15"/>
      <c r="O14" s="53"/>
      <c r="P14" s="13"/>
      <c r="Q14" s="13"/>
      <c r="R14" s="13"/>
      <c r="S14" s="13"/>
      <c r="T14" s="13"/>
      <c r="U14" s="119"/>
    </row>
    <row r="15" spans="1:21" x14ac:dyDescent="0.25">
      <c r="A15" s="112"/>
      <c r="B15" s="112"/>
      <c r="C15" s="99"/>
      <c r="D15" s="100"/>
      <c r="E15" s="97"/>
      <c r="F15" s="98"/>
      <c r="G15" s="98"/>
      <c r="H15" s="98"/>
      <c r="I15" s="98"/>
      <c r="J15" s="98"/>
      <c r="K15" s="21"/>
      <c r="L15" s="22"/>
      <c r="M15" s="143"/>
      <c r="N15" s="15"/>
      <c r="O15" s="53"/>
      <c r="P15" s="13"/>
      <c r="Q15" s="13"/>
      <c r="R15" s="13"/>
      <c r="S15" s="13"/>
      <c r="T15" s="13"/>
      <c r="U15" s="119"/>
    </row>
    <row r="16" spans="1:21" x14ac:dyDescent="0.25">
      <c r="A16" s="112"/>
      <c r="B16" s="112"/>
      <c r="C16" s="99"/>
      <c r="D16" s="100"/>
      <c r="E16" s="97"/>
      <c r="F16" s="98"/>
      <c r="G16" s="98"/>
      <c r="H16" s="98"/>
      <c r="I16" s="98"/>
      <c r="J16" s="98"/>
      <c r="K16" s="21"/>
      <c r="L16" s="22"/>
      <c r="M16" s="143"/>
      <c r="N16" s="15"/>
      <c r="O16" s="53"/>
      <c r="P16" s="13"/>
      <c r="Q16" s="13"/>
      <c r="R16" s="13"/>
      <c r="S16" s="13"/>
      <c r="T16" s="13"/>
      <c r="U16" s="119"/>
    </row>
    <row r="17" spans="1:21" x14ac:dyDescent="0.25">
      <c r="A17" s="113"/>
      <c r="B17" s="111"/>
      <c r="C17" s="70"/>
      <c r="D17" s="23" t="s">
        <v>15</v>
      </c>
      <c r="E17" s="51" t="s">
        <v>14</v>
      </c>
      <c r="F17" s="23">
        <f>SUM(F4:F16)</f>
        <v>3646</v>
      </c>
      <c r="G17" s="23">
        <f>SUM(G4:G16)</f>
        <v>2000</v>
      </c>
      <c r="H17" s="23"/>
      <c r="I17" s="23"/>
      <c r="J17" s="23">
        <f>F17-G17</f>
        <v>1646</v>
      </c>
      <c r="K17" s="24" t="s">
        <v>16</v>
      </c>
      <c r="L17" s="25">
        <f>SUM(L4:L11)</f>
        <v>0</v>
      </c>
      <c r="M17" s="25">
        <f>SUM(M4:M11)</f>
        <v>0</v>
      </c>
      <c r="N17" s="25">
        <f>SUM(N4:N14)</f>
        <v>3646</v>
      </c>
      <c r="O17" s="25">
        <f>SUM(O4:O11)</f>
        <v>0</v>
      </c>
      <c r="P17" s="26"/>
      <c r="Q17" s="26"/>
      <c r="R17" s="26"/>
      <c r="S17" s="26"/>
      <c r="T17" s="26"/>
      <c r="U17" s="119"/>
    </row>
    <row r="18" spans="1:21" x14ac:dyDescent="0.25">
      <c r="A18" s="108" t="s">
        <v>159</v>
      </c>
      <c r="B18" s="79" t="s">
        <v>97</v>
      </c>
      <c r="C18" s="79" t="s">
        <v>52</v>
      </c>
      <c r="D18" s="72" t="s">
        <v>98</v>
      </c>
      <c r="E18" s="72" t="s">
        <v>17</v>
      </c>
      <c r="F18" s="167">
        <v>1000</v>
      </c>
      <c r="G18" s="70"/>
      <c r="H18" s="70"/>
      <c r="I18" s="70"/>
      <c r="J18" s="76">
        <f t="shared" ref="J18:J36" si="1">F18-G18</f>
        <v>1000</v>
      </c>
      <c r="K18" s="72" t="s">
        <v>94</v>
      </c>
      <c r="L18" s="63"/>
      <c r="M18" s="140"/>
      <c r="N18" s="165">
        <v>1000</v>
      </c>
      <c r="O18" s="95"/>
      <c r="P18" s="18">
        <v>2E-3</v>
      </c>
      <c r="Q18" s="18">
        <v>3.6600000000000001E-2</v>
      </c>
      <c r="R18" s="18">
        <v>0.1</v>
      </c>
      <c r="S18" s="18">
        <v>0</v>
      </c>
      <c r="T18" s="26">
        <v>0</v>
      </c>
      <c r="U18" s="119"/>
    </row>
    <row r="19" spans="1:21" x14ac:dyDescent="0.25">
      <c r="A19" s="108" t="s">
        <v>159</v>
      </c>
      <c r="B19" s="79" t="s">
        <v>97</v>
      </c>
      <c r="C19" s="79" t="s">
        <v>52</v>
      </c>
      <c r="D19" s="72" t="s">
        <v>98</v>
      </c>
      <c r="E19" s="72" t="s">
        <v>17</v>
      </c>
      <c r="F19" s="167">
        <v>1000</v>
      </c>
      <c r="G19" s="70"/>
      <c r="H19" s="70"/>
      <c r="I19" s="70"/>
      <c r="J19" s="76">
        <f t="shared" si="1"/>
        <v>1000</v>
      </c>
      <c r="K19" s="72" t="s">
        <v>95</v>
      </c>
      <c r="L19" s="63"/>
      <c r="M19" s="140"/>
      <c r="N19" s="165">
        <v>1000</v>
      </c>
      <c r="O19" s="95"/>
      <c r="P19" s="18">
        <v>1E-3</v>
      </c>
      <c r="Q19" s="18">
        <v>3.3300000000000003E-2</v>
      </c>
      <c r="R19" s="18">
        <v>0.1033</v>
      </c>
      <c r="S19" s="18">
        <v>0</v>
      </c>
      <c r="T19" s="26">
        <v>0</v>
      </c>
      <c r="U19" s="119"/>
    </row>
    <row r="20" spans="1:21" x14ac:dyDescent="0.25">
      <c r="A20" s="108" t="s">
        <v>159</v>
      </c>
      <c r="B20" s="79" t="s">
        <v>97</v>
      </c>
      <c r="C20" s="79" t="s">
        <v>52</v>
      </c>
      <c r="D20" s="72" t="s">
        <v>98</v>
      </c>
      <c r="E20" s="72" t="s">
        <v>17</v>
      </c>
      <c r="F20" s="167">
        <v>1000</v>
      </c>
      <c r="G20" s="70"/>
      <c r="H20" s="70"/>
      <c r="I20" s="70"/>
      <c r="J20" s="76">
        <f t="shared" si="1"/>
        <v>1000</v>
      </c>
      <c r="K20" s="72" t="s">
        <v>118</v>
      </c>
      <c r="L20" s="63"/>
      <c r="M20" s="140"/>
      <c r="N20" s="165">
        <v>1000</v>
      </c>
      <c r="O20" s="95"/>
      <c r="P20" s="18">
        <v>1E-3</v>
      </c>
      <c r="Q20" s="18">
        <v>0.04</v>
      </c>
      <c r="R20" s="18">
        <v>0.1366</v>
      </c>
      <c r="S20" s="18">
        <v>0</v>
      </c>
      <c r="T20" s="26">
        <v>0</v>
      </c>
      <c r="U20" s="119"/>
    </row>
    <row r="21" spans="1:21" x14ac:dyDescent="0.25">
      <c r="A21" s="108" t="s">
        <v>164</v>
      </c>
      <c r="B21" s="79" t="s">
        <v>97</v>
      </c>
      <c r="C21" s="79" t="s">
        <v>53</v>
      </c>
      <c r="D21" s="72" t="s">
        <v>98</v>
      </c>
      <c r="E21" s="72" t="s">
        <v>17</v>
      </c>
      <c r="F21" s="167">
        <v>1000</v>
      </c>
      <c r="G21" s="70"/>
      <c r="H21" s="70"/>
      <c r="I21" s="70"/>
      <c r="J21" s="76">
        <f t="shared" si="1"/>
        <v>1000</v>
      </c>
      <c r="K21" s="72" t="s">
        <v>63</v>
      </c>
      <c r="L21" s="63"/>
      <c r="M21" s="140"/>
      <c r="N21" s="165">
        <v>1000</v>
      </c>
      <c r="O21" s="95"/>
      <c r="P21" s="18">
        <v>0</v>
      </c>
      <c r="Q21" s="18">
        <v>3.3300000000000003E-2</v>
      </c>
      <c r="R21" s="18">
        <v>0.1</v>
      </c>
      <c r="S21" s="18">
        <v>0</v>
      </c>
      <c r="T21" s="26">
        <v>0</v>
      </c>
      <c r="U21" s="119"/>
    </row>
    <row r="22" spans="1:21" x14ac:dyDescent="0.25">
      <c r="A22" s="108" t="s">
        <v>164</v>
      </c>
      <c r="B22" s="79" t="s">
        <v>97</v>
      </c>
      <c r="C22" s="79" t="s">
        <v>53</v>
      </c>
      <c r="D22" s="72" t="s">
        <v>98</v>
      </c>
      <c r="E22" s="72" t="s">
        <v>17</v>
      </c>
      <c r="F22" s="167">
        <v>1000</v>
      </c>
      <c r="G22" s="70"/>
      <c r="H22" s="70"/>
      <c r="I22" s="70"/>
      <c r="J22" s="76">
        <f t="shared" si="1"/>
        <v>1000</v>
      </c>
      <c r="K22" s="72" t="s">
        <v>64</v>
      </c>
      <c r="L22" s="63"/>
      <c r="M22" s="140"/>
      <c r="N22" s="165">
        <v>1000</v>
      </c>
      <c r="O22" s="95"/>
      <c r="P22" s="18">
        <v>2E-3</v>
      </c>
      <c r="Q22" s="18">
        <v>0.03</v>
      </c>
      <c r="R22" s="18">
        <v>6.3299999999999995E-2</v>
      </c>
      <c r="S22" s="18">
        <v>0</v>
      </c>
      <c r="T22" s="26">
        <v>0</v>
      </c>
      <c r="U22" s="119"/>
    </row>
    <row r="23" spans="1:21" x14ac:dyDescent="0.25">
      <c r="A23" s="108" t="s">
        <v>164</v>
      </c>
      <c r="B23" s="79" t="s">
        <v>97</v>
      </c>
      <c r="C23" s="79" t="s">
        <v>53</v>
      </c>
      <c r="D23" s="72" t="s">
        <v>98</v>
      </c>
      <c r="E23" s="72" t="s">
        <v>17</v>
      </c>
      <c r="F23" s="167">
        <v>1000</v>
      </c>
      <c r="G23" s="70"/>
      <c r="H23" s="70"/>
      <c r="I23" s="70"/>
      <c r="J23" s="76">
        <f t="shared" si="1"/>
        <v>1000</v>
      </c>
      <c r="K23" s="72" t="s">
        <v>68</v>
      </c>
      <c r="L23" s="63"/>
      <c r="M23" s="140"/>
      <c r="N23" s="165">
        <v>1000</v>
      </c>
      <c r="O23" s="95"/>
      <c r="P23" s="18">
        <v>2E-3</v>
      </c>
      <c r="Q23" s="18">
        <v>3.6600000000000001E-2</v>
      </c>
      <c r="R23" s="18">
        <v>0.1066</v>
      </c>
      <c r="S23" s="18">
        <v>0</v>
      </c>
      <c r="T23" s="26">
        <v>0</v>
      </c>
      <c r="U23" s="119"/>
    </row>
    <row r="24" spans="1:21" x14ac:dyDescent="0.25">
      <c r="A24" s="108" t="s">
        <v>164</v>
      </c>
      <c r="B24" s="79" t="s">
        <v>97</v>
      </c>
      <c r="C24" s="79" t="s">
        <v>53</v>
      </c>
      <c r="D24" s="72" t="s">
        <v>98</v>
      </c>
      <c r="E24" s="72" t="s">
        <v>17</v>
      </c>
      <c r="F24" s="167">
        <v>1000</v>
      </c>
      <c r="G24" s="70"/>
      <c r="H24" s="70"/>
      <c r="I24" s="70"/>
      <c r="J24" s="76">
        <f t="shared" si="1"/>
        <v>1000</v>
      </c>
      <c r="K24" s="72" t="s">
        <v>69</v>
      </c>
      <c r="L24" s="63"/>
      <c r="M24" s="140"/>
      <c r="N24" s="165">
        <v>1000</v>
      </c>
      <c r="O24" s="95"/>
      <c r="P24" s="18">
        <v>2E-3</v>
      </c>
      <c r="Q24" s="18">
        <v>0.03</v>
      </c>
      <c r="R24" s="18">
        <v>0.1133</v>
      </c>
      <c r="S24" s="18">
        <v>0</v>
      </c>
      <c r="T24" s="26">
        <v>0</v>
      </c>
      <c r="U24" s="119"/>
    </row>
    <row r="25" spans="1:21" x14ac:dyDescent="0.25">
      <c r="A25" s="108" t="s">
        <v>164</v>
      </c>
      <c r="B25" s="79" t="s">
        <v>97</v>
      </c>
      <c r="C25" s="79" t="s">
        <v>53</v>
      </c>
      <c r="D25" s="72" t="s">
        <v>98</v>
      </c>
      <c r="E25" s="72" t="s">
        <v>17</v>
      </c>
      <c r="F25" s="167"/>
      <c r="G25" s="70"/>
      <c r="H25" s="70" t="s">
        <v>182</v>
      </c>
      <c r="I25" s="70"/>
      <c r="J25" s="76">
        <f t="shared" si="1"/>
        <v>0</v>
      </c>
      <c r="K25" s="72" t="s">
        <v>70</v>
      </c>
      <c r="L25" s="63"/>
      <c r="M25" s="140"/>
      <c r="N25" s="165"/>
      <c r="O25" s="95"/>
      <c r="P25" s="18">
        <v>1E-3</v>
      </c>
      <c r="Q25" s="18">
        <v>2.6599999999999999E-2</v>
      </c>
      <c r="R25" s="18">
        <v>0.1</v>
      </c>
      <c r="S25" s="18">
        <v>0</v>
      </c>
      <c r="T25" s="26">
        <v>0</v>
      </c>
      <c r="U25" s="119"/>
    </row>
    <row r="26" spans="1:21" x14ac:dyDescent="0.25">
      <c r="A26" s="108" t="s">
        <v>164</v>
      </c>
      <c r="B26" s="79" t="s">
        <v>97</v>
      </c>
      <c r="C26" s="79" t="s">
        <v>53</v>
      </c>
      <c r="D26" s="72" t="s">
        <v>98</v>
      </c>
      <c r="E26" s="72" t="s">
        <v>17</v>
      </c>
      <c r="F26" s="167">
        <v>1000</v>
      </c>
      <c r="G26" s="70"/>
      <c r="H26" s="70"/>
      <c r="I26" s="70"/>
      <c r="J26" s="76">
        <f t="shared" si="1"/>
        <v>1000</v>
      </c>
      <c r="K26" s="72" t="s">
        <v>71</v>
      </c>
      <c r="L26" s="63"/>
      <c r="M26" s="140"/>
      <c r="N26" s="165">
        <v>1000</v>
      </c>
      <c r="O26" s="95"/>
      <c r="P26" s="18">
        <v>2E-3</v>
      </c>
      <c r="Q26" s="18">
        <v>3.3300000000000003E-2</v>
      </c>
      <c r="R26" s="18">
        <v>8.6599999999999996E-2</v>
      </c>
      <c r="S26" s="18">
        <v>0</v>
      </c>
      <c r="T26" s="26">
        <v>0</v>
      </c>
      <c r="U26" s="119"/>
    </row>
    <row r="27" spans="1:21" x14ac:dyDescent="0.25">
      <c r="A27" s="108" t="s">
        <v>164</v>
      </c>
      <c r="B27" s="79" t="s">
        <v>97</v>
      </c>
      <c r="C27" s="79" t="s">
        <v>53</v>
      </c>
      <c r="D27" s="72" t="s">
        <v>98</v>
      </c>
      <c r="E27" s="72" t="s">
        <v>17</v>
      </c>
      <c r="F27" s="167">
        <v>1000</v>
      </c>
      <c r="G27" s="70"/>
      <c r="H27" s="70"/>
      <c r="I27" s="70"/>
      <c r="J27" s="76">
        <f t="shared" si="1"/>
        <v>1000</v>
      </c>
      <c r="K27" s="72" t="s">
        <v>72</v>
      </c>
      <c r="L27" s="63"/>
      <c r="M27" s="140"/>
      <c r="N27" s="165">
        <v>1000</v>
      </c>
      <c r="O27" s="95"/>
      <c r="P27" s="18">
        <v>2E-3</v>
      </c>
      <c r="Q27" s="18">
        <v>0.05</v>
      </c>
      <c r="R27" s="18">
        <v>0.1</v>
      </c>
      <c r="S27" s="18">
        <v>0</v>
      </c>
      <c r="T27" s="26">
        <v>0</v>
      </c>
      <c r="U27" s="119"/>
    </row>
    <row r="28" spans="1:21" x14ac:dyDescent="0.25">
      <c r="A28" s="108" t="s">
        <v>164</v>
      </c>
      <c r="B28" s="79" t="s">
        <v>97</v>
      </c>
      <c r="C28" s="79" t="s">
        <v>53</v>
      </c>
      <c r="D28" s="72" t="s">
        <v>98</v>
      </c>
      <c r="E28" s="72" t="s">
        <v>17</v>
      </c>
      <c r="F28" s="167">
        <v>1000</v>
      </c>
      <c r="G28" s="70"/>
      <c r="H28" s="70"/>
      <c r="I28" s="70"/>
      <c r="J28" s="76">
        <f t="shared" si="1"/>
        <v>1000</v>
      </c>
      <c r="K28" s="72" t="s">
        <v>73</v>
      </c>
      <c r="L28" s="63"/>
      <c r="M28" s="140"/>
      <c r="N28" s="165">
        <v>1000</v>
      </c>
      <c r="O28" s="95"/>
      <c r="P28" s="18">
        <v>3.0000000000000001E-3</v>
      </c>
      <c r="Q28" s="18">
        <v>4.3299999999999998E-2</v>
      </c>
      <c r="R28" s="18">
        <v>0.1033</v>
      </c>
      <c r="S28" s="18">
        <v>0</v>
      </c>
      <c r="T28" s="26">
        <v>0</v>
      </c>
      <c r="U28" s="119"/>
    </row>
    <row r="29" spans="1:21" x14ac:dyDescent="0.25">
      <c r="A29" s="108" t="s">
        <v>164</v>
      </c>
      <c r="B29" s="79" t="s">
        <v>97</v>
      </c>
      <c r="C29" s="79" t="s">
        <v>53</v>
      </c>
      <c r="D29" s="72" t="s">
        <v>98</v>
      </c>
      <c r="E29" s="72" t="s">
        <v>17</v>
      </c>
      <c r="F29" s="167">
        <v>1000</v>
      </c>
      <c r="G29" s="70"/>
      <c r="H29" s="70"/>
      <c r="I29" s="70"/>
      <c r="J29" s="76">
        <f t="shared" si="1"/>
        <v>1000</v>
      </c>
      <c r="K29" s="72" t="s">
        <v>92</v>
      </c>
      <c r="L29" s="63"/>
      <c r="M29" s="140"/>
      <c r="N29" s="165">
        <v>1000</v>
      </c>
      <c r="O29" s="95"/>
      <c r="P29" s="18">
        <v>2E-3</v>
      </c>
      <c r="Q29" s="18">
        <v>4.3299999999999998E-2</v>
      </c>
      <c r="R29" s="18">
        <v>0.1133</v>
      </c>
      <c r="S29" s="18">
        <v>0</v>
      </c>
      <c r="T29" s="26">
        <v>0</v>
      </c>
      <c r="U29" s="119"/>
    </row>
    <row r="30" spans="1:21" x14ac:dyDescent="0.25">
      <c r="A30" s="108" t="s">
        <v>164</v>
      </c>
      <c r="B30" s="79" t="s">
        <v>97</v>
      </c>
      <c r="C30" s="79" t="s">
        <v>53</v>
      </c>
      <c r="D30" s="72" t="s">
        <v>98</v>
      </c>
      <c r="E30" s="72" t="s">
        <v>17</v>
      </c>
      <c r="F30" s="167">
        <v>1000</v>
      </c>
      <c r="G30" s="70"/>
      <c r="H30" s="70"/>
      <c r="I30" s="70"/>
      <c r="J30" s="76">
        <f t="shared" si="1"/>
        <v>1000</v>
      </c>
      <c r="K30" s="72" t="s">
        <v>93</v>
      </c>
      <c r="L30" s="63"/>
      <c r="M30" s="140"/>
      <c r="N30" s="165">
        <v>1000</v>
      </c>
      <c r="O30" s="95"/>
      <c r="P30" s="18">
        <v>1E-3</v>
      </c>
      <c r="Q30" s="18">
        <v>0.04</v>
      </c>
      <c r="R30" s="18">
        <v>0.12659999999999999</v>
      </c>
      <c r="S30" s="18">
        <v>0</v>
      </c>
      <c r="T30" s="26">
        <v>0</v>
      </c>
      <c r="U30" s="119"/>
    </row>
    <row r="31" spans="1:21" x14ac:dyDescent="0.25">
      <c r="A31" s="108" t="s">
        <v>168</v>
      </c>
      <c r="B31" s="79" t="s">
        <v>97</v>
      </c>
      <c r="C31" s="79" t="s">
        <v>77</v>
      </c>
      <c r="D31" s="72" t="s">
        <v>98</v>
      </c>
      <c r="E31" s="72" t="s">
        <v>17</v>
      </c>
      <c r="F31" s="167">
        <v>1000</v>
      </c>
      <c r="G31" s="70"/>
      <c r="H31" s="70"/>
      <c r="I31" s="70"/>
      <c r="J31" s="76">
        <f t="shared" si="1"/>
        <v>1000</v>
      </c>
      <c r="K31" s="72" t="s">
        <v>63</v>
      </c>
      <c r="L31" s="63"/>
      <c r="M31" s="140"/>
      <c r="N31" s="165">
        <v>1000</v>
      </c>
      <c r="O31" s="95"/>
      <c r="P31" s="18">
        <v>2E-3</v>
      </c>
      <c r="Q31" s="18">
        <v>4.6600000000000003E-2</v>
      </c>
      <c r="R31" s="18">
        <v>0.14330000000000001</v>
      </c>
      <c r="S31" s="18">
        <v>0</v>
      </c>
      <c r="T31" s="26">
        <v>0</v>
      </c>
      <c r="U31" s="119"/>
    </row>
    <row r="32" spans="1:21" x14ac:dyDescent="0.25">
      <c r="A32" s="108" t="s">
        <v>168</v>
      </c>
      <c r="B32" s="79" t="s">
        <v>97</v>
      </c>
      <c r="C32" s="79" t="s">
        <v>77</v>
      </c>
      <c r="D32" s="72" t="s">
        <v>98</v>
      </c>
      <c r="E32" s="72" t="s">
        <v>17</v>
      </c>
      <c r="F32" s="167">
        <v>1000</v>
      </c>
      <c r="G32" s="70"/>
      <c r="H32" s="70"/>
      <c r="I32" s="70"/>
      <c r="J32" s="76">
        <f t="shared" si="1"/>
        <v>1000</v>
      </c>
      <c r="K32" s="72" t="s">
        <v>64</v>
      </c>
      <c r="L32" s="63"/>
      <c r="M32" s="140"/>
      <c r="N32" s="165">
        <v>1000</v>
      </c>
      <c r="O32" s="95"/>
      <c r="P32" s="18">
        <v>0</v>
      </c>
      <c r="Q32" s="18">
        <v>0.03</v>
      </c>
      <c r="R32" s="18">
        <v>0.13</v>
      </c>
      <c r="S32" s="18">
        <v>0</v>
      </c>
      <c r="T32" s="26">
        <v>0</v>
      </c>
      <c r="U32" s="119"/>
    </row>
    <row r="33" spans="1:21" x14ac:dyDescent="0.25">
      <c r="A33" s="108" t="s">
        <v>168</v>
      </c>
      <c r="B33" s="79" t="s">
        <v>97</v>
      </c>
      <c r="C33" s="79" t="s">
        <v>77</v>
      </c>
      <c r="D33" s="72" t="s">
        <v>98</v>
      </c>
      <c r="E33" s="72" t="s">
        <v>17</v>
      </c>
      <c r="F33" s="167">
        <v>1000</v>
      </c>
      <c r="G33" s="70"/>
      <c r="H33" s="70"/>
      <c r="I33" s="70"/>
      <c r="J33" s="76">
        <f t="shared" si="1"/>
        <v>1000</v>
      </c>
      <c r="K33" s="72" t="s">
        <v>68</v>
      </c>
      <c r="L33" s="63"/>
      <c r="M33" s="140"/>
      <c r="N33" s="165">
        <v>1000</v>
      </c>
      <c r="O33" s="95"/>
      <c r="P33" s="18">
        <v>1E-3</v>
      </c>
      <c r="Q33" s="18">
        <v>0.02</v>
      </c>
      <c r="R33" s="18">
        <v>5.6599999999999998E-2</v>
      </c>
      <c r="S33" s="18">
        <v>0</v>
      </c>
      <c r="T33" s="26">
        <v>0</v>
      </c>
      <c r="U33" s="119"/>
    </row>
    <row r="34" spans="1:21" x14ac:dyDescent="0.25">
      <c r="A34" s="108" t="s">
        <v>168</v>
      </c>
      <c r="B34" s="79" t="s">
        <v>97</v>
      </c>
      <c r="C34" s="79" t="s">
        <v>77</v>
      </c>
      <c r="D34" s="72" t="s">
        <v>98</v>
      </c>
      <c r="E34" s="72" t="s">
        <v>17</v>
      </c>
      <c r="F34" s="167">
        <v>1000</v>
      </c>
      <c r="G34" s="70"/>
      <c r="H34" s="70"/>
      <c r="I34" s="70"/>
      <c r="J34" s="76">
        <f t="shared" si="1"/>
        <v>1000</v>
      </c>
      <c r="K34" s="72" t="s">
        <v>69</v>
      </c>
      <c r="L34" s="63"/>
      <c r="M34" s="140"/>
      <c r="N34" s="165">
        <v>1000</v>
      </c>
      <c r="O34" s="95"/>
      <c r="P34" s="18">
        <v>1E-3</v>
      </c>
      <c r="Q34" s="18">
        <v>1.3299999999999999E-2</v>
      </c>
      <c r="R34" s="18">
        <v>5.33E-2</v>
      </c>
      <c r="S34" s="18">
        <v>0</v>
      </c>
      <c r="T34" s="26">
        <v>0</v>
      </c>
      <c r="U34" s="119"/>
    </row>
    <row r="35" spans="1:21" x14ac:dyDescent="0.25">
      <c r="A35" s="108" t="s">
        <v>168</v>
      </c>
      <c r="B35" s="79" t="s">
        <v>97</v>
      </c>
      <c r="C35" s="79" t="s">
        <v>77</v>
      </c>
      <c r="D35" s="72" t="s">
        <v>98</v>
      </c>
      <c r="E35" s="72" t="s">
        <v>17</v>
      </c>
      <c r="F35" s="167">
        <v>962</v>
      </c>
      <c r="G35" s="70"/>
      <c r="H35" s="70"/>
      <c r="I35" s="70"/>
      <c r="J35" s="76">
        <f t="shared" si="1"/>
        <v>962</v>
      </c>
      <c r="K35" s="72" t="s">
        <v>70</v>
      </c>
      <c r="L35" s="63"/>
      <c r="M35" s="140"/>
      <c r="N35" s="165">
        <v>962</v>
      </c>
      <c r="O35" s="95"/>
      <c r="P35" s="18"/>
      <c r="Q35" s="18"/>
      <c r="R35" s="18"/>
      <c r="S35" s="18"/>
      <c r="T35" s="26"/>
      <c r="U35" s="119"/>
    </row>
    <row r="36" spans="1:21" x14ac:dyDescent="0.25">
      <c r="A36" s="108"/>
      <c r="B36" s="79"/>
      <c r="C36" s="79"/>
      <c r="D36" s="72"/>
      <c r="E36" s="72"/>
      <c r="F36" s="167"/>
      <c r="G36" s="70"/>
      <c r="H36" s="70"/>
      <c r="I36" s="70"/>
      <c r="J36" s="76">
        <f t="shared" si="1"/>
        <v>0</v>
      </c>
      <c r="K36" s="72"/>
      <c r="L36" s="63"/>
      <c r="M36" s="140"/>
      <c r="N36" s="165"/>
      <c r="O36" s="95"/>
      <c r="P36" s="18"/>
      <c r="Q36" s="18"/>
      <c r="R36" s="18"/>
      <c r="S36" s="18"/>
      <c r="T36" s="26"/>
      <c r="U36" s="119"/>
    </row>
    <row r="37" spans="1:21" x14ac:dyDescent="0.25">
      <c r="A37" s="114"/>
      <c r="B37" s="78"/>
      <c r="C37" s="30"/>
      <c r="D37" s="31" t="s">
        <v>18</v>
      </c>
      <c r="E37" s="32"/>
      <c r="F37" s="104"/>
      <c r="G37" s="104"/>
      <c r="H37" s="104"/>
      <c r="I37" s="104"/>
      <c r="J37" s="104"/>
      <c r="K37" s="33"/>
      <c r="L37" s="27"/>
      <c r="M37" s="140"/>
      <c r="N37" s="103"/>
      <c r="O37" s="95"/>
      <c r="P37" s="18"/>
      <c r="Q37" s="18"/>
      <c r="R37" s="18"/>
      <c r="S37" s="18"/>
      <c r="T37" s="26"/>
      <c r="U37" s="119"/>
    </row>
    <row r="38" spans="1:21" x14ac:dyDescent="0.25">
      <c r="A38" s="114"/>
      <c r="B38" s="78"/>
      <c r="C38" s="30"/>
      <c r="D38" s="31"/>
      <c r="E38" s="32"/>
      <c r="F38" s="104"/>
      <c r="G38" s="104"/>
      <c r="H38" s="104"/>
      <c r="I38" s="104"/>
      <c r="J38" s="104"/>
      <c r="K38" s="33"/>
      <c r="L38" s="27"/>
      <c r="M38" s="140"/>
      <c r="N38" s="103"/>
      <c r="O38" s="95"/>
      <c r="P38" s="18"/>
      <c r="Q38" s="18"/>
      <c r="R38" s="18"/>
      <c r="S38" s="18"/>
      <c r="T38" s="26"/>
      <c r="U38" s="119"/>
    </row>
    <row r="39" spans="1:21" x14ac:dyDescent="0.25">
      <c r="A39" s="114"/>
      <c r="B39" s="78"/>
      <c r="C39" s="30"/>
      <c r="D39" s="31" t="s">
        <v>99</v>
      </c>
      <c r="E39" s="32"/>
      <c r="F39" s="104"/>
      <c r="G39" s="104">
        <v>0</v>
      </c>
      <c r="H39" s="104"/>
      <c r="I39" s="104" t="s">
        <v>100</v>
      </c>
      <c r="J39" s="104"/>
      <c r="K39" s="33"/>
      <c r="L39" s="27"/>
      <c r="M39" s="140"/>
      <c r="N39" s="103"/>
      <c r="O39" s="95"/>
      <c r="P39" s="18"/>
      <c r="Q39" s="18"/>
      <c r="R39" s="18"/>
      <c r="S39" s="18"/>
      <c r="T39" s="26"/>
      <c r="U39" s="119"/>
    </row>
    <row r="40" spans="1:21" x14ac:dyDescent="0.25">
      <c r="A40" s="114"/>
      <c r="B40" s="78"/>
      <c r="C40" s="30"/>
      <c r="D40" s="31" t="s">
        <v>123</v>
      </c>
      <c r="E40" s="32"/>
      <c r="F40" s="104"/>
      <c r="G40" s="104">
        <v>0</v>
      </c>
      <c r="H40" s="104"/>
      <c r="I40" s="104" t="s">
        <v>100</v>
      </c>
      <c r="J40" s="104"/>
      <c r="K40" s="33"/>
      <c r="L40" s="27"/>
      <c r="M40" s="140"/>
      <c r="N40" s="103"/>
      <c r="O40" s="95"/>
      <c r="P40" s="18"/>
      <c r="Q40" s="18"/>
      <c r="R40" s="18"/>
      <c r="S40" s="18"/>
      <c r="T40" s="26"/>
      <c r="U40" s="119"/>
    </row>
    <row r="41" spans="1:21" x14ac:dyDescent="0.25">
      <c r="A41" s="114"/>
      <c r="B41" s="78"/>
      <c r="C41" s="30"/>
      <c r="D41" s="31" t="s">
        <v>157</v>
      </c>
      <c r="E41" s="32"/>
      <c r="F41" s="104"/>
      <c r="G41" s="104">
        <v>10000</v>
      </c>
      <c r="H41" s="104"/>
      <c r="I41" s="104" t="s">
        <v>100</v>
      </c>
      <c r="J41" s="104"/>
      <c r="K41" s="33"/>
      <c r="L41" s="27"/>
      <c r="M41" s="140"/>
      <c r="N41" s="103"/>
      <c r="O41" s="95"/>
      <c r="P41" s="18"/>
      <c r="Q41" s="18"/>
      <c r="R41" s="18"/>
      <c r="S41" s="18"/>
      <c r="T41" s="26"/>
      <c r="U41" s="119"/>
    </row>
    <row r="42" spans="1:21" x14ac:dyDescent="0.25">
      <c r="A42" s="114"/>
      <c r="B42" s="78"/>
      <c r="C42" s="30"/>
      <c r="D42" s="31" t="s">
        <v>182</v>
      </c>
      <c r="E42" s="32" t="s">
        <v>234</v>
      </c>
      <c r="F42" s="104"/>
      <c r="G42" s="104">
        <v>11000</v>
      </c>
      <c r="H42" s="104"/>
      <c r="I42" s="104"/>
      <c r="J42" s="104"/>
      <c r="K42" s="33"/>
      <c r="L42" s="27"/>
      <c r="M42" s="140"/>
      <c r="N42" s="103"/>
      <c r="O42" s="95"/>
      <c r="P42" s="18"/>
      <c r="Q42" s="18"/>
      <c r="R42" s="18"/>
      <c r="S42" s="18"/>
      <c r="T42" s="26"/>
      <c r="U42" s="119"/>
    </row>
    <row r="43" spans="1:21" x14ac:dyDescent="0.25">
      <c r="A43" s="114"/>
      <c r="B43" s="78"/>
      <c r="C43" s="78"/>
      <c r="D43" s="121"/>
      <c r="E43" s="83"/>
      <c r="F43" s="104"/>
      <c r="G43" s="104"/>
      <c r="H43" s="110"/>
      <c r="I43" s="105"/>
      <c r="J43" s="104"/>
      <c r="K43" s="33"/>
      <c r="L43" s="27"/>
      <c r="M43" s="140"/>
      <c r="N43" s="103"/>
      <c r="O43" s="95"/>
      <c r="P43" s="18"/>
      <c r="Q43" s="18"/>
      <c r="R43" s="18"/>
      <c r="S43" s="18"/>
      <c r="T43" s="26"/>
      <c r="U43" s="119"/>
    </row>
    <row r="44" spans="1:21" x14ac:dyDescent="0.25">
      <c r="A44" s="70"/>
      <c r="B44" s="79"/>
      <c r="C44" s="79"/>
      <c r="D44" s="23" t="s">
        <v>15</v>
      </c>
      <c r="E44" s="51" t="s">
        <v>17</v>
      </c>
      <c r="F44" s="23">
        <f>SUM(F18:F37)</f>
        <v>16962</v>
      </c>
      <c r="G44" s="23">
        <f>SUM(G18:G43)</f>
        <v>21000</v>
      </c>
      <c r="H44" s="23"/>
      <c r="I44" s="23"/>
      <c r="J44" s="23">
        <f>F44-G44</f>
        <v>-4038</v>
      </c>
      <c r="K44" s="24" t="s">
        <v>16</v>
      </c>
      <c r="L44" s="25">
        <f>SUM(L18:L36)</f>
        <v>0</v>
      </c>
      <c r="M44" s="25">
        <f>SUM(M18:M36)</f>
        <v>0</v>
      </c>
      <c r="N44" s="25">
        <f>SUM(N18:N37)</f>
        <v>16962</v>
      </c>
      <c r="O44" s="25">
        <f>SUM(O18:O36)</f>
        <v>0</v>
      </c>
      <c r="P44" s="26"/>
      <c r="Q44" s="26"/>
      <c r="R44" s="26"/>
      <c r="S44" s="26"/>
      <c r="T44" s="26"/>
      <c r="U44" s="119"/>
    </row>
    <row r="45" spans="1:21" x14ac:dyDescent="0.25">
      <c r="A45" s="108" t="s">
        <v>159</v>
      </c>
      <c r="B45" s="79" t="s">
        <v>97</v>
      </c>
      <c r="C45" s="79" t="s">
        <v>52</v>
      </c>
      <c r="D45" s="72" t="s">
        <v>98</v>
      </c>
      <c r="E45" s="93" t="s">
        <v>19</v>
      </c>
      <c r="F45" s="58">
        <v>1000</v>
      </c>
      <c r="G45" s="70"/>
      <c r="H45" s="70"/>
      <c r="I45" s="70"/>
      <c r="J45" s="70">
        <f t="shared" ref="J45:J70" si="2">F45-G45</f>
        <v>1000</v>
      </c>
      <c r="K45" s="72" t="s">
        <v>120</v>
      </c>
      <c r="L45" s="63"/>
      <c r="M45" s="65"/>
      <c r="N45" s="66">
        <v>1000</v>
      </c>
      <c r="O45" s="95"/>
      <c r="P45" s="18">
        <v>2E-3</v>
      </c>
      <c r="Q45" s="18">
        <v>0.04</v>
      </c>
      <c r="R45" s="18">
        <v>0.12330000000000001</v>
      </c>
      <c r="S45" s="18">
        <v>0</v>
      </c>
      <c r="T45" s="26">
        <v>0</v>
      </c>
      <c r="U45" s="119"/>
    </row>
    <row r="46" spans="1:21" x14ac:dyDescent="0.25">
      <c r="A46" s="108" t="s">
        <v>159</v>
      </c>
      <c r="B46" s="79" t="s">
        <v>97</v>
      </c>
      <c r="C46" s="79" t="s">
        <v>52</v>
      </c>
      <c r="D46" s="72" t="s">
        <v>98</v>
      </c>
      <c r="E46" s="93" t="s">
        <v>19</v>
      </c>
      <c r="F46" s="58">
        <v>1000</v>
      </c>
      <c r="G46" s="70"/>
      <c r="H46" s="70"/>
      <c r="I46" s="70"/>
      <c r="J46" s="70">
        <f t="shared" si="2"/>
        <v>1000</v>
      </c>
      <c r="K46" s="72" t="s">
        <v>124</v>
      </c>
      <c r="L46" s="63"/>
      <c r="M46" s="65"/>
      <c r="N46" s="66">
        <v>1000</v>
      </c>
      <c r="O46" s="95"/>
      <c r="P46" s="18">
        <v>1E-3</v>
      </c>
      <c r="Q46" s="18">
        <v>0.04</v>
      </c>
      <c r="R46" s="18">
        <v>0.1633</v>
      </c>
      <c r="S46" s="18">
        <v>0</v>
      </c>
      <c r="T46" s="26">
        <v>0</v>
      </c>
      <c r="U46" s="119"/>
    </row>
    <row r="47" spans="1:21" x14ac:dyDescent="0.25">
      <c r="A47" s="108" t="s">
        <v>164</v>
      </c>
      <c r="B47" s="79" t="s">
        <v>97</v>
      </c>
      <c r="C47" s="79" t="s">
        <v>53</v>
      </c>
      <c r="D47" s="72" t="s">
        <v>98</v>
      </c>
      <c r="E47" s="93" t="s">
        <v>19</v>
      </c>
      <c r="F47" s="58">
        <v>1000</v>
      </c>
      <c r="G47" s="70"/>
      <c r="H47" s="70"/>
      <c r="I47" s="70"/>
      <c r="J47" s="70">
        <f t="shared" si="2"/>
        <v>1000</v>
      </c>
      <c r="K47" s="72" t="s">
        <v>63</v>
      </c>
      <c r="L47" s="63"/>
      <c r="M47" s="65"/>
      <c r="N47" s="66">
        <v>1000</v>
      </c>
      <c r="O47" s="95"/>
      <c r="P47" s="18">
        <v>2E-3</v>
      </c>
      <c r="Q47" s="18">
        <v>0.03</v>
      </c>
      <c r="R47" s="18">
        <v>0.12659999999999999</v>
      </c>
      <c r="S47" s="18">
        <v>0</v>
      </c>
      <c r="T47" s="26">
        <v>0</v>
      </c>
      <c r="U47" s="119"/>
    </row>
    <row r="48" spans="1:21" x14ac:dyDescent="0.25">
      <c r="A48" s="108" t="s">
        <v>164</v>
      </c>
      <c r="B48" s="79" t="s">
        <v>97</v>
      </c>
      <c r="C48" s="79" t="s">
        <v>53</v>
      </c>
      <c r="D48" s="72" t="s">
        <v>98</v>
      </c>
      <c r="E48" s="93" t="s">
        <v>19</v>
      </c>
      <c r="F48" s="58">
        <v>1000</v>
      </c>
      <c r="G48" s="70"/>
      <c r="H48" s="70"/>
      <c r="I48" s="70"/>
      <c r="J48" s="70">
        <f t="shared" si="2"/>
        <v>1000</v>
      </c>
      <c r="K48" s="72" t="s">
        <v>64</v>
      </c>
      <c r="L48" s="63"/>
      <c r="M48" s="65"/>
      <c r="N48" s="66">
        <v>1000</v>
      </c>
      <c r="O48" s="95"/>
      <c r="P48" s="18">
        <v>1E-3</v>
      </c>
      <c r="Q48" s="18">
        <v>2.6599999999999999E-2</v>
      </c>
      <c r="R48" s="18">
        <v>7.0000000000000007E-2</v>
      </c>
      <c r="S48" s="18">
        <v>0</v>
      </c>
      <c r="T48" s="26">
        <v>0</v>
      </c>
      <c r="U48" s="119"/>
    </row>
    <row r="49" spans="1:21" x14ac:dyDescent="0.25">
      <c r="A49" s="108" t="s">
        <v>164</v>
      </c>
      <c r="B49" s="79" t="s">
        <v>97</v>
      </c>
      <c r="C49" s="79" t="s">
        <v>53</v>
      </c>
      <c r="D49" s="72" t="s">
        <v>98</v>
      </c>
      <c r="E49" s="93" t="s">
        <v>19</v>
      </c>
      <c r="F49" s="58">
        <v>1000</v>
      </c>
      <c r="G49" s="70"/>
      <c r="H49" s="70"/>
      <c r="I49" s="70"/>
      <c r="J49" s="70">
        <f t="shared" si="2"/>
        <v>1000</v>
      </c>
      <c r="K49" s="72" t="s">
        <v>68</v>
      </c>
      <c r="L49" s="63"/>
      <c r="M49" s="65"/>
      <c r="N49" s="66">
        <v>1000</v>
      </c>
      <c r="O49" s="95"/>
      <c r="P49" s="18">
        <v>0</v>
      </c>
      <c r="Q49" s="18">
        <v>0.05</v>
      </c>
      <c r="R49" s="18">
        <v>0.1166</v>
      </c>
      <c r="S49" s="18">
        <v>0</v>
      </c>
      <c r="T49" s="26">
        <v>0</v>
      </c>
      <c r="U49" s="119"/>
    </row>
    <row r="50" spans="1:21" x14ac:dyDescent="0.25">
      <c r="A50" s="108" t="s">
        <v>164</v>
      </c>
      <c r="B50" s="79" t="s">
        <v>97</v>
      </c>
      <c r="C50" s="79" t="s">
        <v>53</v>
      </c>
      <c r="D50" s="72" t="s">
        <v>98</v>
      </c>
      <c r="E50" s="93" t="s">
        <v>19</v>
      </c>
      <c r="F50" s="58">
        <v>1000</v>
      </c>
      <c r="G50" s="70"/>
      <c r="H50" s="70"/>
      <c r="I50" s="70"/>
      <c r="J50" s="70">
        <f t="shared" si="2"/>
        <v>1000</v>
      </c>
      <c r="K50" s="72" t="s">
        <v>69</v>
      </c>
      <c r="L50" s="63"/>
      <c r="M50" s="65"/>
      <c r="N50" s="66">
        <v>1000</v>
      </c>
      <c r="O50" s="95"/>
      <c r="P50" s="18">
        <v>0</v>
      </c>
      <c r="Q50" s="18">
        <v>0.03</v>
      </c>
      <c r="R50" s="18">
        <v>0.1166</v>
      </c>
      <c r="S50" s="18">
        <v>0</v>
      </c>
      <c r="T50" s="26">
        <v>0</v>
      </c>
      <c r="U50" s="119"/>
    </row>
    <row r="51" spans="1:21" x14ac:dyDescent="0.25">
      <c r="A51" s="108" t="s">
        <v>164</v>
      </c>
      <c r="B51" s="79" t="s">
        <v>97</v>
      </c>
      <c r="C51" s="79" t="s">
        <v>53</v>
      </c>
      <c r="D51" s="72" t="s">
        <v>98</v>
      </c>
      <c r="E51" s="93" t="s">
        <v>19</v>
      </c>
      <c r="F51" s="58">
        <v>1000</v>
      </c>
      <c r="G51" s="70"/>
      <c r="H51" s="70"/>
      <c r="I51" s="70"/>
      <c r="J51" s="70">
        <f t="shared" si="2"/>
        <v>1000</v>
      </c>
      <c r="K51" s="72" t="s">
        <v>70</v>
      </c>
      <c r="L51" s="63"/>
      <c r="M51" s="65"/>
      <c r="N51" s="66">
        <v>1000</v>
      </c>
      <c r="O51" s="95"/>
      <c r="P51" s="18">
        <v>1E-3</v>
      </c>
      <c r="Q51" s="18">
        <v>4.3299999999999998E-2</v>
      </c>
      <c r="R51" s="18">
        <v>0.11</v>
      </c>
      <c r="S51" s="18">
        <v>0</v>
      </c>
      <c r="T51" s="26">
        <v>0</v>
      </c>
      <c r="U51" s="119"/>
    </row>
    <row r="52" spans="1:21" x14ac:dyDescent="0.25">
      <c r="A52" s="108" t="s">
        <v>164</v>
      </c>
      <c r="B52" s="79" t="s">
        <v>97</v>
      </c>
      <c r="C52" s="79" t="s">
        <v>53</v>
      </c>
      <c r="D52" s="72" t="s">
        <v>98</v>
      </c>
      <c r="E52" s="93" t="s">
        <v>19</v>
      </c>
      <c r="F52" s="58"/>
      <c r="G52" s="70"/>
      <c r="H52" s="70" t="s">
        <v>182</v>
      </c>
      <c r="I52" s="70"/>
      <c r="J52" s="70">
        <f t="shared" si="2"/>
        <v>0</v>
      </c>
      <c r="K52" s="72" t="s">
        <v>71</v>
      </c>
      <c r="L52" s="63"/>
      <c r="M52" s="65"/>
      <c r="N52" s="66"/>
      <c r="O52" s="95"/>
      <c r="P52" s="18">
        <v>1E-3</v>
      </c>
      <c r="Q52" s="18">
        <v>3.6600000000000001E-2</v>
      </c>
      <c r="R52" s="18">
        <v>9.6600000000000005E-2</v>
      </c>
      <c r="S52" s="18">
        <v>0</v>
      </c>
      <c r="T52" s="26">
        <v>0</v>
      </c>
      <c r="U52" s="119"/>
    </row>
    <row r="53" spans="1:21" x14ac:dyDescent="0.25">
      <c r="A53" s="108" t="s">
        <v>164</v>
      </c>
      <c r="B53" s="79" t="s">
        <v>97</v>
      </c>
      <c r="C53" s="79" t="s">
        <v>53</v>
      </c>
      <c r="D53" s="72" t="s">
        <v>98</v>
      </c>
      <c r="E53" s="93" t="s">
        <v>19</v>
      </c>
      <c r="F53" s="58">
        <v>1000</v>
      </c>
      <c r="G53" s="70"/>
      <c r="H53" s="70"/>
      <c r="I53" s="70"/>
      <c r="J53" s="70">
        <f t="shared" si="2"/>
        <v>1000</v>
      </c>
      <c r="K53" s="72" t="s">
        <v>72</v>
      </c>
      <c r="L53" s="63"/>
      <c r="M53" s="65"/>
      <c r="N53" s="66">
        <v>1000</v>
      </c>
      <c r="O53" s="95"/>
      <c r="P53" s="18">
        <v>0</v>
      </c>
      <c r="Q53" s="18">
        <v>0.02</v>
      </c>
      <c r="R53" s="18">
        <v>0.1033</v>
      </c>
      <c r="S53" s="18">
        <v>0</v>
      </c>
      <c r="T53" s="26">
        <v>0</v>
      </c>
      <c r="U53" s="119"/>
    </row>
    <row r="54" spans="1:21" x14ac:dyDescent="0.25">
      <c r="A54" s="108" t="s">
        <v>164</v>
      </c>
      <c r="B54" s="79" t="s">
        <v>97</v>
      </c>
      <c r="C54" s="79" t="s">
        <v>53</v>
      </c>
      <c r="D54" s="72" t="s">
        <v>98</v>
      </c>
      <c r="E54" s="93" t="s">
        <v>19</v>
      </c>
      <c r="F54" s="58">
        <v>1000</v>
      </c>
      <c r="G54" s="70"/>
      <c r="H54" s="70"/>
      <c r="I54" s="70"/>
      <c r="J54" s="70">
        <f t="shared" si="2"/>
        <v>1000</v>
      </c>
      <c r="K54" s="72" t="s">
        <v>73</v>
      </c>
      <c r="L54" s="63"/>
      <c r="M54" s="65"/>
      <c r="N54" s="66">
        <v>1000</v>
      </c>
      <c r="O54" s="95"/>
      <c r="P54" s="18">
        <v>0</v>
      </c>
      <c r="Q54" s="18">
        <v>0.04</v>
      </c>
      <c r="R54" s="18">
        <v>0.09</v>
      </c>
      <c r="S54" s="18">
        <v>0</v>
      </c>
      <c r="T54" s="26">
        <v>0</v>
      </c>
      <c r="U54" s="119"/>
    </row>
    <row r="55" spans="1:21" x14ac:dyDescent="0.25">
      <c r="A55" s="108" t="s">
        <v>164</v>
      </c>
      <c r="B55" s="79" t="s">
        <v>97</v>
      </c>
      <c r="C55" s="79" t="s">
        <v>53</v>
      </c>
      <c r="D55" s="72" t="s">
        <v>98</v>
      </c>
      <c r="E55" s="93" t="s">
        <v>19</v>
      </c>
      <c r="F55" s="58">
        <v>1000</v>
      </c>
      <c r="G55" s="70"/>
      <c r="H55" s="70"/>
      <c r="I55" s="70"/>
      <c r="J55" s="70">
        <f t="shared" si="2"/>
        <v>1000</v>
      </c>
      <c r="K55" s="72" t="s">
        <v>92</v>
      </c>
      <c r="L55" s="63"/>
      <c r="M55" s="65"/>
      <c r="N55" s="66">
        <v>1000</v>
      </c>
      <c r="O55" s="95"/>
      <c r="P55" s="18">
        <v>2E-3</v>
      </c>
      <c r="Q55" s="18">
        <v>4.6600000000000003E-2</v>
      </c>
      <c r="R55" s="18">
        <v>6.6600000000000006E-2</v>
      </c>
      <c r="S55" s="18">
        <v>0</v>
      </c>
      <c r="T55" s="26">
        <v>0</v>
      </c>
      <c r="U55" s="119"/>
    </row>
    <row r="56" spans="1:21" x14ac:dyDescent="0.25">
      <c r="A56" s="108" t="s">
        <v>164</v>
      </c>
      <c r="B56" s="79" t="s">
        <v>97</v>
      </c>
      <c r="C56" s="79" t="s">
        <v>53</v>
      </c>
      <c r="D56" s="72" t="s">
        <v>98</v>
      </c>
      <c r="E56" s="93" t="s">
        <v>19</v>
      </c>
      <c r="F56" s="58">
        <v>1000</v>
      </c>
      <c r="G56" s="70"/>
      <c r="H56" s="70"/>
      <c r="I56" s="70"/>
      <c r="J56" s="70">
        <f t="shared" si="2"/>
        <v>1000</v>
      </c>
      <c r="K56" s="72" t="s">
        <v>93</v>
      </c>
      <c r="L56" s="63"/>
      <c r="M56" s="65"/>
      <c r="N56" s="66">
        <v>1000</v>
      </c>
      <c r="O56" s="95"/>
      <c r="P56" s="18">
        <v>2E-3</v>
      </c>
      <c r="Q56" s="18">
        <v>0.04</v>
      </c>
      <c r="R56" s="18">
        <v>9.6600000000000005E-2</v>
      </c>
      <c r="S56" s="18">
        <v>0</v>
      </c>
      <c r="T56" s="26">
        <v>0</v>
      </c>
      <c r="U56" s="119"/>
    </row>
    <row r="57" spans="1:21" x14ac:dyDescent="0.25">
      <c r="A57" s="108" t="s">
        <v>164</v>
      </c>
      <c r="B57" s="79" t="s">
        <v>97</v>
      </c>
      <c r="C57" s="79" t="s">
        <v>53</v>
      </c>
      <c r="D57" s="72" t="s">
        <v>98</v>
      </c>
      <c r="E57" s="93" t="s">
        <v>19</v>
      </c>
      <c r="F57" s="58">
        <v>1000</v>
      </c>
      <c r="G57" s="70"/>
      <c r="H57" s="70"/>
      <c r="I57" s="70"/>
      <c r="J57" s="70">
        <f t="shared" si="2"/>
        <v>1000</v>
      </c>
      <c r="K57" s="72" t="s">
        <v>94</v>
      </c>
      <c r="L57" s="63"/>
      <c r="M57" s="65"/>
      <c r="N57" s="66">
        <v>1000</v>
      </c>
      <c r="O57" s="95"/>
      <c r="P57" s="18">
        <v>2E-3</v>
      </c>
      <c r="Q57" s="18">
        <v>4.3299999999999998E-2</v>
      </c>
      <c r="R57" s="18">
        <v>9.3299999999999994E-2</v>
      </c>
      <c r="S57" s="18">
        <v>0</v>
      </c>
      <c r="T57" s="26">
        <v>0</v>
      </c>
      <c r="U57" s="119"/>
    </row>
    <row r="58" spans="1:21" x14ac:dyDescent="0.25">
      <c r="A58" s="108" t="s">
        <v>164</v>
      </c>
      <c r="B58" s="79" t="s">
        <v>97</v>
      </c>
      <c r="C58" s="79" t="s">
        <v>53</v>
      </c>
      <c r="D58" s="72" t="s">
        <v>98</v>
      </c>
      <c r="E58" s="93" t="s">
        <v>19</v>
      </c>
      <c r="F58" s="58">
        <v>1000</v>
      </c>
      <c r="G58" s="70"/>
      <c r="H58" s="70"/>
      <c r="I58" s="70"/>
      <c r="J58" s="70">
        <f t="shared" si="2"/>
        <v>1000</v>
      </c>
      <c r="K58" s="72" t="s">
        <v>95</v>
      </c>
      <c r="L58" s="63"/>
      <c r="M58" s="65"/>
      <c r="N58" s="66">
        <v>1000</v>
      </c>
      <c r="O58" s="95"/>
      <c r="P58" s="18">
        <v>2E-3</v>
      </c>
      <c r="Q58" s="18">
        <v>5.33E-2</v>
      </c>
      <c r="R58" s="18">
        <v>0.1066</v>
      </c>
      <c r="S58" s="18">
        <v>0</v>
      </c>
      <c r="T58" s="26">
        <v>0</v>
      </c>
      <c r="U58" s="119"/>
    </row>
    <row r="59" spans="1:21" x14ac:dyDescent="0.25">
      <c r="A59" s="108" t="s">
        <v>164</v>
      </c>
      <c r="B59" s="79" t="s">
        <v>97</v>
      </c>
      <c r="C59" s="79" t="s">
        <v>53</v>
      </c>
      <c r="D59" s="72" t="s">
        <v>98</v>
      </c>
      <c r="E59" s="93" t="s">
        <v>19</v>
      </c>
      <c r="F59" s="58">
        <v>1000</v>
      </c>
      <c r="G59" s="70"/>
      <c r="H59" s="70"/>
      <c r="I59" s="70"/>
      <c r="J59" s="70">
        <f t="shared" si="2"/>
        <v>1000</v>
      </c>
      <c r="K59" s="72" t="s">
        <v>118</v>
      </c>
      <c r="L59" s="63"/>
      <c r="M59" s="65"/>
      <c r="N59" s="66">
        <v>1000</v>
      </c>
      <c r="O59" s="95"/>
      <c r="P59" s="18">
        <v>0</v>
      </c>
      <c r="Q59" s="18">
        <v>4.3299999999999998E-2</v>
      </c>
      <c r="R59" s="18">
        <v>0.14000000000000001</v>
      </c>
      <c r="S59" s="18">
        <v>0</v>
      </c>
      <c r="T59" s="26">
        <v>0</v>
      </c>
      <c r="U59" s="119"/>
    </row>
    <row r="60" spans="1:21" x14ac:dyDescent="0.25">
      <c r="A60" s="108" t="s">
        <v>164</v>
      </c>
      <c r="B60" s="79" t="s">
        <v>97</v>
      </c>
      <c r="C60" s="79" t="s">
        <v>53</v>
      </c>
      <c r="D60" s="72" t="s">
        <v>98</v>
      </c>
      <c r="E60" s="93" t="s">
        <v>19</v>
      </c>
      <c r="F60" s="58">
        <v>1000</v>
      </c>
      <c r="G60" s="70"/>
      <c r="H60" s="70"/>
      <c r="I60" s="70"/>
      <c r="J60" s="70">
        <f t="shared" si="2"/>
        <v>1000</v>
      </c>
      <c r="K60" s="72" t="s">
        <v>119</v>
      </c>
      <c r="L60" s="63"/>
      <c r="M60" s="65"/>
      <c r="N60" s="66">
        <v>1000</v>
      </c>
      <c r="O60" s="95"/>
      <c r="P60" s="18">
        <v>1E-3</v>
      </c>
      <c r="Q60" s="18">
        <v>0.05</v>
      </c>
      <c r="R60" s="18">
        <v>0.12659999999999999</v>
      </c>
      <c r="S60" s="18">
        <v>0</v>
      </c>
      <c r="T60" s="26">
        <v>0</v>
      </c>
      <c r="U60" s="119"/>
    </row>
    <row r="61" spans="1:21" x14ac:dyDescent="0.25">
      <c r="A61" s="108" t="s">
        <v>164</v>
      </c>
      <c r="B61" s="79" t="s">
        <v>97</v>
      </c>
      <c r="C61" s="79" t="s">
        <v>53</v>
      </c>
      <c r="D61" s="72" t="s">
        <v>98</v>
      </c>
      <c r="E61" s="93" t="s">
        <v>19</v>
      </c>
      <c r="F61" s="58">
        <v>1000</v>
      </c>
      <c r="G61" s="70"/>
      <c r="H61" s="70"/>
      <c r="I61" s="70"/>
      <c r="J61" s="70">
        <f t="shared" si="2"/>
        <v>1000</v>
      </c>
      <c r="K61" s="72" t="s">
        <v>120</v>
      </c>
      <c r="L61" s="63"/>
      <c r="M61" s="65"/>
      <c r="N61" s="66">
        <v>1000</v>
      </c>
      <c r="O61" s="95"/>
      <c r="P61" s="18">
        <v>1E-3</v>
      </c>
      <c r="Q61" s="18">
        <v>4.6600000000000003E-2</v>
      </c>
      <c r="R61" s="18">
        <v>0.1333</v>
      </c>
      <c r="S61" s="18">
        <v>0</v>
      </c>
      <c r="T61" s="26">
        <v>0</v>
      </c>
      <c r="U61" s="119"/>
    </row>
    <row r="62" spans="1:21" x14ac:dyDescent="0.25">
      <c r="A62" s="108" t="s">
        <v>164</v>
      </c>
      <c r="B62" s="79" t="s">
        <v>97</v>
      </c>
      <c r="C62" s="79" t="s">
        <v>53</v>
      </c>
      <c r="D62" s="72" t="s">
        <v>98</v>
      </c>
      <c r="E62" s="93" t="s">
        <v>19</v>
      </c>
      <c r="F62" s="58">
        <v>1000</v>
      </c>
      <c r="G62" s="70"/>
      <c r="H62" s="70"/>
      <c r="I62" s="70"/>
      <c r="J62" s="70">
        <f t="shared" si="2"/>
        <v>1000</v>
      </c>
      <c r="K62" s="72" t="s">
        <v>124</v>
      </c>
      <c r="L62" s="63"/>
      <c r="M62" s="65"/>
      <c r="N62" s="66">
        <v>1000</v>
      </c>
      <c r="O62" s="95"/>
      <c r="P62" s="18">
        <v>2E-3</v>
      </c>
      <c r="Q62" s="18">
        <v>3.6600000000000001E-2</v>
      </c>
      <c r="R62" s="18">
        <v>0.16</v>
      </c>
      <c r="S62" s="18">
        <v>0</v>
      </c>
      <c r="T62" s="26">
        <v>0</v>
      </c>
      <c r="U62" s="119"/>
    </row>
    <row r="63" spans="1:21" x14ac:dyDescent="0.25">
      <c r="A63" s="108" t="s">
        <v>168</v>
      </c>
      <c r="B63" s="79" t="s">
        <v>97</v>
      </c>
      <c r="C63" s="79" t="s">
        <v>77</v>
      </c>
      <c r="D63" s="72" t="s">
        <v>98</v>
      </c>
      <c r="E63" s="93" t="s">
        <v>19</v>
      </c>
      <c r="F63" s="58">
        <v>1000</v>
      </c>
      <c r="G63" s="70"/>
      <c r="H63" s="70"/>
      <c r="I63" s="70"/>
      <c r="J63" s="70">
        <f t="shared" si="2"/>
        <v>1000</v>
      </c>
      <c r="K63" s="72" t="s">
        <v>63</v>
      </c>
      <c r="L63" s="63"/>
      <c r="M63" s="65"/>
      <c r="N63" s="66">
        <v>1000</v>
      </c>
      <c r="O63" s="95"/>
      <c r="P63" s="18">
        <v>1E-3</v>
      </c>
      <c r="Q63" s="18">
        <v>3.6600000000000001E-2</v>
      </c>
      <c r="R63" s="18">
        <v>0.12330000000000001</v>
      </c>
      <c r="S63" s="18">
        <v>0</v>
      </c>
      <c r="T63" s="26">
        <v>0</v>
      </c>
      <c r="U63" s="119"/>
    </row>
    <row r="64" spans="1:21" x14ac:dyDescent="0.25">
      <c r="A64" s="108" t="s">
        <v>168</v>
      </c>
      <c r="B64" s="79" t="s">
        <v>97</v>
      </c>
      <c r="C64" s="79" t="s">
        <v>77</v>
      </c>
      <c r="D64" s="72" t="s">
        <v>98</v>
      </c>
      <c r="E64" s="93" t="s">
        <v>19</v>
      </c>
      <c r="F64" s="58">
        <v>1000</v>
      </c>
      <c r="G64" s="70"/>
      <c r="H64" s="70"/>
      <c r="I64" s="70"/>
      <c r="J64" s="70">
        <f t="shared" si="2"/>
        <v>1000</v>
      </c>
      <c r="K64" s="72" t="s">
        <v>64</v>
      </c>
      <c r="L64" s="63"/>
      <c r="M64" s="65"/>
      <c r="N64" s="66">
        <v>1000</v>
      </c>
      <c r="O64" s="95"/>
      <c r="P64" s="18">
        <v>3.0000000000000001E-3</v>
      </c>
      <c r="Q64" s="18">
        <v>2.3300000000000001E-2</v>
      </c>
      <c r="R64" s="18">
        <v>0.1366</v>
      </c>
      <c r="S64" s="18">
        <v>0</v>
      </c>
      <c r="T64" s="26">
        <v>0</v>
      </c>
      <c r="U64" s="119"/>
    </row>
    <row r="65" spans="1:21" x14ac:dyDescent="0.25">
      <c r="A65" s="108" t="s">
        <v>168</v>
      </c>
      <c r="B65" s="79" t="s">
        <v>97</v>
      </c>
      <c r="C65" s="79" t="s">
        <v>77</v>
      </c>
      <c r="D65" s="72" t="s">
        <v>98</v>
      </c>
      <c r="E65" s="93" t="s">
        <v>19</v>
      </c>
      <c r="F65" s="58">
        <v>1000</v>
      </c>
      <c r="G65" s="70"/>
      <c r="H65" s="70"/>
      <c r="I65" s="70"/>
      <c r="J65" s="70">
        <f t="shared" si="2"/>
        <v>1000</v>
      </c>
      <c r="K65" s="72" t="s">
        <v>68</v>
      </c>
      <c r="L65" s="63"/>
      <c r="M65" s="65"/>
      <c r="N65" s="66">
        <v>1000</v>
      </c>
      <c r="O65" s="95"/>
      <c r="P65" s="18">
        <v>2E-3</v>
      </c>
      <c r="Q65" s="18">
        <v>0.02</v>
      </c>
      <c r="R65" s="18">
        <v>9.3299999999999994E-2</v>
      </c>
      <c r="S65" s="18">
        <v>0</v>
      </c>
      <c r="T65" s="26">
        <v>0</v>
      </c>
      <c r="U65" s="119"/>
    </row>
    <row r="66" spans="1:21" x14ac:dyDescent="0.25">
      <c r="A66" s="108" t="s">
        <v>168</v>
      </c>
      <c r="B66" s="79" t="s">
        <v>97</v>
      </c>
      <c r="C66" s="79" t="s">
        <v>77</v>
      </c>
      <c r="D66" s="72" t="s">
        <v>98</v>
      </c>
      <c r="E66" s="93" t="s">
        <v>19</v>
      </c>
      <c r="F66" s="58">
        <v>1000</v>
      </c>
      <c r="G66" s="70"/>
      <c r="H66" s="70"/>
      <c r="I66" s="70"/>
      <c r="J66" s="70">
        <f t="shared" si="2"/>
        <v>1000</v>
      </c>
      <c r="K66" s="72" t="s">
        <v>69</v>
      </c>
      <c r="L66" s="63"/>
      <c r="M66" s="65"/>
      <c r="N66" s="66">
        <v>1000</v>
      </c>
      <c r="O66" s="95"/>
      <c r="P66" s="18">
        <v>2E-3</v>
      </c>
      <c r="Q66" s="18">
        <v>2.3300000000000001E-2</v>
      </c>
      <c r="R66" s="18">
        <v>8.3299999999999999E-2</v>
      </c>
      <c r="S66" s="18">
        <v>0</v>
      </c>
      <c r="T66" s="26">
        <v>0</v>
      </c>
      <c r="U66" s="119"/>
    </row>
    <row r="67" spans="1:21" x14ac:dyDescent="0.25">
      <c r="A67" s="108" t="s">
        <v>168</v>
      </c>
      <c r="B67" s="79" t="s">
        <v>169</v>
      </c>
      <c r="C67" s="79" t="s">
        <v>77</v>
      </c>
      <c r="D67" s="72" t="s">
        <v>98</v>
      </c>
      <c r="E67" s="93" t="s">
        <v>19</v>
      </c>
      <c r="F67" s="58">
        <v>1000</v>
      </c>
      <c r="G67" s="70"/>
      <c r="H67" s="70"/>
      <c r="I67" s="70"/>
      <c r="J67" s="70">
        <f t="shared" si="2"/>
        <v>1000</v>
      </c>
      <c r="K67" s="72" t="s">
        <v>70</v>
      </c>
      <c r="L67" s="63"/>
      <c r="M67" s="65"/>
      <c r="N67" s="66">
        <v>1000</v>
      </c>
      <c r="O67" s="95"/>
      <c r="P67" s="18">
        <v>1E-3</v>
      </c>
      <c r="Q67" s="18">
        <v>1.66E-2</v>
      </c>
      <c r="R67" s="18">
        <v>7.3300000000000004E-2</v>
      </c>
      <c r="S67" s="18">
        <v>0</v>
      </c>
      <c r="T67" s="26">
        <v>0</v>
      </c>
      <c r="U67" s="119"/>
    </row>
    <row r="68" spans="1:21" x14ac:dyDescent="0.25">
      <c r="A68" s="108" t="s">
        <v>168</v>
      </c>
      <c r="B68" s="79" t="s">
        <v>169</v>
      </c>
      <c r="C68" s="79" t="s">
        <v>77</v>
      </c>
      <c r="D68" s="72" t="s">
        <v>98</v>
      </c>
      <c r="E68" s="93" t="s">
        <v>19</v>
      </c>
      <c r="F68" s="58">
        <v>1000</v>
      </c>
      <c r="G68" s="70"/>
      <c r="H68" s="70"/>
      <c r="I68" s="70"/>
      <c r="J68" s="70">
        <f t="shared" si="2"/>
        <v>1000</v>
      </c>
      <c r="K68" s="72" t="s">
        <v>71</v>
      </c>
      <c r="L68" s="63"/>
      <c r="M68" s="65"/>
      <c r="N68" s="66">
        <v>1000</v>
      </c>
      <c r="O68" s="95"/>
      <c r="P68" s="18">
        <v>1E-3</v>
      </c>
      <c r="Q68" s="18">
        <v>0.02</v>
      </c>
      <c r="R68" s="18">
        <v>6.6600000000000006E-2</v>
      </c>
      <c r="S68" s="18">
        <v>0</v>
      </c>
      <c r="T68" s="26">
        <v>0</v>
      </c>
      <c r="U68" s="119"/>
    </row>
    <row r="69" spans="1:21" x14ac:dyDescent="0.25">
      <c r="A69" s="108" t="s">
        <v>168</v>
      </c>
      <c r="B69" s="79" t="s">
        <v>169</v>
      </c>
      <c r="C69" s="79" t="s">
        <v>77</v>
      </c>
      <c r="D69" s="72" t="s">
        <v>98</v>
      </c>
      <c r="E69" s="93" t="s">
        <v>19</v>
      </c>
      <c r="F69" s="58">
        <v>1100</v>
      </c>
      <c r="G69" s="70"/>
      <c r="H69" s="70"/>
      <c r="I69" s="70"/>
      <c r="J69" s="70">
        <f t="shared" si="2"/>
        <v>1100</v>
      </c>
      <c r="K69" s="72" t="s">
        <v>72</v>
      </c>
      <c r="L69" s="63"/>
      <c r="M69" s="65"/>
      <c r="N69" s="66">
        <v>1100</v>
      </c>
      <c r="O69" s="95"/>
      <c r="P69" s="18">
        <v>2E-3</v>
      </c>
      <c r="Q69" s="18">
        <v>2.3300000000000001E-2</v>
      </c>
      <c r="R69" s="18">
        <v>7.0000000000000007E-2</v>
      </c>
      <c r="S69" s="18">
        <v>0</v>
      </c>
      <c r="T69" s="26">
        <v>0</v>
      </c>
      <c r="U69" s="119"/>
    </row>
    <row r="70" spans="1:21" x14ac:dyDescent="0.25">
      <c r="A70" s="108"/>
      <c r="B70" s="79"/>
      <c r="C70" s="79"/>
      <c r="D70" s="72"/>
      <c r="E70" s="93"/>
      <c r="F70" s="162"/>
      <c r="G70" s="70"/>
      <c r="H70" s="70"/>
      <c r="I70" s="70"/>
      <c r="J70" s="70">
        <f t="shared" si="2"/>
        <v>0</v>
      </c>
      <c r="K70" s="72"/>
      <c r="L70" s="63"/>
      <c r="M70" s="65"/>
      <c r="N70" s="66"/>
      <c r="O70" s="95"/>
      <c r="P70" s="18"/>
      <c r="Q70" s="18"/>
      <c r="R70" s="18"/>
      <c r="S70" s="18"/>
      <c r="T70" s="26"/>
      <c r="U70" s="119"/>
    </row>
    <row r="71" spans="1:21" x14ac:dyDescent="0.25">
      <c r="A71" s="34"/>
      <c r="B71" s="35"/>
      <c r="C71" s="35"/>
      <c r="D71" s="36" t="s">
        <v>101</v>
      </c>
      <c r="E71" s="37"/>
      <c r="F71" s="147"/>
      <c r="G71" s="147"/>
      <c r="H71" s="147"/>
      <c r="I71" s="147"/>
      <c r="J71" s="106"/>
      <c r="K71" s="38"/>
      <c r="L71" s="63"/>
      <c r="M71" s="65"/>
      <c r="N71" s="66"/>
      <c r="O71" s="95"/>
      <c r="P71" s="18"/>
      <c r="Q71" s="18"/>
      <c r="R71" s="18"/>
      <c r="S71" s="18"/>
      <c r="T71" s="26"/>
      <c r="U71" s="119"/>
    </row>
    <row r="72" spans="1:21" x14ac:dyDescent="0.25">
      <c r="A72" s="34"/>
      <c r="B72" s="35"/>
      <c r="C72" s="35"/>
      <c r="D72" s="36"/>
      <c r="E72" s="37"/>
      <c r="F72" s="147"/>
      <c r="G72" s="147"/>
      <c r="H72" s="147"/>
      <c r="I72" s="147"/>
      <c r="J72" s="106"/>
      <c r="K72" s="38"/>
      <c r="L72" s="63"/>
      <c r="M72" s="65"/>
      <c r="N72" s="66"/>
      <c r="O72" s="95"/>
      <c r="P72" s="18"/>
      <c r="Q72" s="18"/>
      <c r="R72" s="18"/>
      <c r="S72" s="18"/>
      <c r="T72" s="26"/>
      <c r="U72" s="119"/>
    </row>
    <row r="73" spans="1:21" x14ac:dyDescent="0.25">
      <c r="A73" s="34"/>
      <c r="B73" s="35"/>
      <c r="C73" s="35"/>
      <c r="D73" s="36" t="s">
        <v>123</v>
      </c>
      <c r="E73" s="37"/>
      <c r="F73" s="147"/>
      <c r="G73" s="147">
        <v>0</v>
      </c>
      <c r="H73" s="147"/>
      <c r="I73" s="185">
        <v>46296</v>
      </c>
      <c r="J73" s="106"/>
      <c r="K73" s="38"/>
      <c r="L73" s="27"/>
      <c r="M73" s="28"/>
      <c r="N73" s="103"/>
      <c r="O73" s="95"/>
      <c r="P73" s="18"/>
      <c r="Q73" s="29"/>
      <c r="R73" s="29"/>
      <c r="S73" s="29"/>
      <c r="T73" s="26"/>
      <c r="U73" s="119"/>
    </row>
    <row r="74" spans="1:21" x14ac:dyDescent="0.25">
      <c r="A74" s="34"/>
      <c r="B74" s="35"/>
      <c r="C74" s="80"/>
      <c r="D74" s="36" t="s">
        <v>157</v>
      </c>
      <c r="E74" s="37"/>
      <c r="F74" s="147"/>
      <c r="G74" s="147">
        <v>9730</v>
      </c>
      <c r="H74" s="147"/>
      <c r="I74" s="185">
        <v>46296</v>
      </c>
      <c r="J74" s="106"/>
      <c r="K74" s="38"/>
      <c r="L74" s="101"/>
      <c r="M74" s="102"/>
      <c r="N74" s="103"/>
      <c r="O74" s="95"/>
      <c r="P74" s="26"/>
      <c r="Q74" s="26"/>
      <c r="R74" s="26"/>
      <c r="S74" s="26"/>
      <c r="T74" s="26"/>
      <c r="U74" s="119"/>
    </row>
    <row r="75" spans="1:21" x14ac:dyDescent="0.25">
      <c r="A75" s="34"/>
      <c r="B75" s="35"/>
      <c r="C75" s="80"/>
      <c r="D75" s="36" t="s">
        <v>182</v>
      </c>
      <c r="E75" s="37" t="s">
        <v>235</v>
      </c>
      <c r="F75" s="147"/>
      <c r="G75" s="147">
        <v>12000</v>
      </c>
      <c r="H75" s="147"/>
      <c r="I75" s="185"/>
      <c r="J75" s="106"/>
      <c r="K75" s="38"/>
      <c r="L75" s="101"/>
      <c r="M75" s="102"/>
      <c r="N75" s="103"/>
      <c r="O75" s="95"/>
      <c r="P75" s="26"/>
      <c r="Q75" s="26"/>
      <c r="R75" s="26"/>
      <c r="S75" s="26"/>
      <c r="T75" s="26"/>
      <c r="U75" s="119"/>
    </row>
    <row r="76" spans="1:21" x14ac:dyDescent="0.25">
      <c r="A76" s="34"/>
      <c r="B76" s="35"/>
      <c r="C76" s="80"/>
      <c r="D76" s="36"/>
      <c r="E76" s="37"/>
      <c r="F76" s="147"/>
      <c r="G76" s="147"/>
      <c r="H76" s="147"/>
      <c r="I76" s="185"/>
      <c r="J76" s="106"/>
      <c r="K76" s="38"/>
      <c r="L76" s="101"/>
      <c r="M76" s="102"/>
      <c r="N76" s="103"/>
      <c r="O76" s="95"/>
      <c r="P76" s="26"/>
      <c r="Q76" s="26"/>
      <c r="R76" s="26"/>
      <c r="S76" s="26"/>
      <c r="T76" s="26"/>
      <c r="U76" s="119"/>
    </row>
    <row r="77" spans="1:21" x14ac:dyDescent="0.25">
      <c r="A77" s="70"/>
      <c r="B77" s="131"/>
      <c r="C77" s="70"/>
      <c r="D77" s="23" t="s">
        <v>15</v>
      </c>
      <c r="E77" s="24" t="s">
        <v>19</v>
      </c>
      <c r="F77" s="23">
        <f>SUM(F45:F70)</f>
        <v>24100</v>
      </c>
      <c r="G77" s="23">
        <f>SUM(G45:G74)</f>
        <v>9730</v>
      </c>
      <c r="H77" s="23"/>
      <c r="I77" s="23"/>
      <c r="J77" s="23">
        <f>F77-G77</f>
        <v>14370</v>
      </c>
      <c r="K77" s="24" t="s">
        <v>16</v>
      </c>
      <c r="L77" s="25">
        <f>SUM(L45:L70)</f>
        <v>0</v>
      </c>
      <c r="M77" s="25">
        <f>SUM(M45:M74)</f>
        <v>0</v>
      </c>
      <c r="N77" s="25">
        <f>SUM(N45:N74)</f>
        <v>24100</v>
      </c>
      <c r="O77" s="25">
        <f>SUM(O39:O44)</f>
        <v>0</v>
      </c>
      <c r="P77" s="26"/>
      <c r="Q77" s="26"/>
      <c r="R77" s="26"/>
      <c r="S77" s="26"/>
      <c r="T77" s="26"/>
      <c r="U77" s="119"/>
    </row>
    <row r="78" spans="1:21" x14ac:dyDescent="0.25">
      <c r="A78" s="108"/>
      <c r="B78" s="79"/>
      <c r="C78" s="79"/>
      <c r="D78" s="157"/>
      <c r="E78" s="75"/>
      <c r="F78" s="58"/>
      <c r="G78" s="47"/>
      <c r="H78" s="47"/>
      <c r="I78" s="47"/>
      <c r="J78" s="70">
        <f t="shared" ref="J78:J89" si="3">F78-G78</f>
        <v>0</v>
      </c>
      <c r="K78" s="68"/>
      <c r="L78" s="63"/>
      <c r="M78" s="65"/>
      <c r="N78" s="66"/>
      <c r="O78" s="115"/>
      <c r="P78" s="18"/>
      <c r="Q78" s="18"/>
      <c r="R78" s="18"/>
      <c r="S78" s="18"/>
      <c r="T78" s="94"/>
      <c r="U78" s="123"/>
    </row>
    <row r="79" spans="1:21" x14ac:dyDescent="0.25">
      <c r="A79" s="108"/>
      <c r="B79" s="79"/>
      <c r="C79" s="79"/>
      <c r="D79" s="157"/>
      <c r="E79" s="75"/>
      <c r="F79" s="58"/>
      <c r="G79" s="47"/>
      <c r="H79" s="47"/>
      <c r="I79" s="47"/>
      <c r="J79" s="70">
        <f t="shared" si="3"/>
        <v>0</v>
      </c>
      <c r="K79" s="68"/>
      <c r="L79" s="63"/>
      <c r="M79" s="65"/>
      <c r="N79" s="66"/>
      <c r="O79" s="115"/>
      <c r="P79" s="18"/>
      <c r="Q79" s="18"/>
      <c r="R79" s="18"/>
      <c r="S79" s="18"/>
      <c r="T79" s="94"/>
      <c r="U79" s="123"/>
    </row>
    <row r="80" spans="1:21" x14ac:dyDescent="0.25">
      <c r="A80" s="108" t="s">
        <v>159</v>
      </c>
      <c r="B80" s="79" t="s">
        <v>97</v>
      </c>
      <c r="C80" s="79" t="s">
        <v>160</v>
      </c>
      <c r="D80" s="157" t="s">
        <v>76</v>
      </c>
      <c r="E80" s="75" t="s">
        <v>22</v>
      </c>
      <c r="F80" s="58">
        <v>990</v>
      </c>
      <c r="G80" s="47"/>
      <c r="H80" s="47"/>
      <c r="I80" s="47"/>
      <c r="J80" s="70">
        <f t="shared" si="3"/>
        <v>990</v>
      </c>
      <c r="K80" s="68" t="s">
        <v>78</v>
      </c>
      <c r="L80" s="63"/>
      <c r="M80" s="65"/>
      <c r="N80" s="66">
        <v>990</v>
      </c>
      <c r="O80" s="115"/>
      <c r="P80" s="18">
        <v>0.36499999999999999</v>
      </c>
      <c r="Q80" s="18">
        <v>0</v>
      </c>
      <c r="R80" s="18">
        <v>0</v>
      </c>
      <c r="S80" s="18">
        <v>0</v>
      </c>
      <c r="T80" s="94">
        <v>0.13900000000000001</v>
      </c>
      <c r="U80" s="123"/>
    </row>
    <row r="81" spans="1:21" x14ac:dyDescent="0.25">
      <c r="A81" s="108" t="s">
        <v>159</v>
      </c>
      <c r="B81" s="79" t="s">
        <v>97</v>
      </c>
      <c r="C81" s="79" t="s">
        <v>160</v>
      </c>
      <c r="D81" s="157" t="s">
        <v>76</v>
      </c>
      <c r="E81" s="75" t="s">
        <v>22</v>
      </c>
      <c r="F81" s="58">
        <v>872</v>
      </c>
      <c r="G81" s="47"/>
      <c r="H81" s="47"/>
      <c r="I81" s="47"/>
      <c r="J81" s="70">
        <f t="shared" si="3"/>
        <v>872</v>
      </c>
      <c r="K81" s="68" t="s">
        <v>78</v>
      </c>
      <c r="L81" s="63"/>
      <c r="M81" s="65"/>
      <c r="N81" s="66">
        <v>872</v>
      </c>
      <c r="O81" s="115"/>
      <c r="P81" s="18">
        <v>0.39200000000000002</v>
      </c>
      <c r="Q81" s="18">
        <v>0</v>
      </c>
      <c r="R81" s="18">
        <v>0</v>
      </c>
      <c r="S81" s="18">
        <v>0</v>
      </c>
      <c r="T81" s="94">
        <v>0.16400000000000001</v>
      </c>
      <c r="U81" s="123"/>
    </row>
    <row r="82" spans="1:21" x14ac:dyDescent="0.25">
      <c r="A82" s="108" t="s">
        <v>164</v>
      </c>
      <c r="B82" s="79" t="s">
        <v>97</v>
      </c>
      <c r="C82" s="79" t="s">
        <v>165</v>
      </c>
      <c r="D82" s="157" t="s">
        <v>76</v>
      </c>
      <c r="E82" s="75" t="s">
        <v>22</v>
      </c>
      <c r="F82" s="58">
        <v>931</v>
      </c>
      <c r="G82" s="47"/>
      <c r="H82" s="47"/>
      <c r="I82" s="47"/>
      <c r="J82" s="70">
        <f t="shared" si="3"/>
        <v>931</v>
      </c>
      <c r="K82" s="68" t="s">
        <v>78</v>
      </c>
      <c r="L82" s="63"/>
      <c r="M82" s="65"/>
      <c r="N82" s="66">
        <v>931</v>
      </c>
      <c r="O82" s="115"/>
      <c r="P82" s="18">
        <v>0.35599999999999998</v>
      </c>
      <c r="Q82" s="18">
        <v>0</v>
      </c>
      <c r="R82" s="18">
        <v>0</v>
      </c>
      <c r="S82" s="18">
        <v>0</v>
      </c>
      <c r="T82" s="94">
        <v>0.23599999999999999</v>
      </c>
      <c r="U82" s="123"/>
    </row>
    <row r="83" spans="1:21" x14ac:dyDescent="0.25">
      <c r="A83" s="108" t="s">
        <v>164</v>
      </c>
      <c r="B83" s="79" t="s">
        <v>97</v>
      </c>
      <c r="C83" s="79" t="s">
        <v>165</v>
      </c>
      <c r="D83" s="157" t="s">
        <v>76</v>
      </c>
      <c r="E83" s="75" t="s">
        <v>22</v>
      </c>
      <c r="F83" s="58">
        <v>949</v>
      </c>
      <c r="G83" s="47"/>
      <c r="H83" s="47"/>
      <c r="I83" s="47"/>
      <c r="J83" s="70">
        <f t="shared" si="3"/>
        <v>949</v>
      </c>
      <c r="K83" s="68" t="s">
        <v>78</v>
      </c>
      <c r="L83" s="63"/>
      <c r="M83" s="65"/>
      <c r="N83" s="66">
        <v>949</v>
      </c>
      <c r="O83" s="115"/>
      <c r="P83" s="18">
        <v>0.41299999999999998</v>
      </c>
      <c r="Q83" s="18">
        <v>0</v>
      </c>
      <c r="R83" s="18">
        <v>0</v>
      </c>
      <c r="S83" s="18">
        <v>0</v>
      </c>
      <c r="T83" s="94">
        <v>0.19700000000000001</v>
      </c>
      <c r="U83" s="123"/>
    </row>
    <row r="84" spans="1:21" x14ac:dyDescent="0.25">
      <c r="A84" s="108" t="s">
        <v>164</v>
      </c>
      <c r="B84" s="79" t="s">
        <v>97</v>
      </c>
      <c r="C84" s="79" t="s">
        <v>165</v>
      </c>
      <c r="D84" s="157" t="s">
        <v>76</v>
      </c>
      <c r="E84" s="75" t="s">
        <v>22</v>
      </c>
      <c r="F84" s="58">
        <v>1026</v>
      </c>
      <c r="G84" s="47"/>
      <c r="H84" s="47"/>
      <c r="I84" s="47"/>
      <c r="J84" s="70">
        <f t="shared" si="3"/>
        <v>1026</v>
      </c>
      <c r="K84" s="68" t="s">
        <v>78</v>
      </c>
      <c r="L84" s="63"/>
      <c r="M84" s="65"/>
      <c r="N84" s="66">
        <v>1026</v>
      </c>
      <c r="O84" s="115"/>
      <c r="P84" s="18">
        <v>8.9999999999999993E-3</v>
      </c>
      <c r="Q84" s="18">
        <v>0</v>
      </c>
      <c r="R84" s="18">
        <v>0</v>
      </c>
      <c r="S84" s="18">
        <v>0</v>
      </c>
      <c r="T84" s="94">
        <v>4.0000000000000001E-3</v>
      </c>
      <c r="U84" s="123"/>
    </row>
    <row r="85" spans="1:21" x14ac:dyDescent="0.25">
      <c r="A85" s="108" t="s">
        <v>164</v>
      </c>
      <c r="B85" s="79" t="s">
        <v>97</v>
      </c>
      <c r="C85" s="79" t="s">
        <v>165</v>
      </c>
      <c r="D85" s="157" t="s">
        <v>76</v>
      </c>
      <c r="E85" s="75" t="s">
        <v>22</v>
      </c>
      <c r="F85" s="58">
        <v>926</v>
      </c>
      <c r="G85" s="47"/>
      <c r="H85" s="47"/>
      <c r="I85" s="47"/>
      <c r="J85" s="70">
        <f t="shared" si="3"/>
        <v>926</v>
      </c>
      <c r="K85" s="68" t="s">
        <v>78</v>
      </c>
      <c r="L85" s="63"/>
      <c r="M85" s="65"/>
      <c r="N85" s="66">
        <v>926</v>
      </c>
      <c r="O85" s="115"/>
      <c r="P85" s="18">
        <v>0.307</v>
      </c>
      <c r="Q85" s="18">
        <v>0</v>
      </c>
      <c r="R85" s="18">
        <v>0</v>
      </c>
      <c r="S85" s="18">
        <v>0</v>
      </c>
      <c r="T85" s="94">
        <v>0.158</v>
      </c>
      <c r="U85" s="123"/>
    </row>
    <row r="86" spans="1:21" x14ac:dyDescent="0.25">
      <c r="A86" s="108" t="s">
        <v>168</v>
      </c>
      <c r="B86" s="79" t="s">
        <v>97</v>
      </c>
      <c r="C86" s="79" t="s">
        <v>77</v>
      </c>
      <c r="D86" s="157" t="s">
        <v>76</v>
      </c>
      <c r="E86" s="75" t="s">
        <v>22</v>
      </c>
      <c r="F86" s="58">
        <v>890</v>
      </c>
      <c r="G86" s="47"/>
      <c r="H86" s="47"/>
      <c r="I86" s="47"/>
      <c r="J86" s="70">
        <f t="shared" si="3"/>
        <v>890</v>
      </c>
      <c r="K86" s="68" t="s">
        <v>78</v>
      </c>
      <c r="L86" s="63"/>
      <c r="M86" s="65"/>
      <c r="N86" s="66">
        <v>890</v>
      </c>
      <c r="O86" s="115"/>
      <c r="P86" s="18">
        <v>0.27500000000000002</v>
      </c>
      <c r="Q86" s="18">
        <v>0</v>
      </c>
      <c r="R86" s="18">
        <v>0</v>
      </c>
      <c r="S86" s="18">
        <v>0</v>
      </c>
      <c r="T86" s="94">
        <v>0.11600000000000001</v>
      </c>
      <c r="U86" s="123"/>
    </row>
    <row r="87" spans="1:21" x14ac:dyDescent="0.25">
      <c r="A87" s="108" t="s">
        <v>168</v>
      </c>
      <c r="B87" s="79" t="s">
        <v>97</v>
      </c>
      <c r="C87" s="79" t="s">
        <v>77</v>
      </c>
      <c r="D87" s="157" t="s">
        <v>76</v>
      </c>
      <c r="E87" s="75" t="s">
        <v>22</v>
      </c>
      <c r="F87" s="58">
        <v>940</v>
      </c>
      <c r="G87" s="47"/>
      <c r="H87" s="47"/>
      <c r="I87" s="47"/>
      <c r="J87" s="70">
        <f t="shared" si="3"/>
        <v>940</v>
      </c>
      <c r="K87" s="68" t="s">
        <v>78</v>
      </c>
      <c r="L87" s="63"/>
      <c r="M87" s="65"/>
      <c r="N87" s="66">
        <v>940</v>
      </c>
      <c r="O87" s="115"/>
      <c r="P87" s="18">
        <v>0.28399999999999997</v>
      </c>
      <c r="Q87" s="18">
        <v>0</v>
      </c>
      <c r="R87" s="18">
        <v>0</v>
      </c>
      <c r="S87" s="18">
        <v>0</v>
      </c>
      <c r="T87" s="94">
        <v>0.158</v>
      </c>
      <c r="U87" s="123"/>
    </row>
    <row r="88" spans="1:21" x14ac:dyDescent="0.25">
      <c r="A88" s="108" t="s">
        <v>168</v>
      </c>
      <c r="B88" s="79" t="s">
        <v>169</v>
      </c>
      <c r="C88" s="79" t="s">
        <v>77</v>
      </c>
      <c r="D88" s="157" t="s">
        <v>76</v>
      </c>
      <c r="E88" s="75" t="s">
        <v>22</v>
      </c>
      <c r="F88" s="58">
        <v>746</v>
      </c>
      <c r="G88" s="47"/>
      <c r="H88" s="47"/>
      <c r="I88" s="47"/>
      <c r="J88" s="70">
        <f t="shared" si="3"/>
        <v>746</v>
      </c>
      <c r="K88" s="68" t="s">
        <v>78</v>
      </c>
      <c r="L88" s="63"/>
      <c r="M88" s="65"/>
      <c r="N88" s="66">
        <v>746</v>
      </c>
      <c r="O88" s="115"/>
      <c r="P88" s="18">
        <v>1.2E-2</v>
      </c>
      <c r="Q88" s="18">
        <v>0</v>
      </c>
      <c r="R88" s="18">
        <v>0</v>
      </c>
      <c r="S88" s="18">
        <v>0</v>
      </c>
      <c r="T88" s="94">
        <v>8.0000000000000002E-3</v>
      </c>
      <c r="U88" s="123"/>
    </row>
    <row r="89" spans="1:21" x14ac:dyDescent="0.25">
      <c r="A89" s="81"/>
      <c r="B89" s="132"/>
      <c r="C89" s="82"/>
      <c r="D89" s="70"/>
      <c r="E89" s="57"/>
      <c r="F89" s="58"/>
      <c r="G89" s="47"/>
      <c r="H89" s="47"/>
      <c r="I89" s="47"/>
      <c r="J89" s="70">
        <f t="shared" si="3"/>
        <v>0</v>
      </c>
      <c r="K89" s="55"/>
      <c r="L89" s="63"/>
      <c r="M89" s="65"/>
      <c r="N89" s="107"/>
      <c r="O89" s="115"/>
      <c r="P89" s="18"/>
      <c r="Q89" s="18"/>
      <c r="R89" s="18"/>
      <c r="S89" s="29"/>
      <c r="T89" s="29"/>
      <c r="U89" s="123"/>
    </row>
    <row r="90" spans="1:21" x14ac:dyDescent="0.25">
      <c r="A90" s="124"/>
      <c r="B90" s="133"/>
      <c r="C90" s="125"/>
      <c r="D90" s="126"/>
      <c r="E90" s="87"/>
      <c r="F90" s="88"/>
      <c r="G90" s="89"/>
      <c r="H90" s="89"/>
      <c r="I90" s="89"/>
      <c r="J90" s="127"/>
      <c r="K90" s="90"/>
      <c r="L90" s="63"/>
      <c r="M90" s="64"/>
      <c r="N90" s="107"/>
      <c r="O90" s="115"/>
      <c r="P90" s="18"/>
      <c r="Q90" s="18"/>
      <c r="R90" s="18"/>
      <c r="S90" s="18"/>
      <c r="T90" s="18"/>
      <c r="U90" s="122"/>
    </row>
    <row r="91" spans="1:21" x14ac:dyDescent="0.25">
      <c r="A91" s="124"/>
      <c r="B91" s="133"/>
      <c r="C91" s="125"/>
      <c r="D91" s="127"/>
      <c r="E91" s="87"/>
      <c r="F91" s="88"/>
      <c r="G91" s="91"/>
      <c r="H91" s="91"/>
      <c r="I91" s="91"/>
      <c r="J91" s="127"/>
      <c r="K91" s="144"/>
      <c r="L91" s="63"/>
      <c r="M91" s="65"/>
      <c r="N91" s="107"/>
      <c r="O91" s="115"/>
      <c r="P91" s="18"/>
      <c r="Q91" s="18"/>
      <c r="R91" s="18"/>
      <c r="S91" s="18"/>
      <c r="T91" s="18"/>
      <c r="U91" s="122"/>
    </row>
    <row r="92" spans="1:21" x14ac:dyDescent="0.25">
      <c r="A92" s="127"/>
      <c r="B92" s="134"/>
      <c r="C92" s="125"/>
      <c r="D92" s="127"/>
      <c r="E92" s="87"/>
      <c r="F92" s="88"/>
      <c r="G92" s="91"/>
      <c r="H92" s="91"/>
      <c r="I92" s="91"/>
      <c r="J92" s="127"/>
      <c r="K92" s="90"/>
      <c r="L92" s="56"/>
      <c r="M92" s="65"/>
      <c r="N92" s="107"/>
      <c r="O92" s="115"/>
      <c r="P92" s="18"/>
      <c r="Q92" s="18"/>
      <c r="R92" s="18"/>
      <c r="S92" s="18"/>
      <c r="T92" s="18"/>
      <c r="U92" s="123"/>
    </row>
    <row r="93" spans="1:21" x14ac:dyDescent="0.25">
      <c r="A93" s="128"/>
      <c r="B93" s="135"/>
      <c r="C93" s="129"/>
      <c r="D93" s="23" t="s">
        <v>15</v>
      </c>
      <c r="E93" s="52" t="s">
        <v>22</v>
      </c>
      <c r="F93" s="23">
        <f>SUM(F78:F92)</f>
        <v>8270</v>
      </c>
      <c r="G93" s="23">
        <f>SUM(G78:G92)</f>
        <v>0</v>
      </c>
      <c r="H93" s="23"/>
      <c r="I93" s="23"/>
      <c r="J93" s="23">
        <f>F93-G93</f>
        <v>8270</v>
      </c>
      <c r="K93" s="24" t="s">
        <v>16</v>
      </c>
      <c r="L93" s="25">
        <f>SUM(L78:L89)</f>
        <v>0</v>
      </c>
      <c r="M93" s="25">
        <f>SUM(M78:M89)</f>
        <v>0</v>
      </c>
      <c r="N93" s="25">
        <f>SUM(N78:N92)</f>
        <v>8270</v>
      </c>
      <c r="O93" s="25">
        <f>SUM(O78:O92)</f>
        <v>0</v>
      </c>
      <c r="P93" s="18"/>
      <c r="Q93" s="18"/>
      <c r="R93" s="18"/>
      <c r="S93" s="18"/>
      <c r="T93" s="18"/>
      <c r="U93" s="123"/>
    </row>
    <row r="94" spans="1:21" x14ac:dyDescent="0.25">
      <c r="A94" s="128"/>
      <c r="B94" s="135"/>
      <c r="C94" s="129"/>
      <c r="D94" s="23"/>
      <c r="E94" s="52"/>
      <c r="F94" s="23"/>
      <c r="G94" s="23"/>
      <c r="H94" s="23"/>
      <c r="I94" s="23"/>
      <c r="J94" s="23"/>
      <c r="K94" s="24"/>
      <c r="L94" s="25"/>
      <c r="M94" s="25"/>
      <c r="N94" s="25"/>
      <c r="O94" s="25"/>
      <c r="P94" s="18"/>
      <c r="Q94" s="18"/>
      <c r="R94" s="18"/>
      <c r="S94" s="18"/>
      <c r="T94" s="18"/>
      <c r="U94" s="123"/>
    </row>
    <row r="95" spans="1:21" x14ac:dyDescent="0.25">
      <c r="A95" s="81" t="s">
        <v>164</v>
      </c>
      <c r="B95" s="79" t="s">
        <v>97</v>
      </c>
      <c r="C95" s="79" t="s">
        <v>167</v>
      </c>
      <c r="D95" s="157" t="s">
        <v>76</v>
      </c>
      <c r="E95" s="75" t="s">
        <v>135</v>
      </c>
      <c r="F95" s="58">
        <v>665</v>
      </c>
      <c r="G95" s="47"/>
      <c r="H95" s="47"/>
      <c r="I95" s="47"/>
      <c r="J95" s="70"/>
      <c r="K95" s="68" t="s">
        <v>78</v>
      </c>
      <c r="L95" s="63"/>
      <c r="M95" s="64"/>
      <c r="N95" s="173">
        <v>665</v>
      </c>
      <c r="O95" s="25"/>
      <c r="P95" s="18">
        <v>0.36499999999999999</v>
      </c>
      <c r="Q95" s="18">
        <v>0.22</v>
      </c>
      <c r="R95" s="18">
        <v>0.18</v>
      </c>
      <c r="S95" s="18">
        <v>0</v>
      </c>
      <c r="T95" s="18">
        <v>5.0000000000000001E-3</v>
      </c>
      <c r="U95" s="123"/>
    </row>
    <row r="96" spans="1:21" x14ac:dyDescent="0.25">
      <c r="A96" s="81" t="s">
        <v>164</v>
      </c>
      <c r="B96" s="79" t="s">
        <v>97</v>
      </c>
      <c r="C96" s="79" t="s">
        <v>167</v>
      </c>
      <c r="D96" s="157" t="s">
        <v>76</v>
      </c>
      <c r="E96" s="75" t="s">
        <v>134</v>
      </c>
      <c r="F96" s="58">
        <v>653</v>
      </c>
      <c r="G96" s="46"/>
      <c r="H96" s="47"/>
      <c r="I96" s="46"/>
      <c r="J96" s="70"/>
      <c r="K96" s="68" t="s">
        <v>78</v>
      </c>
      <c r="L96" s="63"/>
      <c r="M96" s="65"/>
      <c r="N96" s="173">
        <v>653</v>
      </c>
      <c r="O96" s="115"/>
      <c r="P96" s="18">
        <v>0.32900000000000001</v>
      </c>
      <c r="Q96" s="18">
        <v>0.25</v>
      </c>
      <c r="R96" s="18">
        <v>0.23</v>
      </c>
      <c r="S96" s="18">
        <v>0</v>
      </c>
      <c r="T96" s="18">
        <v>1.9E-2</v>
      </c>
      <c r="U96" s="123"/>
    </row>
    <row r="97" spans="1:21" x14ac:dyDescent="0.25">
      <c r="A97" s="70"/>
      <c r="B97" s="131"/>
      <c r="C97" s="70"/>
      <c r="D97" s="23" t="s">
        <v>15</v>
      </c>
      <c r="E97" s="52" t="s">
        <v>39</v>
      </c>
      <c r="F97" s="25">
        <f>SUM(F95:F96)</f>
        <v>1318</v>
      </c>
      <c r="G97" s="25">
        <f>SUM(G95:G96)</f>
        <v>0</v>
      </c>
      <c r="H97" s="23"/>
      <c r="I97" s="23"/>
      <c r="J97" s="25">
        <f>F97-G97</f>
        <v>1318</v>
      </c>
      <c r="K97" s="24" t="s">
        <v>16</v>
      </c>
      <c r="L97" s="25">
        <f>SUM(L95:L96)</f>
        <v>0</v>
      </c>
      <c r="M97" s="25">
        <f>SUM(M78:M96)</f>
        <v>0</v>
      </c>
      <c r="N97" s="25">
        <f>SUM(N95:N96)</f>
        <v>1318</v>
      </c>
      <c r="O97" s="25">
        <f>SUM(O78:O96)</f>
        <v>0</v>
      </c>
      <c r="P97" s="26"/>
      <c r="Q97" s="26"/>
      <c r="R97" s="26"/>
      <c r="S97" s="26"/>
      <c r="T97" s="26"/>
      <c r="U97" s="111"/>
    </row>
    <row r="98" spans="1:21" x14ac:dyDescent="0.25">
      <c r="A98" s="70"/>
      <c r="B98" s="131"/>
      <c r="C98" s="81"/>
      <c r="D98" s="70"/>
      <c r="E98" s="108"/>
      <c r="F98" s="70"/>
      <c r="G98" s="70"/>
      <c r="H98" s="70"/>
      <c r="I98" s="70"/>
      <c r="J98" s="70"/>
      <c r="K98" s="70"/>
      <c r="L98" s="101"/>
      <c r="M98" s="109"/>
      <c r="N98" s="107"/>
      <c r="O98" s="115"/>
      <c r="P98" s="26"/>
      <c r="Q98" s="26"/>
      <c r="R98" s="26"/>
      <c r="S98" s="26"/>
      <c r="T98" s="26"/>
      <c r="U98" s="111"/>
    </row>
    <row r="99" spans="1:21" x14ac:dyDescent="0.25">
      <c r="A99" s="70"/>
      <c r="B99" s="131"/>
      <c r="C99" s="70"/>
      <c r="D99" s="70"/>
      <c r="E99" s="70"/>
      <c r="F99" s="70"/>
      <c r="G99" s="70"/>
      <c r="H99" s="70"/>
      <c r="I99" s="70"/>
      <c r="J99" s="70"/>
      <c r="K99" s="70"/>
      <c r="L99" s="101"/>
      <c r="M99" s="109"/>
      <c r="N99" s="107"/>
      <c r="O99" s="115"/>
      <c r="P99" s="26"/>
      <c r="Q99" s="26"/>
      <c r="R99" s="26"/>
      <c r="S99" s="26"/>
      <c r="T99" s="70"/>
      <c r="U99" s="111"/>
    </row>
    <row r="100" spans="1:21" x14ac:dyDescent="0.25">
      <c r="A100" s="70"/>
      <c r="B100" s="131"/>
      <c r="C100" s="70"/>
      <c r="D100" s="199" t="s">
        <v>24</v>
      </c>
      <c r="E100" s="200"/>
      <c r="F100" s="39">
        <f>SUM(F17,F44,F77,F93,F97)</f>
        <v>54296</v>
      </c>
      <c r="G100" s="39">
        <f>SUM(G17,G44,G77,G93,G97)</f>
        <v>32730</v>
      </c>
      <c r="H100" s="39"/>
      <c r="I100" s="39"/>
      <c r="J100" s="39">
        <f>SUM(F100-G100)</f>
        <v>21566</v>
      </c>
      <c r="K100" s="40" t="s">
        <v>16</v>
      </c>
      <c r="L100" s="39">
        <f>SUM(L17,L44,L77,L93,L97)</f>
        <v>0</v>
      </c>
      <c r="M100" s="39">
        <f>SUM(M17,M44,M77,M93,M97)</f>
        <v>0</v>
      </c>
      <c r="N100" s="39">
        <f>SUM(N17,N44,N77,N93,N97)</f>
        <v>54296</v>
      </c>
      <c r="O100" s="39">
        <f>SUM(O17,O44,O77,O93,O97)</f>
        <v>0</v>
      </c>
      <c r="P100" s="26"/>
      <c r="Q100" s="26"/>
      <c r="R100" s="26"/>
      <c r="S100" s="26"/>
      <c r="T100" s="70"/>
      <c r="U100" s="111"/>
    </row>
    <row r="101" spans="1:21" x14ac:dyDescent="0.25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6"/>
      <c r="Q101" s="116"/>
      <c r="R101" s="116"/>
      <c r="S101" s="116"/>
      <c r="T101" s="111"/>
      <c r="U101" s="111"/>
    </row>
    <row r="102" spans="1:21" ht="18" x14ac:dyDescent="0.25">
      <c r="A102" s="111"/>
      <c r="B102" s="111"/>
      <c r="C102" s="111"/>
      <c r="D102" s="41"/>
      <c r="E102" s="111"/>
      <c r="F102" s="111"/>
      <c r="G102" s="111"/>
      <c r="H102" s="111"/>
      <c r="I102" s="111"/>
      <c r="J102" s="111"/>
      <c r="K102" s="42" t="s">
        <v>20</v>
      </c>
      <c r="L102" s="42">
        <f>F100-L100-M100-N100-O100</f>
        <v>0</v>
      </c>
      <c r="M102" s="111"/>
      <c r="N102" s="111"/>
      <c r="O102" s="111"/>
      <c r="P102" s="111"/>
      <c r="Q102" s="111"/>
      <c r="R102" s="111"/>
      <c r="S102" s="111"/>
      <c r="T102" s="111"/>
      <c r="U102" s="111"/>
    </row>
    <row r="103" spans="1:21" x14ac:dyDescent="0.25">
      <c r="A103" s="111"/>
      <c r="B103" s="111"/>
      <c r="C103" s="111"/>
      <c r="D103" s="43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</row>
    <row r="104" spans="1:21" x14ac:dyDescent="0.25">
      <c r="A104" s="111"/>
      <c r="B104" s="111"/>
      <c r="C104" s="111"/>
      <c r="D104" s="43"/>
      <c r="E104" s="111"/>
      <c r="F104" s="111"/>
      <c r="G104" s="48"/>
      <c r="H104" s="48"/>
      <c r="I104" s="48"/>
      <c r="J104" s="48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</row>
    <row r="105" spans="1:21" x14ac:dyDescent="0.25">
      <c r="A105" s="111"/>
      <c r="B105" s="111"/>
      <c r="C105" s="111"/>
      <c r="D105" s="43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</row>
    <row r="106" spans="1:21" x14ac:dyDescent="0.25">
      <c r="A106" s="111"/>
      <c r="B106" s="111"/>
      <c r="C106" s="111"/>
      <c r="D106" s="43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</row>
    <row r="107" spans="1:21" x14ac:dyDescent="0.25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</row>
    <row r="108" spans="1:21" x14ac:dyDescent="0.25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</row>
    <row r="109" spans="1:21" ht="33" x14ac:dyDescent="0.45">
      <c r="A109" s="111"/>
      <c r="B109" s="111"/>
      <c r="C109" s="111"/>
      <c r="D109" s="213" t="s">
        <v>48</v>
      </c>
      <c r="E109" s="214"/>
      <c r="F109" s="214"/>
      <c r="G109" s="214"/>
      <c r="H109" s="214"/>
      <c r="I109" s="214"/>
      <c r="J109" s="214"/>
      <c r="K109" s="214"/>
      <c r="L109" s="214"/>
      <c r="M109" s="215"/>
      <c r="N109" s="111"/>
      <c r="O109" s="111"/>
      <c r="P109" s="111"/>
      <c r="Q109" s="111"/>
      <c r="R109" s="111"/>
      <c r="S109" s="111"/>
      <c r="T109" s="111"/>
      <c r="U109" s="111"/>
    </row>
    <row r="110" spans="1:21" x14ac:dyDescent="0.25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</row>
    <row r="111" spans="1:21" x14ac:dyDescent="0.25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</row>
    <row r="112" spans="1:21" x14ac:dyDescent="0.25">
      <c r="A112" s="208" t="s">
        <v>25</v>
      </c>
      <c r="B112" s="209"/>
      <c r="C112" s="210"/>
      <c r="D112" s="44" t="s">
        <v>26</v>
      </c>
      <c r="E112" s="59" t="s">
        <v>34</v>
      </c>
      <c r="F112" s="61" t="s">
        <v>33</v>
      </c>
      <c r="G112" s="208" t="s">
        <v>27</v>
      </c>
      <c r="H112" s="210"/>
      <c r="I112" s="208" t="s">
        <v>28</v>
      </c>
      <c r="J112" s="210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</row>
    <row r="113" spans="1:21" x14ac:dyDescent="0.25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211" t="s">
        <v>35</v>
      </c>
      <c r="M113" s="212"/>
      <c r="N113" s="212"/>
      <c r="O113" s="212"/>
      <c r="P113" s="212"/>
      <c r="Q113" s="212"/>
      <c r="R113" s="212"/>
      <c r="S113" s="212"/>
      <c r="T113" s="212"/>
      <c r="U113" s="212"/>
    </row>
    <row r="114" spans="1:21" x14ac:dyDescent="0.25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</row>
    <row r="115" spans="1:21" x14ac:dyDescent="0.25">
      <c r="A115" s="201" t="s">
        <v>50</v>
      </c>
      <c r="B115" s="202"/>
      <c r="C115" s="203"/>
      <c r="D115" s="49"/>
      <c r="E115" s="84">
        <v>80240</v>
      </c>
      <c r="F115" s="153">
        <v>0.40699999999999997</v>
      </c>
      <c r="G115" s="204">
        <f>E115*0.407</f>
        <v>32657.679999999997</v>
      </c>
      <c r="H115" s="205"/>
      <c r="I115" s="206">
        <v>32</v>
      </c>
      <c r="J115" s="207"/>
      <c r="K115" s="111"/>
      <c r="L115" s="70"/>
      <c r="M115" s="70"/>
      <c r="N115" s="70"/>
      <c r="O115" s="70"/>
      <c r="P115" s="70"/>
      <c r="Q115" s="70"/>
      <c r="R115" s="70"/>
      <c r="S115" s="70"/>
      <c r="T115" s="70"/>
      <c r="U115" s="70"/>
    </row>
    <row r="116" spans="1:21" x14ac:dyDescent="0.25">
      <c r="A116" s="201" t="s">
        <v>51</v>
      </c>
      <c r="B116" s="202"/>
      <c r="C116" s="203"/>
      <c r="D116" s="49"/>
      <c r="E116" s="84">
        <v>90710</v>
      </c>
      <c r="F116" s="153">
        <v>0.376</v>
      </c>
      <c r="G116" s="204">
        <f>E116*0.376</f>
        <v>34106.959999999999</v>
      </c>
      <c r="H116" s="205"/>
      <c r="I116" s="206">
        <v>34</v>
      </c>
      <c r="J116" s="207"/>
      <c r="K116" s="111"/>
      <c r="L116" s="70"/>
      <c r="M116" s="70"/>
      <c r="N116" s="70"/>
      <c r="O116" s="70"/>
      <c r="P116" s="70"/>
      <c r="Q116" s="70"/>
      <c r="R116" s="70"/>
      <c r="S116" s="70"/>
      <c r="T116" s="70"/>
      <c r="U116" s="70"/>
    </row>
    <row r="117" spans="1:21" x14ac:dyDescent="0.25">
      <c r="A117" s="201" t="s">
        <v>52</v>
      </c>
      <c r="B117" s="202"/>
      <c r="C117" s="203"/>
      <c r="D117" s="49"/>
      <c r="E117" s="84">
        <v>81600</v>
      </c>
      <c r="F117" s="153">
        <v>0.40799999999999997</v>
      </c>
      <c r="G117" s="204">
        <f>E117*0.408</f>
        <v>33292.799999999996</v>
      </c>
      <c r="H117" s="205"/>
      <c r="I117" s="206">
        <v>33</v>
      </c>
      <c r="J117" s="207"/>
      <c r="K117" s="111"/>
      <c r="L117" s="70"/>
      <c r="M117" s="70"/>
      <c r="N117" s="70"/>
      <c r="O117" s="70"/>
      <c r="P117" s="70"/>
      <c r="Q117" s="70"/>
      <c r="R117" s="70"/>
      <c r="S117" s="70"/>
      <c r="T117" s="70"/>
      <c r="U117" s="70"/>
    </row>
    <row r="118" spans="1:21" x14ac:dyDescent="0.25">
      <c r="A118" s="201" t="s">
        <v>53</v>
      </c>
      <c r="B118" s="202"/>
      <c r="C118" s="203"/>
      <c r="D118" s="49"/>
      <c r="E118" s="148">
        <v>89.73</v>
      </c>
      <c r="F118" s="71">
        <v>0.35</v>
      </c>
      <c r="G118" s="223">
        <f>E118*0.35</f>
        <v>31.4055</v>
      </c>
      <c r="H118" s="224"/>
      <c r="I118" s="216">
        <v>31</v>
      </c>
      <c r="J118" s="217"/>
      <c r="K118" s="111"/>
      <c r="L118" s="70"/>
      <c r="M118" s="70"/>
      <c r="N118" s="70"/>
      <c r="O118" s="70"/>
      <c r="P118" s="70"/>
      <c r="Q118" s="70"/>
      <c r="R118" s="70"/>
      <c r="S118" s="70"/>
      <c r="T118" s="70"/>
      <c r="U118" s="70"/>
    </row>
    <row r="119" spans="1:21" x14ac:dyDescent="0.25">
      <c r="A119" s="149"/>
      <c r="B119" s="150" t="s">
        <v>77</v>
      </c>
      <c r="C119" s="151"/>
      <c r="D119" s="49"/>
      <c r="E119" s="84">
        <v>34600</v>
      </c>
      <c r="F119" s="71">
        <v>0.45400000000000001</v>
      </c>
      <c r="G119" s="204">
        <f>E119*0.454</f>
        <v>15708.4</v>
      </c>
      <c r="H119" s="205"/>
      <c r="I119" s="216">
        <v>15</v>
      </c>
      <c r="J119" s="217"/>
      <c r="K119" s="111"/>
      <c r="L119" s="70"/>
      <c r="M119" s="70"/>
      <c r="N119" s="70"/>
      <c r="O119" s="70"/>
      <c r="P119" s="70"/>
      <c r="Q119" s="70"/>
      <c r="R119" s="70"/>
      <c r="S119" s="70"/>
      <c r="T119" s="70"/>
      <c r="U119" s="70"/>
    </row>
    <row r="120" spans="1:21" x14ac:dyDescent="0.25">
      <c r="A120" s="218" t="s">
        <v>29</v>
      </c>
      <c r="B120" s="219"/>
      <c r="C120" s="220"/>
      <c r="D120" s="50">
        <f>SUM(D115:D119)</f>
        <v>0</v>
      </c>
      <c r="E120" s="86">
        <f>SUM(E115:E119)</f>
        <v>287239.73</v>
      </c>
      <c r="F120" s="60"/>
      <c r="G120" s="221">
        <f>SUM(G115:G119)</f>
        <v>115797.24549999999</v>
      </c>
      <c r="H120" s="222"/>
      <c r="I120" s="218">
        <f>SUM(I115:I119)</f>
        <v>145</v>
      </c>
      <c r="J120" s="220"/>
    </row>
  </sheetData>
  <mergeCells count="25">
    <mergeCell ref="A116:C116"/>
    <mergeCell ref="G116:H116"/>
    <mergeCell ref="I116:J116"/>
    <mergeCell ref="A1:C1"/>
    <mergeCell ref="D100:E100"/>
    <mergeCell ref="D109:M109"/>
    <mergeCell ref="A112:C112"/>
    <mergeCell ref="G112:H112"/>
    <mergeCell ref="I112:J112"/>
    <mergeCell ref="A120:C120"/>
    <mergeCell ref="G120:H120"/>
    <mergeCell ref="I120:J120"/>
    <mergeCell ref="G1:N1"/>
    <mergeCell ref="G119:H119"/>
    <mergeCell ref="A117:C117"/>
    <mergeCell ref="G117:H117"/>
    <mergeCell ref="I117:J117"/>
    <mergeCell ref="A118:C118"/>
    <mergeCell ref="G118:H118"/>
    <mergeCell ref="I118:J118"/>
    <mergeCell ref="I119:J119"/>
    <mergeCell ref="L113:U113"/>
    <mergeCell ref="A115:C115"/>
    <mergeCell ref="G115:H115"/>
    <mergeCell ref="I115:J115"/>
  </mergeCells>
  <phoneticPr fontId="15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BCFC-8D99-4CB2-8136-DC59AB3A3D2A}">
  <dimension ref="A1:T255"/>
  <sheetViews>
    <sheetView zoomScaleNormal="100" workbookViewId="0">
      <selection activeCell="D1" sqref="D1"/>
    </sheetView>
  </sheetViews>
  <sheetFormatPr defaultRowHeight="15" x14ac:dyDescent="0.25"/>
  <cols>
    <col min="1" max="2" width="11.7109375" customWidth="1"/>
    <col min="3" max="3" width="11.85546875" customWidth="1"/>
    <col min="4" max="4" width="37.140625" customWidth="1"/>
    <col min="5" max="5" width="23.28515625" customWidth="1"/>
    <col min="6" max="6" width="12.28515625" customWidth="1"/>
    <col min="7" max="7" width="13.85546875" customWidth="1"/>
    <col min="8" max="8" width="14.7109375" customWidth="1"/>
    <col min="9" max="9" width="13.7109375" customWidth="1"/>
    <col min="10" max="10" width="14.85546875" customWidth="1"/>
    <col min="11" max="11" width="21.5703125" customWidth="1"/>
    <col min="12" max="12" width="13.5703125" customWidth="1"/>
    <col min="13" max="15" width="10.28515625" customWidth="1"/>
    <col min="16" max="16" width="9.140625" customWidth="1"/>
    <col min="17" max="17" width="7.140625" customWidth="1"/>
    <col min="18" max="19" width="9.28515625" customWidth="1"/>
  </cols>
  <sheetData>
    <row r="1" spans="1:20" ht="27" thickBot="1" x14ac:dyDescent="0.45">
      <c r="A1" s="193" t="s">
        <v>0</v>
      </c>
      <c r="B1" s="193"/>
      <c r="C1" s="193"/>
      <c r="D1" s="1">
        <v>46161</v>
      </c>
      <c r="E1" s="2"/>
      <c r="F1" s="3"/>
      <c r="G1" s="194" t="s">
        <v>130</v>
      </c>
      <c r="H1" s="195"/>
      <c r="I1" s="195"/>
      <c r="J1" s="196"/>
      <c r="K1" s="197" t="s">
        <v>43</v>
      </c>
      <c r="L1" s="198"/>
    </row>
    <row r="2" spans="1:20" ht="39" thickTop="1" x14ac:dyDescent="0.25">
      <c r="A2" s="6" t="s">
        <v>2</v>
      </c>
      <c r="B2" s="73" t="s">
        <v>38</v>
      </c>
      <c r="C2" s="7" t="s">
        <v>37</v>
      </c>
      <c r="D2" s="8" t="s">
        <v>3</v>
      </c>
      <c r="E2" s="8" t="s">
        <v>4</v>
      </c>
      <c r="F2" s="9" t="s">
        <v>30</v>
      </c>
      <c r="G2" s="8" t="s">
        <v>5</v>
      </c>
      <c r="H2" s="8" t="s">
        <v>6</v>
      </c>
      <c r="I2" s="8" t="s">
        <v>7</v>
      </c>
      <c r="J2" s="9" t="s">
        <v>8</v>
      </c>
      <c r="K2" s="8" t="s">
        <v>23</v>
      </c>
      <c r="L2" s="10" t="s">
        <v>9</v>
      </c>
      <c r="M2" s="11" t="s">
        <v>31</v>
      </c>
      <c r="N2" s="136" t="s">
        <v>32</v>
      </c>
      <c r="O2" s="54" t="s">
        <v>40</v>
      </c>
      <c r="P2" s="12" t="s">
        <v>10</v>
      </c>
      <c r="Q2" s="12" t="s">
        <v>11</v>
      </c>
      <c r="R2" s="12" t="s">
        <v>12</v>
      </c>
      <c r="S2" s="12" t="s">
        <v>82</v>
      </c>
      <c r="T2" s="67" t="s">
        <v>36</v>
      </c>
    </row>
    <row r="3" spans="1:20" x14ac:dyDescent="0.25">
      <c r="A3" s="81" t="s">
        <v>116</v>
      </c>
      <c r="B3" s="118" t="s">
        <v>97</v>
      </c>
      <c r="C3" s="45" t="s">
        <v>136</v>
      </c>
      <c r="D3" s="70" t="s">
        <v>98</v>
      </c>
      <c r="E3" s="72" t="s">
        <v>14</v>
      </c>
      <c r="F3" s="70">
        <v>1000</v>
      </c>
      <c r="G3" s="76"/>
      <c r="H3" s="76"/>
      <c r="I3" s="76"/>
      <c r="J3" s="76">
        <f t="shared" ref="J3:J14" si="0">F3-G3</f>
        <v>1000</v>
      </c>
      <c r="K3" s="154" t="s">
        <v>63</v>
      </c>
      <c r="L3" s="63"/>
      <c r="M3" s="141">
        <v>1000</v>
      </c>
      <c r="N3" s="156"/>
      <c r="O3" s="142"/>
      <c r="P3" s="16">
        <v>3.0000000000000001E-3</v>
      </c>
      <c r="Q3" s="18">
        <v>3.6600000000000001E-2</v>
      </c>
      <c r="R3" s="18">
        <v>5.6599999999999998E-2</v>
      </c>
      <c r="S3" s="16">
        <v>0</v>
      </c>
      <c r="T3" s="13">
        <v>0</v>
      </c>
    </row>
    <row r="4" spans="1:20" x14ac:dyDescent="0.25">
      <c r="A4" s="81" t="s">
        <v>185</v>
      </c>
      <c r="B4" s="118" t="s">
        <v>169</v>
      </c>
      <c r="C4" s="45" t="s">
        <v>183</v>
      </c>
      <c r="D4" s="70" t="s">
        <v>98</v>
      </c>
      <c r="E4" s="72" t="s">
        <v>14</v>
      </c>
      <c r="F4" s="70">
        <v>1000</v>
      </c>
      <c r="G4" s="76"/>
      <c r="H4" s="76"/>
      <c r="I4" s="76"/>
      <c r="J4" s="76">
        <f t="shared" si="0"/>
        <v>1000</v>
      </c>
      <c r="K4" s="154" t="s">
        <v>63</v>
      </c>
      <c r="L4" s="63"/>
      <c r="M4" s="141">
        <v>1000</v>
      </c>
      <c r="N4" s="156"/>
      <c r="O4" s="142"/>
      <c r="P4" s="16">
        <v>2E-3</v>
      </c>
      <c r="Q4" s="18">
        <v>1.4999999999999999E-2</v>
      </c>
      <c r="R4" s="18">
        <v>3.5000000000000003E-2</v>
      </c>
      <c r="S4" s="16">
        <v>0</v>
      </c>
      <c r="T4" s="13">
        <v>0</v>
      </c>
    </row>
    <row r="5" spans="1:20" x14ac:dyDescent="0.25">
      <c r="A5" s="81" t="s">
        <v>185</v>
      </c>
      <c r="B5" s="118" t="s">
        <v>169</v>
      </c>
      <c r="C5" s="45" t="s">
        <v>183</v>
      </c>
      <c r="D5" s="70" t="s">
        <v>98</v>
      </c>
      <c r="E5" s="72" t="s">
        <v>14</v>
      </c>
      <c r="F5" s="70">
        <v>1000</v>
      </c>
      <c r="G5" s="76"/>
      <c r="H5" s="76"/>
      <c r="I5" s="76"/>
      <c r="J5" s="76">
        <f t="shared" si="0"/>
        <v>1000</v>
      </c>
      <c r="K5" s="154" t="s">
        <v>64</v>
      </c>
      <c r="L5" s="63"/>
      <c r="M5" s="141">
        <v>1000</v>
      </c>
      <c r="N5" s="156"/>
      <c r="O5" s="142"/>
      <c r="P5" s="16">
        <v>2E-3</v>
      </c>
      <c r="Q5" s="18">
        <v>5.0000000000000001E-3</v>
      </c>
      <c r="R5" s="18">
        <v>4.4999999999999998E-2</v>
      </c>
      <c r="S5" s="16">
        <v>0</v>
      </c>
      <c r="T5" s="13">
        <v>0</v>
      </c>
    </row>
    <row r="6" spans="1:20" x14ac:dyDescent="0.25">
      <c r="A6" s="81" t="s">
        <v>196</v>
      </c>
      <c r="B6" s="118" t="s">
        <v>169</v>
      </c>
      <c r="C6" s="45" t="s">
        <v>191</v>
      </c>
      <c r="D6" s="70" t="s">
        <v>98</v>
      </c>
      <c r="E6" s="72" t="s">
        <v>14</v>
      </c>
      <c r="F6" s="70">
        <v>1000</v>
      </c>
      <c r="G6" s="76"/>
      <c r="H6" s="76"/>
      <c r="I6" s="76"/>
      <c r="J6" s="76">
        <f t="shared" si="0"/>
        <v>1000</v>
      </c>
      <c r="K6" s="154" t="s">
        <v>68</v>
      </c>
      <c r="L6" s="63"/>
      <c r="M6" s="141">
        <v>1000</v>
      </c>
      <c r="N6" s="156"/>
      <c r="O6" s="142"/>
      <c r="P6" s="16">
        <v>1E-3</v>
      </c>
      <c r="Q6" s="18">
        <v>5.0000000000000001E-3</v>
      </c>
      <c r="R6" s="18">
        <v>0.02</v>
      </c>
      <c r="S6" s="16"/>
      <c r="T6" s="13"/>
    </row>
    <row r="7" spans="1:20" x14ac:dyDescent="0.25">
      <c r="A7" s="81"/>
      <c r="B7" s="118"/>
      <c r="C7" s="45"/>
      <c r="D7" s="70"/>
      <c r="E7" s="72"/>
      <c r="F7" s="70"/>
      <c r="G7" s="76"/>
      <c r="H7" s="76"/>
      <c r="I7" s="76"/>
      <c r="J7" s="76">
        <f t="shared" si="0"/>
        <v>0</v>
      </c>
      <c r="K7" s="154"/>
      <c r="L7" s="63"/>
      <c r="M7" s="141"/>
      <c r="N7" s="156"/>
      <c r="O7" s="142"/>
      <c r="P7" s="16"/>
      <c r="Q7" s="18"/>
      <c r="R7" s="18"/>
      <c r="S7" s="16"/>
      <c r="T7" s="13"/>
    </row>
    <row r="8" spans="1:20" x14ac:dyDescent="0.25">
      <c r="A8" s="81" t="s">
        <v>196</v>
      </c>
      <c r="B8" s="118"/>
      <c r="C8" s="45" t="s">
        <v>186</v>
      </c>
      <c r="D8" s="70" t="s">
        <v>98</v>
      </c>
      <c r="E8" s="72" t="s">
        <v>14</v>
      </c>
      <c r="F8" s="70">
        <v>1000</v>
      </c>
      <c r="G8" s="76"/>
      <c r="H8" s="76"/>
      <c r="I8" s="76"/>
      <c r="J8" s="76">
        <f t="shared" si="0"/>
        <v>1000</v>
      </c>
      <c r="K8" s="154" t="s">
        <v>84</v>
      </c>
      <c r="L8" s="63"/>
      <c r="M8" s="141">
        <v>1000</v>
      </c>
      <c r="N8" s="156"/>
      <c r="O8" s="142"/>
      <c r="P8" s="16">
        <v>7.0000000000000001E-3</v>
      </c>
      <c r="Q8" s="18">
        <v>1.66E-2</v>
      </c>
      <c r="R8" s="18">
        <v>6.6E-3</v>
      </c>
      <c r="S8" s="16">
        <v>3.5999999999999997E-2</v>
      </c>
      <c r="T8" s="13"/>
    </row>
    <row r="9" spans="1:20" x14ac:dyDescent="0.25">
      <c r="A9" s="81" t="s">
        <v>196</v>
      </c>
      <c r="B9" s="118"/>
      <c r="C9" s="45" t="s">
        <v>186</v>
      </c>
      <c r="D9" s="70" t="s">
        <v>98</v>
      </c>
      <c r="E9" s="72" t="s">
        <v>14</v>
      </c>
      <c r="F9" s="70">
        <v>429</v>
      </c>
      <c r="G9" s="76"/>
      <c r="H9" s="76"/>
      <c r="I9" s="76"/>
      <c r="J9" s="76">
        <f t="shared" si="0"/>
        <v>429</v>
      </c>
      <c r="K9" s="154" t="s">
        <v>85</v>
      </c>
      <c r="L9" s="63"/>
      <c r="M9" s="141">
        <v>429</v>
      </c>
      <c r="N9" s="156"/>
      <c r="O9" s="142"/>
      <c r="P9" s="16">
        <v>6.0000000000000001E-3</v>
      </c>
      <c r="Q9" s="18">
        <v>0.02</v>
      </c>
      <c r="R9" s="18">
        <v>1.66E-2</v>
      </c>
      <c r="S9" s="16">
        <v>4.2999999999999997E-2</v>
      </c>
      <c r="T9" s="13"/>
    </row>
    <row r="10" spans="1:20" x14ac:dyDescent="0.25">
      <c r="A10" s="81"/>
      <c r="B10" s="118"/>
      <c r="C10" s="45"/>
      <c r="D10" s="70"/>
      <c r="E10" s="72"/>
      <c r="F10" s="70"/>
      <c r="G10" s="76"/>
      <c r="H10" s="76"/>
      <c r="I10" s="76"/>
      <c r="J10" s="76">
        <f t="shared" si="0"/>
        <v>0</v>
      </c>
      <c r="K10" s="154"/>
      <c r="L10" s="63"/>
      <c r="M10" s="141"/>
      <c r="N10" s="156"/>
      <c r="O10" s="142"/>
      <c r="P10" s="16"/>
      <c r="Q10" s="18"/>
      <c r="R10" s="18"/>
      <c r="S10" s="16"/>
      <c r="T10" s="13"/>
    </row>
    <row r="11" spans="1:20" x14ac:dyDescent="0.25">
      <c r="A11" s="81" t="s">
        <v>217</v>
      </c>
      <c r="B11" s="118" t="s">
        <v>169</v>
      </c>
      <c r="C11" s="45" t="s">
        <v>197</v>
      </c>
      <c r="D11" s="70" t="s">
        <v>98</v>
      </c>
      <c r="E11" s="72" t="s">
        <v>14</v>
      </c>
      <c r="F11" s="70">
        <v>1000</v>
      </c>
      <c r="G11" s="76"/>
      <c r="H11" s="76"/>
      <c r="I11" s="76"/>
      <c r="J11" s="76">
        <f t="shared" si="0"/>
        <v>1000</v>
      </c>
      <c r="K11" s="154" t="s">
        <v>188</v>
      </c>
      <c r="L11" s="63">
        <v>1000</v>
      </c>
      <c r="M11" s="141"/>
      <c r="N11" s="156"/>
      <c r="O11" s="142"/>
      <c r="P11" s="16">
        <v>2.1000000000000001E-2</v>
      </c>
      <c r="Q11" s="18">
        <v>4.6600000000000003E-2</v>
      </c>
      <c r="R11" s="18">
        <v>0.12</v>
      </c>
      <c r="S11" s="16"/>
      <c r="T11" s="13"/>
    </row>
    <row r="12" spans="1:20" x14ac:dyDescent="0.25">
      <c r="A12" s="81"/>
      <c r="B12" s="118"/>
      <c r="C12" s="45"/>
      <c r="D12" s="70"/>
      <c r="E12" s="72"/>
      <c r="F12" s="70"/>
      <c r="G12" s="76"/>
      <c r="H12" s="76"/>
      <c r="I12" s="76"/>
      <c r="J12" s="76">
        <f t="shared" si="0"/>
        <v>0</v>
      </c>
      <c r="K12" s="154"/>
      <c r="L12" s="63"/>
      <c r="M12" s="141"/>
      <c r="N12" s="156"/>
      <c r="O12" s="142"/>
      <c r="P12" s="16"/>
      <c r="Q12" s="18"/>
      <c r="R12" s="18"/>
      <c r="S12" s="16"/>
      <c r="T12" s="13"/>
    </row>
    <row r="13" spans="1:20" x14ac:dyDescent="0.25">
      <c r="A13" s="81"/>
      <c r="B13" s="118"/>
      <c r="C13" s="45"/>
      <c r="D13" s="70"/>
      <c r="E13" s="72"/>
      <c r="F13" s="70"/>
      <c r="G13" s="76"/>
      <c r="H13" s="76"/>
      <c r="I13" s="76"/>
      <c r="J13" s="76">
        <f t="shared" si="0"/>
        <v>0</v>
      </c>
      <c r="K13" s="154"/>
      <c r="L13" s="63"/>
      <c r="M13" s="141"/>
      <c r="N13" s="156"/>
      <c r="O13" s="142"/>
      <c r="P13" s="16"/>
      <c r="Q13" s="18"/>
      <c r="R13" s="18"/>
      <c r="S13" s="16"/>
      <c r="T13" s="13"/>
    </row>
    <row r="14" spans="1:20" x14ac:dyDescent="0.25">
      <c r="A14" s="81"/>
      <c r="B14" s="118"/>
      <c r="C14" s="45"/>
      <c r="D14" s="70"/>
      <c r="E14" s="72"/>
      <c r="F14" s="167"/>
      <c r="G14" s="76"/>
      <c r="H14" s="76"/>
      <c r="I14" s="76"/>
      <c r="J14" s="76">
        <f t="shared" si="0"/>
        <v>0</v>
      </c>
      <c r="K14" s="154"/>
      <c r="L14" s="63"/>
      <c r="M14" s="141"/>
      <c r="N14" s="156"/>
      <c r="O14" s="142"/>
      <c r="P14" s="16"/>
      <c r="Q14" s="18"/>
      <c r="R14" s="18"/>
      <c r="S14" s="16"/>
      <c r="T14" s="13"/>
    </row>
    <row r="15" spans="1:20" x14ac:dyDescent="0.25">
      <c r="A15" s="19"/>
      <c r="B15" s="74"/>
      <c r="C15" s="96"/>
      <c r="D15" s="20" t="s">
        <v>21</v>
      </c>
      <c r="E15" s="97"/>
      <c r="F15" s="98"/>
      <c r="G15" s="98"/>
      <c r="H15" s="98"/>
      <c r="I15" s="98"/>
      <c r="J15" s="98"/>
      <c r="K15" s="21"/>
      <c r="L15" s="14"/>
      <c r="M15" s="143"/>
      <c r="N15" s="156"/>
      <c r="O15" s="53"/>
      <c r="P15" s="16"/>
      <c r="Q15" s="17"/>
      <c r="R15" s="17"/>
      <c r="S15" s="17"/>
      <c r="T15" s="13"/>
    </row>
    <row r="16" spans="1:20" x14ac:dyDescent="0.25">
      <c r="A16" s="19"/>
      <c r="B16" s="74"/>
      <c r="C16" s="96"/>
      <c r="D16" s="20"/>
      <c r="E16" s="97"/>
      <c r="F16" s="98"/>
      <c r="G16" s="98"/>
      <c r="H16" s="98"/>
      <c r="I16" s="98"/>
      <c r="J16" s="98"/>
      <c r="K16" s="21"/>
      <c r="L16" s="14"/>
      <c r="M16" s="143"/>
      <c r="N16" s="15"/>
      <c r="O16" s="53"/>
      <c r="P16" s="16"/>
      <c r="Q16" s="17"/>
      <c r="R16" s="17"/>
      <c r="S16" s="17"/>
      <c r="T16" s="13"/>
    </row>
    <row r="17" spans="1:20" x14ac:dyDescent="0.25">
      <c r="A17" s="112"/>
      <c r="B17" s="96"/>
      <c r="C17" s="99"/>
      <c r="D17" s="100"/>
      <c r="E17" s="120"/>
      <c r="F17" s="98"/>
      <c r="G17" s="98"/>
      <c r="H17" s="98"/>
      <c r="I17" s="172"/>
      <c r="J17" s="98"/>
      <c r="K17" s="21"/>
      <c r="L17" s="22"/>
      <c r="M17" s="143"/>
      <c r="N17" s="15"/>
      <c r="O17" s="53"/>
      <c r="P17" s="13"/>
      <c r="Q17" s="13"/>
      <c r="R17" s="13"/>
      <c r="S17" s="13"/>
      <c r="T17" s="13"/>
    </row>
    <row r="18" spans="1:20" x14ac:dyDescent="0.25">
      <c r="A18" s="113"/>
      <c r="B18" s="111"/>
      <c r="C18" s="70"/>
      <c r="D18" s="23" t="s">
        <v>15</v>
      </c>
      <c r="E18" s="51" t="s">
        <v>14</v>
      </c>
      <c r="F18" s="23">
        <f>SUM(F3:F17)</f>
        <v>6429</v>
      </c>
      <c r="G18" s="23">
        <f>SUM(G3:G17)</f>
        <v>0</v>
      </c>
      <c r="H18" s="23"/>
      <c r="I18" s="23"/>
      <c r="J18" s="23">
        <f>F18-G18</f>
        <v>6429</v>
      </c>
      <c r="K18" s="24" t="s">
        <v>16</v>
      </c>
      <c r="L18" s="25">
        <f>SUM(L3:L17)</f>
        <v>1000</v>
      </c>
      <c r="M18" s="25">
        <f>SUM(M3:M17)</f>
        <v>5429</v>
      </c>
      <c r="N18" s="25">
        <f>SUM(N3:N17)</f>
        <v>0</v>
      </c>
      <c r="O18" s="25">
        <f>SUM(O3:O17)</f>
        <v>0</v>
      </c>
      <c r="P18" s="26"/>
      <c r="Q18" s="26"/>
      <c r="R18" s="26"/>
      <c r="S18" s="26"/>
      <c r="T18" s="26"/>
    </row>
    <row r="19" spans="1:20" x14ac:dyDescent="0.25">
      <c r="A19" s="81"/>
      <c r="B19" s="118"/>
      <c r="C19" s="45"/>
      <c r="D19" s="70"/>
      <c r="E19" s="72"/>
      <c r="F19" s="70"/>
      <c r="G19" s="70"/>
      <c r="H19" s="76"/>
      <c r="I19" s="70"/>
      <c r="J19" s="76"/>
      <c r="K19" s="154"/>
      <c r="L19" s="63"/>
      <c r="M19" s="140"/>
      <c r="N19" s="156"/>
      <c r="O19" s="95"/>
      <c r="P19" s="18"/>
      <c r="Q19" s="18"/>
      <c r="R19" s="18"/>
      <c r="S19" s="18"/>
      <c r="T19" s="26"/>
    </row>
    <row r="20" spans="1:20" x14ac:dyDescent="0.25">
      <c r="A20" s="81" t="s">
        <v>79</v>
      </c>
      <c r="B20" s="118"/>
      <c r="C20" s="45" t="s">
        <v>80</v>
      </c>
      <c r="D20" s="70" t="s">
        <v>81</v>
      </c>
      <c r="E20" s="72" t="s">
        <v>17</v>
      </c>
      <c r="F20" s="70">
        <v>500</v>
      </c>
      <c r="G20" s="70"/>
      <c r="H20" s="76"/>
      <c r="I20" s="70"/>
      <c r="J20" s="76">
        <f t="shared" ref="J20" si="1">F20-G20</f>
        <v>500</v>
      </c>
      <c r="K20" s="154" t="s">
        <v>87</v>
      </c>
      <c r="L20" s="63"/>
      <c r="M20" s="140">
        <v>500</v>
      </c>
      <c r="N20" s="103"/>
      <c r="O20" s="95"/>
      <c r="P20" s="18">
        <v>0.11799999999999999</v>
      </c>
      <c r="Q20" s="18">
        <v>0.08</v>
      </c>
      <c r="R20" s="18">
        <v>6.3299999999999995E-2</v>
      </c>
      <c r="S20" s="18">
        <v>1.7999999999999999E-2</v>
      </c>
      <c r="T20" s="26">
        <v>0.2</v>
      </c>
    </row>
    <row r="21" spans="1:20" x14ac:dyDescent="0.25">
      <c r="A21" s="81"/>
      <c r="B21" s="118"/>
      <c r="C21" s="45"/>
      <c r="D21" s="70"/>
      <c r="E21" s="72"/>
      <c r="F21" s="70"/>
      <c r="G21" s="70"/>
      <c r="H21" s="76"/>
      <c r="I21" s="70"/>
      <c r="J21" s="76"/>
      <c r="K21" s="154"/>
      <c r="L21" s="63"/>
      <c r="M21" s="140"/>
      <c r="N21" s="103"/>
      <c r="O21" s="95"/>
      <c r="P21" s="18"/>
      <c r="Q21" s="18"/>
      <c r="R21" s="18"/>
      <c r="S21" s="18"/>
      <c r="T21" s="26"/>
    </row>
    <row r="22" spans="1:20" x14ac:dyDescent="0.25">
      <c r="A22" s="81" t="s">
        <v>104</v>
      </c>
      <c r="B22" s="118"/>
      <c r="C22" s="45" t="s">
        <v>105</v>
      </c>
      <c r="D22" s="70" t="s">
        <v>81</v>
      </c>
      <c r="E22" s="72" t="s">
        <v>17</v>
      </c>
      <c r="F22" s="70">
        <v>1000</v>
      </c>
      <c r="G22" s="70"/>
      <c r="H22" s="76"/>
      <c r="I22" s="70"/>
      <c r="J22" s="70">
        <f t="shared" ref="J22" si="2">F22-G22</f>
        <v>1000</v>
      </c>
      <c r="K22" s="154" t="s">
        <v>83</v>
      </c>
      <c r="L22" s="63"/>
      <c r="M22" s="140">
        <v>1000</v>
      </c>
      <c r="N22" s="103"/>
      <c r="O22" s="95"/>
      <c r="P22" s="18">
        <v>2E-3</v>
      </c>
      <c r="Q22" s="18">
        <v>3.6600000000000001E-2</v>
      </c>
      <c r="R22" s="18">
        <v>3.3300000000000003E-2</v>
      </c>
      <c r="S22" s="18">
        <v>8.9999999999999993E-3</v>
      </c>
      <c r="T22" s="26"/>
    </row>
    <row r="23" spans="1:20" x14ac:dyDescent="0.25">
      <c r="A23" s="81" t="s">
        <v>104</v>
      </c>
      <c r="B23" s="118"/>
      <c r="C23" s="45" t="s">
        <v>105</v>
      </c>
      <c r="D23" s="70" t="s">
        <v>81</v>
      </c>
      <c r="E23" s="72" t="s">
        <v>17</v>
      </c>
      <c r="F23" s="167">
        <v>1000</v>
      </c>
      <c r="G23" s="70"/>
      <c r="H23" s="76"/>
      <c r="I23" s="70"/>
      <c r="J23" s="70">
        <f t="shared" ref="J23:J97" si="3">F23-G23</f>
        <v>1000</v>
      </c>
      <c r="K23" s="154" t="s">
        <v>84</v>
      </c>
      <c r="L23" s="63"/>
      <c r="M23" s="140">
        <v>1000</v>
      </c>
      <c r="N23" s="103"/>
      <c r="O23" s="95"/>
      <c r="P23" s="18">
        <v>3.0000000000000001E-3</v>
      </c>
      <c r="Q23" s="18">
        <v>3.6600000000000001E-2</v>
      </c>
      <c r="R23" s="18">
        <v>0.04</v>
      </c>
      <c r="S23" s="18">
        <v>8.9999999999999993E-3</v>
      </c>
      <c r="T23" s="26"/>
    </row>
    <row r="24" spans="1:20" x14ac:dyDescent="0.25">
      <c r="A24" s="81" t="s">
        <v>121</v>
      </c>
      <c r="B24" s="118"/>
      <c r="C24" s="45" t="s">
        <v>105</v>
      </c>
      <c r="D24" s="70" t="s">
        <v>81</v>
      </c>
      <c r="E24" s="72" t="s">
        <v>17</v>
      </c>
      <c r="F24" s="167">
        <v>1000</v>
      </c>
      <c r="G24" s="70"/>
      <c r="H24" s="76"/>
      <c r="I24" s="70"/>
      <c r="J24" s="70">
        <f t="shared" si="3"/>
        <v>1000</v>
      </c>
      <c r="K24" s="154" t="s">
        <v>85</v>
      </c>
      <c r="L24" s="63"/>
      <c r="M24" s="140">
        <v>1000</v>
      </c>
      <c r="N24" s="103"/>
      <c r="O24" s="95"/>
      <c r="P24" s="18">
        <v>2E-3</v>
      </c>
      <c r="Q24" s="18">
        <v>0.03</v>
      </c>
      <c r="R24" s="18">
        <v>0.04</v>
      </c>
      <c r="S24" s="18">
        <v>8.0000000000000002E-3</v>
      </c>
      <c r="T24" s="26"/>
    </row>
    <row r="25" spans="1:20" x14ac:dyDescent="0.25">
      <c r="A25" s="81" t="s">
        <v>121</v>
      </c>
      <c r="B25" s="118"/>
      <c r="C25" s="45" t="s">
        <v>105</v>
      </c>
      <c r="D25" s="70" t="s">
        <v>81</v>
      </c>
      <c r="E25" s="72" t="s">
        <v>17</v>
      </c>
      <c r="F25" s="167">
        <v>1000</v>
      </c>
      <c r="G25" s="70"/>
      <c r="H25" s="76"/>
      <c r="I25" s="70"/>
      <c r="J25" s="70">
        <f t="shared" si="3"/>
        <v>1000</v>
      </c>
      <c r="K25" s="154" t="s">
        <v>86</v>
      </c>
      <c r="L25" s="63"/>
      <c r="M25" s="140">
        <v>1000</v>
      </c>
      <c r="N25" s="103"/>
      <c r="O25" s="95"/>
      <c r="P25" s="18">
        <v>2E-3</v>
      </c>
      <c r="Q25" s="18">
        <v>0.03</v>
      </c>
      <c r="R25" s="18">
        <v>0.06</v>
      </c>
      <c r="S25" s="18">
        <v>5.0000000000000001E-3</v>
      </c>
      <c r="T25" s="26"/>
    </row>
    <row r="26" spans="1:20" x14ac:dyDescent="0.25">
      <c r="A26" s="81" t="s">
        <v>121</v>
      </c>
      <c r="B26" s="118"/>
      <c r="C26" s="45" t="s">
        <v>105</v>
      </c>
      <c r="D26" s="70" t="s">
        <v>81</v>
      </c>
      <c r="E26" s="72" t="s">
        <v>17</v>
      </c>
      <c r="F26" s="167">
        <v>1000</v>
      </c>
      <c r="G26" s="70"/>
      <c r="H26" s="76"/>
      <c r="I26" s="70"/>
      <c r="J26" s="70">
        <f t="shared" si="3"/>
        <v>1000</v>
      </c>
      <c r="K26" s="154" t="s">
        <v>87</v>
      </c>
      <c r="L26" s="63"/>
      <c r="M26" s="140">
        <v>1000</v>
      </c>
      <c r="N26" s="103"/>
      <c r="O26" s="95"/>
      <c r="P26" s="18">
        <v>2E-3</v>
      </c>
      <c r="Q26" s="18">
        <v>3.3300000000000003E-2</v>
      </c>
      <c r="R26" s="18">
        <v>0.02</v>
      </c>
      <c r="S26" s="18">
        <v>8.9999999999999993E-3</v>
      </c>
      <c r="T26" s="26"/>
    </row>
    <row r="27" spans="1:20" x14ac:dyDescent="0.25">
      <c r="A27" s="81" t="s">
        <v>138</v>
      </c>
      <c r="B27" s="118"/>
      <c r="C27" s="45" t="s">
        <v>137</v>
      </c>
      <c r="D27" s="70" t="s">
        <v>81</v>
      </c>
      <c r="E27" s="72" t="s">
        <v>17</v>
      </c>
      <c r="F27" s="167">
        <v>500</v>
      </c>
      <c r="G27" s="70"/>
      <c r="H27" s="76"/>
      <c r="I27" s="70"/>
      <c r="J27" s="70">
        <f t="shared" si="3"/>
        <v>500</v>
      </c>
      <c r="K27" s="154" t="s">
        <v>88</v>
      </c>
      <c r="L27" s="63"/>
      <c r="M27" s="140">
        <v>500</v>
      </c>
      <c r="N27" s="103"/>
      <c r="O27" s="95"/>
      <c r="P27" s="18">
        <v>2E-3</v>
      </c>
      <c r="Q27" s="18">
        <v>0.04</v>
      </c>
      <c r="R27" s="18">
        <v>0.04</v>
      </c>
      <c r="S27" s="18">
        <v>1.4999999999999999E-2</v>
      </c>
      <c r="T27" s="26"/>
    </row>
    <row r="28" spans="1:20" x14ac:dyDescent="0.25">
      <c r="A28" s="81" t="s">
        <v>138</v>
      </c>
      <c r="B28" s="118"/>
      <c r="C28" s="45" t="s">
        <v>137</v>
      </c>
      <c r="D28" s="70" t="s">
        <v>81</v>
      </c>
      <c r="E28" s="72" t="s">
        <v>17</v>
      </c>
      <c r="F28" s="167">
        <v>1000</v>
      </c>
      <c r="G28" s="70"/>
      <c r="H28" s="76"/>
      <c r="I28" s="70"/>
      <c r="J28" s="70">
        <f t="shared" si="3"/>
        <v>1000</v>
      </c>
      <c r="K28" s="154" t="s">
        <v>89</v>
      </c>
      <c r="L28" s="63"/>
      <c r="M28" s="140">
        <v>1000</v>
      </c>
      <c r="N28" s="103"/>
      <c r="O28" s="95"/>
      <c r="P28" s="18">
        <v>2E-3</v>
      </c>
      <c r="Q28" s="18">
        <v>0.02</v>
      </c>
      <c r="R28" s="18">
        <v>0.06</v>
      </c>
      <c r="S28" s="18">
        <v>1.2999999999999999E-2</v>
      </c>
      <c r="T28" s="26"/>
    </row>
    <row r="29" spans="1:20" x14ac:dyDescent="0.25">
      <c r="A29" s="81" t="s">
        <v>138</v>
      </c>
      <c r="B29" s="118"/>
      <c r="C29" s="45" t="s">
        <v>137</v>
      </c>
      <c r="D29" s="70" t="s">
        <v>81</v>
      </c>
      <c r="E29" s="72" t="s">
        <v>17</v>
      </c>
      <c r="F29" s="167">
        <v>1000</v>
      </c>
      <c r="G29" s="70"/>
      <c r="H29" s="76"/>
      <c r="I29" s="70"/>
      <c r="J29" s="70">
        <f t="shared" si="3"/>
        <v>1000</v>
      </c>
      <c r="K29" s="154" t="s">
        <v>90</v>
      </c>
      <c r="L29" s="63"/>
      <c r="M29" s="140">
        <v>1000</v>
      </c>
      <c r="N29" s="103"/>
      <c r="O29" s="95"/>
      <c r="P29" s="18">
        <v>3.0000000000000001E-3</v>
      </c>
      <c r="Q29" s="18">
        <v>2.6599999999999999E-2</v>
      </c>
      <c r="R29" s="18">
        <v>0.03</v>
      </c>
      <c r="S29" s="18">
        <v>1.2E-2</v>
      </c>
      <c r="T29" s="26"/>
    </row>
    <row r="30" spans="1:20" x14ac:dyDescent="0.25">
      <c r="A30" s="81" t="s">
        <v>138</v>
      </c>
      <c r="B30" s="118"/>
      <c r="C30" s="45" t="s">
        <v>137</v>
      </c>
      <c r="D30" s="70" t="s">
        <v>81</v>
      </c>
      <c r="E30" s="72" t="s">
        <v>17</v>
      </c>
      <c r="F30" s="167">
        <v>1000</v>
      </c>
      <c r="G30" s="70"/>
      <c r="H30" s="76"/>
      <c r="I30" s="70"/>
      <c r="J30" s="70">
        <f t="shared" si="3"/>
        <v>1000</v>
      </c>
      <c r="K30" s="154" t="s">
        <v>91</v>
      </c>
      <c r="L30" s="63"/>
      <c r="M30" s="140">
        <v>1000</v>
      </c>
      <c r="N30" s="103"/>
      <c r="O30" s="95"/>
      <c r="P30" s="18">
        <v>1E-3</v>
      </c>
      <c r="Q30" s="18">
        <v>0.03</v>
      </c>
      <c r="R30" s="18">
        <v>0.03</v>
      </c>
      <c r="S30" s="18">
        <v>8.0000000000000002E-3</v>
      </c>
      <c r="T30" s="26"/>
    </row>
    <row r="31" spans="1:20" x14ac:dyDescent="0.25">
      <c r="A31" s="81" t="s">
        <v>138</v>
      </c>
      <c r="B31" s="118"/>
      <c r="C31" s="45" t="s">
        <v>137</v>
      </c>
      <c r="D31" s="70" t="s">
        <v>81</v>
      </c>
      <c r="E31" s="72" t="s">
        <v>17</v>
      </c>
      <c r="F31" s="167">
        <v>1000</v>
      </c>
      <c r="G31" s="70"/>
      <c r="H31" s="76"/>
      <c r="I31" s="70"/>
      <c r="J31" s="70">
        <f t="shared" si="3"/>
        <v>1000</v>
      </c>
      <c r="K31" s="154" t="s">
        <v>107</v>
      </c>
      <c r="L31" s="63"/>
      <c r="M31" s="140">
        <v>1000</v>
      </c>
      <c r="N31" s="103"/>
      <c r="O31" s="95"/>
      <c r="P31" s="18">
        <v>3.0000000000000001E-3</v>
      </c>
      <c r="Q31" s="18">
        <v>3.6600000000000001E-2</v>
      </c>
      <c r="R31" s="18">
        <v>3.3300000000000003E-2</v>
      </c>
      <c r="S31" s="18">
        <v>1.0999999999999999E-2</v>
      </c>
      <c r="T31" s="26"/>
    </row>
    <row r="32" spans="1:20" x14ac:dyDescent="0.25">
      <c r="A32" s="81" t="s">
        <v>138</v>
      </c>
      <c r="B32" s="118"/>
      <c r="C32" s="45" t="s">
        <v>137</v>
      </c>
      <c r="D32" s="70" t="s">
        <v>81</v>
      </c>
      <c r="E32" s="72" t="s">
        <v>17</v>
      </c>
      <c r="F32" s="167">
        <v>1000</v>
      </c>
      <c r="G32" s="70"/>
      <c r="H32" s="76"/>
      <c r="I32" s="70"/>
      <c r="J32" s="70">
        <f t="shared" si="3"/>
        <v>1000</v>
      </c>
      <c r="K32" s="154" t="s">
        <v>108</v>
      </c>
      <c r="L32" s="63"/>
      <c r="M32" s="140">
        <v>1000</v>
      </c>
      <c r="N32" s="103"/>
      <c r="O32" s="95"/>
      <c r="P32" s="18">
        <v>1E-3</v>
      </c>
      <c r="Q32" s="18">
        <v>0.03</v>
      </c>
      <c r="R32" s="18">
        <v>3.3300000000000003E-2</v>
      </c>
      <c r="S32" s="18">
        <v>1.0999999999999999E-2</v>
      </c>
      <c r="T32" s="26"/>
    </row>
    <row r="33" spans="1:20" x14ac:dyDescent="0.25">
      <c r="A33" s="81" t="s">
        <v>153</v>
      </c>
      <c r="B33" s="118"/>
      <c r="C33" s="45" t="s">
        <v>137</v>
      </c>
      <c r="D33" s="70" t="s">
        <v>81</v>
      </c>
      <c r="E33" s="72" t="s">
        <v>17</v>
      </c>
      <c r="F33" s="167">
        <v>1000</v>
      </c>
      <c r="G33" s="70"/>
      <c r="H33" s="76"/>
      <c r="I33" s="70"/>
      <c r="J33" s="70">
        <f t="shared" si="3"/>
        <v>1000</v>
      </c>
      <c r="K33" s="154" t="s">
        <v>109</v>
      </c>
      <c r="L33" s="63"/>
      <c r="M33" s="140">
        <v>1000</v>
      </c>
      <c r="N33" s="103"/>
      <c r="O33" s="95"/>
      <c r="P33" s="18">
        <v>2E-3</v>
      </c>
      <c r="Q33" s="18">
        <v>2.6599999999999999E-2</v>
      </c>
      <c r="R33" s="18">
        <v>0.06</v>
      </c>
      <c r="S33" s="18">
        <v>8.9999999999999993E-3</v>
      </c>
      <c r="T33" s="26"/>
    </row>
    <row r="34" spans="1:20" x14ac:dyDescent="0.25">
      <c r="A34" s="81" t="s">
        <v>153</v>
      </c>
      <c r="B34" s="118"/>
      <c r="C34" s="45" t="s">
        <v>137</v>
      </c>
      <c r="D34" s="70" t="s">
        <v>81</v>
      </c>
      <c r="E34" s="72" t="s">
        <v>17</v>
      </c>
      <c r="F34" s="167">
        <v>1000</v>
      </c>
      <c r="G34" s="70"/>
      <c r="H34" s="76"/>
      <c r="I34" s="70"/>
      <c r="J34" s="70">
        <f t="shared" si="3"/>
        <v>1000</v>
      </c>
      <c r="K34" s="154" t="s">
        <v>110</v>
      </c>
      <c r="L34" s="63"/>
      <c r="M34" s="140">
        <v>1000</v>
      </c>
      <c r="N34" s="103"/>
      <c r="O34" s="95"/>
      <c r="P34" s="18">
        <v>4.0000000000000001E-3</v>
      </c>
      <c r="Q34" s="18">
        <v>2.6599999999999999E-2</v>
      </c>
      <c r="R34" s="18">
        <v>0.04</v>
      </c>
      <c r="S34" s="18">
        <v>6.0000000000000001E-3</v>
      </c>
      <c r="T34" s="26"/>
    </row>
    <row r="35" spans="1:20" x14ac:dyDescent="0.25">
      <c r="A35" s="81" t="s">
        <v>153</v>
      </c>
      <c r="B35" s="118"/>
      <c r="C35" s="45" t="s">
        <v>137</v>
      </c>
      <c r="D35" s="70" t="s">
        <v>81</v>
      </c>
      <c r="E35" s="72" t="s">
        <v>17</v>
      </c>
      <c r="F35" s="167">
        <v>1000</v>
      </c>
      <c r="G35" s="70"/>
      <c r="H35" s="76"/>
      <c r="I35" s="70"/>
      <c r="J35" s="70">
        <f t="shared" si="3"/>
        <v>1000</v>
      </c>
      <c r="K35" s="154" t="s">
        <v>156</v>
      </c>
      <c r="L35" s="63"/>
      <c r="M35" s="140">
        <v>1000</v>
      </c>
      <c r="N35" s="103"/>
      <c r="O35" s="95"/>
      <c r="P35" s="18">
        <v>3.0000000000000001E-3</v>
      </c>
      <c r="Q35" s="18">
        <v>3.6600000000000001E-2</v>
      </c>
      <c r="R35" s="18">
        <v>4.3299999999999998E-2</v>
      </c>
      <c r="S35" s="18">
        <v>8.0000000000000002E-3</v>
      </c>
      <c r="T35" s="26"/>
    </row>
    <row r="36" spans="1:20" x14ac:dyDescent="0.25">
      <c r="A36" s="81" t="s">
        <v>153</v>
      </c>
      <c r="B36" s="118"/>
      <c r="C36" s="45" t="s">
        <v>137</v>
      </c>
      <c r="D36" s="70" t="s">
        <v>81</v>
      </c>
      <c r="E36" s="72" t="s">
        <v>17</v>
      </c>
      <c r="F36" s="167">
        <v>681</v>
      </c>
      <c r="G36" s="70"/>
      <c r="H36" s="76"/>
      <c r="I36" s="70"/>
      <c r="J36" s="70">
        <f t="shared" si="3"/>
        <v>681</v>
      </c>
      <c r="K36" s="154" t="s">
        <v>111</v>
      </c>
      <c r="L36" s="63"/>
      <c r="M36" s="140">
        <v>681</v>
      </c>
      <c r="N36" s="103"/>
      <c r="O36" s="95"/>
      <c r="P36" s="18">
        <v>6.0000000000000001E-3</v>
      </c>
      <c r="Q36" s="18">
        <v>0.03</v>
      </c>
      <c r="R36" s="18">
        <v>4.6600000000000003E-2</v>
      </c>
      <c r="S36" s="18">
        <v>4.0000000000000001E-3</v>
      </c>
      <c r="T36" s="26"/>
    </row>
    <row r="37" spans="1:20" x14ac:dyDescent="0.25">
      <c r="A37" s="81"/>
      <c r="B37" s="118"/>
      <c r="C37" s="45"/>
      <c r="D37" s="70"/>
      <c r="E37" s="72"/>
      <c r="F37" s="167"/>
      <c r="G37" s="70"/>
      <c r="H37" s="76"/>
      <c r="I37" s="70"/>
      <c r="J37" s="70"/>
      <c r="K37" s="154"/>
      <c r="L37" s="63"/>
      <c r="M37" s="140"/>
      <c r="N37" s="103"/>
      <c r="O37" s="95"/>
      <c r="P37" s="18"/>
      <c r="Q37" s="18"/>
      <c r="R37" s="18"/>
      <c r="S37" s="18"/>
      <c r="T37" s="26"/>
    </row>
    <row r="38" spans="1:20" x14ac:dyDescent="0.25">
      <c r="A38" s="81" t="s">
        <v>196</v>
      </c>
      <c r="B38" s="118"/>
      <c r="C38" s="45" t="s">
        <v>186</v>
      </c>
      <c r="D38" s="70" t="s">
        <v>187</v>
      </c>
      <c r="E38" s="72" t="s">
        <v>17</v>
      </c>
      <c r="F38" s="167">
        <v>1000</v>
      </c>
      <c r="G38" s="70"/>
      <c r="H38" s="76"/>
      <c r="I38" s="70"/>
      <c r="J38" s="70">
        <f t="shared" si="3"/>
        <v>1000</v>
      </c>
      <c r="K38" s="154" t="s">
        <v>112</v>
      </c>
      <c r="L38" s="63"/>
      <c r="M38" s="140">
        <v>1000</v>
      </c>
      <c r="N38" s="103"/>
      <c r="O38" s="95"/>
      <c r="P38" s="18">
        <v>1E-3</v>
      </c>
      <c r="Q38" s="18">
        <v>2.6599999999999999E-2</v>
      </c>
      <c r="R38" s="18">
        <v>0.05</v>
      </c>
      <c r="S38" s="18">
        <v>7.0000000000000001E-3</v>
      </c>
      <c r="T38" s="26"/>
    </row>
    <row r="39" spans="1:20" x14ac:dyDescent="0.25">
      <c r="A39" s="81" t="s">
        <v>196</v>
      </c>
      <c r="B39" s="118"/>
      <c r="C39" s="45" t="s">
        <v>186</v>
      </c>
      <c r="D39" s="70" t="s">
        <v>187</v>
      </c>
      <c r="E39" s="72" t="s">
        <v>17</v>
      </c>
      <c r="F39" s="167">
        <v>1000</v>
      </c>
      <c r="G39" s="70"/>
      <c r="H39" s="76"/>
      <c r="I39" s="70"/>
      <c r="J39" s="70">
        <f t="shared" si="3"/>
        <v>1000</v>
      </c>
      <c r="K39" s="154" t="s">
        <v>193</v>
      </c>
      <c r="L39" s="63"/>
      <c r="M39" s="140">
        <v>1000</v>
      </c>
      <c r="N39" s="103"/>
      <c r="O39" s="95"/>
      <c r="P39" s="18">
        <v>2E-3</v>
      </c>
      <c r="Q39" s="18">
        <v>3.3300000000000003E-2</v>
      </c>
      <c r="R39" s="18">
        <v>3.3300000000000003E-2</v>
      </c>
      <c r="S39" s="18">
        <v>8.0000000000000002E-3</v>
      </c>
      <c r="T39" s="26"/>
    </row>
    <row r="40" spans="1:20" x14ac:dyDescent="0.25">
      <c r="A40" s="81" t="s">
        <v>196</v>
      </c>
      <c r="B40" s="118"/>
      <c r="C40" s="45" t="s">
        <v>186</v>
      </c>
      <c r="D40" s="70" t="s">
        <v>187</v>
      </c>
      <c r="E40" s="72" t="s">
        <v>17</v>
      </c>
      <c r="F40" s="167">
        <v>1000</v>
      </c>
      <c r="G40" s="70"/>
      <c r="H40" s="76"/>
      <c r="I40" s="70"/>
      <c r="J40" s="70">
        <f t="shared" si="3"/>
        <v>1000</v>
      </c>
      <c r="K40" s="154" t="s">
        <v>194</v>
      </c>
      <c r="L40" s="63"/>
      <c r="M40" s="140">
        <v>1000</v>
      </c>
      <c r="N40" s="103"/>
      <c r="O40" s="95"/>
      <c r="P40" s="18">
        <v>1E-3</v>
      </c>
      <c r="Q40" s="18">
        <v>2.3300000000000001E-2</v>
      </c>
      <c r="R40" s="18">
        <v>0.04</v>
      </c>
      <c r="S40" s="18">
        <v>3.0000000000000001E-3</v>
      </c>
      <c r="T40" s="26"/>
    </row>
    <row r="41" spans="1:20" x14ac:dyDescent="0.25">
      <c r="A41" s="81" t="s">
        <v>196</v>
      </c>
      <c r="B41" s="118"/>
      <c r="C41" s="45" t="s">
        <v>186</v>
      </c>
      <c r="D41" s="70" t="s">
        <v>187</v>
      </c>
      <c r="E41" s="72" t="s">
        <v>17</v>
      </c>
      <c r="F41" s="167">
        <v>1000</v>
      </c>
      <c r="G41" s="70"/>
      <c r="H41" s="76"/>
      <c r="I41" s="70"/>
      <c r="J41" s="70">
        <f t="shared" si="3"/>
        <v>1000</v>
      </c>
      <c r="K41" s="154" t="s">
        <v>122</v>
      </c>
      <c r="L41" s="63"/>
      <c r="M41" s="140">
        <v>1000</v>
      </c>
      <c r="N41" s="103"/>
      <c r="O41" s="95"/>
      <c r="P41" s="18">
        <v>2E-3</v>
      </c>
      <c r="Q41" s="18">
        <v>0.02</v>
      </c>
      <c r="R41" s="18">
        <v>5.6599999999999998E-2</v>
      </c>
      <c r="S41" s="18">
        <v>8.0000000000000002E-3</v>
      </c>
      <c r="T41" s="26"/>
    </row>
    <row r="42" spans="1:20" x14ac:dyDescent="0.25">
      <c r="A42" s="81" t="s">
        <v>196</v>
      </c>
      <c r="B42" s="118"/>
      <c r="C42" s="45" t="s">
        <v>186</v>
      </c>
      <c r="D42" s="70" t="s">
        <v>187</v>
      </c>
      <c r="E42" s="72" t="s">
        <v>17</v>
      </c>
      <c r="F42" s="167">
        <v>901</v>
      </c>
      <c r="G42" s="70"/>
      <c r="H42" s="76"/>
      <c r="I42" s="70"/>
      <c r="J42" s="70">
        <f t="shared" si="3"/>
        <v>901</v>
      </c>
      <c r="K42" s="154" t="s">
        <v>195</v>
      </c>
      <c r="L42" s="63"/>
      <c r="M42" s="140">
        <v>901</v>
      </c>
      <c r="N42" s="103"/>
      <c r="O42" s="95"/>
      <c r="P42" s="18">
        <v>3.0000000000000001E-3</v>
      </c>
      <c r="Q42" s="18">
        <v>2.6599999999999999E-2</v>
      </c>
      <c r="R42" s="18">
        <v>0.02</v>
      </c>
      <c r="S42" s="18">
        <v>1.7000000000000001E-2</v>
      </c>
      <c r="T42" s="26"/>
    </row>
    <row r="43" spans="1:20" x14ac:dyDescent="0.25">
      <c r="A43" s="81" t="s">
        <v>198</v>
      </c>
      <c r="B43" s="118"/>
      <c r="C43" s="45" t="s">
        <v>186</v>
      </c>
      <c r="D43" s="70" t="s">
        <v>187</v>
      </c>
      <c r="E43" s="72" t="s">
        <v>17</v>
      </c>
      <c r="F43" s="167">
        <v>1000</v>
      </c>
      <c r="G43" s="70"/>
      <c r="H43" s="76"/>
      <c r="I43" s="70"/>
      <c r="J43" s="70">
        <f t="shared" si="3"/>
        <v>1000</v>
      </c>
      <c r="K43" s="154" t="s">
        <v>203</v>
      </c>
      <c r="L43" s="63"/>
      <c r="M43" s="140">
        <v>1000</v>
      </c>
      <c r="N43" s="103"/>
      <c r="O43" s="95"/>
      <c r="P43" s="18">
        <v>4.0000000000000001E-3</v>
      </c>
      <c r="Q43" s="18">
        <v>5.6599999999999998E-2</v>
      </c>
      <c r="R43" s="18">
        <v>0.05</v>
      </c>
      <c r="S43" s="18">
        <v>0.03</v>
      </c>
      <c r="T43" s="26"/>
    </row>
    <row r="44" spans="1:20" x14ac:dyDescent="0.25">
      <c r="A44" s="81" t="s">
        <v>198</v>
      </c>
      <c r="B44" s="118"/>
      <c r="C44" s="45" t="s">
        <v>186</v>
      </c>
      <c r="D44" s="70" t="s">
        <v>187</v>
      </c>
      <c r="E44" s="72" t="s">
        <v>17</v>
      </c>
      <c r="F44" s="167">
        <v>1000</v>
      </c>
      <c r="G44" s="70"/>
      <c r="H44" s="76"/>
      <c r="I44" s="70"/>
      <c r="J44" s="70">
        <f t="shared" si="3"/>
        <v>1000</v>
      </c>
      <c r="K44" s="154" t="s">
        <v>204</v>
      </c>
      <c r="L44" s="63"/>
      <c r="M44" s="140">
        <v>1000</v>
      </c>
      <c r="N44" s="103"/>
      <c r="O44" s="95"/>
      <c r="P44" s="18">
        <v>3.0000000000000001E-3</v>
      </c>
      <c r="Q44" s="18">
        <v>0.08</v>
      </c>
      <c r="R44" s="18">
        <v>5.6599999999999998E-2</v>
      </c>
      <c r="S44" s="18">
        <v>1.2999999999999999E-2</v>
      </c>
      <c r="T44" s="26"/>
    </row>
    <row r="45" spans="1:20" x14ac:dyDescent="0.25">
      <c r="A45" s="81" t="s">
        <v>222</v>
      </c>
      <c r="B45" s="118"/>
      <c r="C45" s="45" t="s">
        <v>223</v>
      </c>
      <c r="D45" s="70" t="s">
        <v>187</v>
      </c>
      <c r="E45" s="72" t="s">
        <v>17</v>
      </c>
      <c r="F45" s="167">
        <v>1000</v>
      </c>
      <c r="G45" s="70"/>
      <c r="H45" s="76"/>
      <c r="I45" s="70"/>
      <c r="J45" s="70">
        <f t="shared" si="3"/>
        <v>1000</v>
      </c>
      <c r="K45" s="154" t="s">
        <v>139</v>
      </c>
      <c r="L45" s="63"/>
      <c r="M45" s="140">
        <v>1000</v>
      </c>
      <c r="N45" s="103"/>
      <c r="O45" s="95"/>
      <c r="P45" s="18">
        <v>3.0000000000000001E-3</v>
      </c>
      <c r="Q45" s="18">
        <v>0.06</v>
      </c>
      <c r="R45" s="18">
        <v>0.08</v>
      </c>
      <c r="S45" s="18">
        <v>7.0000000000000001E-3</v>
      </c>
      <c r="T45" s="26"/>
    </row>
    <row r="46" spans="1:20" x14ac:dyDescent="0.25">
      <c r="A46" s="81" t="s">
        <v>222</v>
      </c>
      <c r="B46" s="118"/>
      <c r="C46" s="45" t="s">
        <v>223</v>
      </c>
      <c r="D46" s="70" t="s">
        <v>187</v>
      </c>
      <c r="E46" s="72" t="s">
        <v>17</v>
      </c>
      <c r="F46" s="167">
        <v>1000</v>
      </c>
      <c r="G46" s="70"/>
      <c r="H46" s="76"/>
      <c r="I46" s="70"/>
      <c r="J46" s="70">
        <f t="shared" si="3"/>
        <v>1000</v>
      </c>
      <c r="K46" s="154" t="s">
        <v>233</v>
      </c>
      <c r="L46" s="63"/>
      <c r="M46" s="140">
        <v>1000</v>
      </c>
      <c r="N46" s="103"/>
      <c r="O46" s="95"/>
      <c r="P46" s="18">
        <v>3.0000000000000001E-3</v>
      </c>
      <c r="Q46" s="18">
        <v>0.05</v>
      </c>
      <c r="R46" s="18">
        <v>0.05</v>
      </c>
      <c r="S46" s="18">
        <v>1.6E-2</v>
      </c>
      <c r="T46" s="26"/>
    </row>
    <row r="47" spans="1:20" x14ac:dyDescent="0.25">
      <c r="A47" s="81" t="s">
        <v>222</v>
      </c>
      <c r="B47" s="118"/>
      <c r="C47" s="45" t="s">
        <v>223</v>
      </c>
      <c r="D47" s="70" t="s">
        <v>187</v>
      </c>
      <c r="E47" s="72" t="s">
        <v>17</v>
      </c>
      <c r="F47" s="167">
        <v>1000</v>
      </c>
      <c r="G47" s="70"/>
      <c r="H47" s="76"/>
      <c r="I47" s="70"/>
      <c r="J47" s="70">
        <f t="shared" si="3"/>
        <v>1000</v>
      </c>
      <c r="K47" s="154" t="s">
        <v>140</v>
      </c>
      <c r="L47" s="63"/>
      <c r="M47" s="140">
        <v>1000</v>
      </c>
      <c r="N47" s="103"/>
      <c r="O47" s="95"/>
      <c r="P47" s="18">
        <v>3.0000000000000001E-3</v>
      </c>
      <c r="Q47" s="18">
        <v>6.3299999999999995E-2</v>
      </c>
      <c r="R47" s="18">
        <v>4.3299999999999998E-2</v>
      </c>
      <c r="S47" s="18">
        <v>1.4999999999999999E-2</v>
      </c>
      <c r="T47" s="26"/>
    </row>
    <row r="48" spans="1:20" x14ac:dyDescent="0.25">
      <c r="A48" s="81"/>
      <c r="B48" s="118"/>
      <c r="C48" s="45"/>
      <c r="D48" s="70"/>
      <c r="E48" s="72"/>
      <c r="F48" s="167"/>
      <c r="G48" s="70"/>
      <c r="H48" s="76"/>
      <c r="I48" s="70"/>
      <c r="J48" s="70"/>
      <c r="K48" s="154"/>
      <c r="L48" s="63"/>
      <c r="M48" s="140"/>
      <c r="N48" s="103"/>
      <c r="O48" s="95"/>
      <c r="P48" s="18"/>
      <c r="Q48" s="18"/>
      <c r="R48" s="18"/>
      <c r="S48" s="18"/>
      <c r="T48" s="26"/>
    </row>
    <row r="49" spans="1:20" x14ac:dyDescent="0.25">
      <c r="A49" s="81"/>
      <c r="B49" s="118"/>
      <c r="C49" s="45"/>
      <c r="D49" s="70"/>
      <c r="E49" s="72"/>
      <c r="F49" s="167"/>
      <c r="G49" s="70"/>
      <c r="H49" s="76"/>
      <c r="I49" s="70"/>
      <c r="J49" s="70">
        <f t="shared" si="3"/>
        <v>0</v>
      </c>
      <c r="K49" s="154"/>
      <c r="L49" s="63"/>
      <c r="M49" s="140"/>
      <c r="N49" s="103"/>
      <c r="O49" s="95"/>
      <c r="P49" s="18"/>
      <c r="Q49" s="18"/>
      <c r="R49" s="18"/>
      <c r="S49" s="18"/>
      <c r="T49" s="26"/>
    </row>
    <row r="50" spans="1:20" x14ac:dyDescent="0.25">
      <c r="A50" s="81" t="s">
        <v>106</v>
      </c>
      <c r="B50" s="118" t="s">
        <v>97</v>
      </c>
      <c r="C50" s="45" t="s">
        <v>114</v>
      </c>
      <c r="D50" s="70" t="s">
        <v>98</v>
      </c>
      <c r="E50" s="72" t="s">
        <v>17</v>
      </c>
      <c r="F50" s="167">
        <v>1000</v>
      </c>
      <c r="G50" s="70"/>
      <c r="H50" s="76"/>
      <c r="I50" s="70"/>
      <c r="J50" s="70">
        <f t="shared" si="3"/>
        <v>1000</v>
      </c>
      <c r="K50" s="154" t="s">
        <v>64</v>
      </c>
      <c r="L50" s="63"/>
      <c r="M50" s="140">
        <v>1000</v>
      </c>
      <c r="N50" s="103"/>
      <c r="O50" s="95"/>
      <c r="P50" s="18">
        <v>2E-3</v>
      </c>
      <c r="Q50" s="18">
        <v>2.3300000000000001E-2</v>
      </c>
      <c r="R50" s="18">
        <v>6.3299999999999995E-2</v>
      </c>
      <c r="S50" s="18">
        <v>0</v>
      </c>
      <c r="T50" s="26">
        <v>0</v>
      </c>
    </row>
    <row r="51" spans="1:20" x14ac:dyDescent="0.25">
      <c r="A51" s="81" t="s">
        <v>106</v>
      </c>
      <c r="B51" s="118" t="s">
        <v>97</v>
      </c>
      <c r="C51" s="45" t="s">
        <v>114</v>
      </c>
      <c r="D51" s="70" t="s">
        <v>98</v>
      </c>
      <c r="E51" s="72" t="s">
        <v>17</v>
      </c>
      <c r="F51" s="167">
        <v>1000</v>
      </c>
      <c r="G51" s="70"/>
      <c r="H51" s="76"/>
      <c r="I51" s="70"/>
      <c r="J51" s="70">
        <f t="shared" si="3"/>
        <v>1000</v>
      </c>
      <c r="K51" s="154" t="s">
        <v>68</v>
      </c>
      <c r="L51" s="63"/>
      <c r="M51" s="140">
        <v>1000</v>
      </c>
      <c r="N51" s="103"/>
      <c r="O51" s="95"/>
      <c r="P51" s="18">
        <v>2E-3</v>
      </c>
      <c r="Q51" s="18">
        <v>2.6599999999999999E-2</v>
      </c>
      <c r="R51" s="18">
        <v>6.3299999999999995E-2</v>
      </c>
      <c r="S51" s="18">
        <v>0</v>
      </c>
      <c r="T51" s="26">
        <v>0</v>
      </c>
    </row>
    <row r="52" spans="1:20" x14ac:dyDescent="0.25">
      <c r="A52" s="81" t="s">
        <v>106</v>
      </c>
      <c r="B52" s="118" t="s">
        <v>97</v>
      </c>
      <c r="C52" s="45" t="s">
        <v>114</v>
      </c>
      <c r="D52" s="70" t="s">
        <v>98</v>
      </c>
      <c r="E52" s="72" t="s">
        <v>17</v>
      </c>
      <c r="F52" s="167">
        <v>1000</v>
      </c>
      <c r="G52" s="70"/>
      <c r="H52" s="76"/>
      <c r="I52" s="70"/>
      <c r="J52" s="70">
        <f t="shared" si="3"/>
        <v>1000</v>
      </c>
      <c r="K52" s="154" t="s">
        <v>70</v>
      </c>
      <c r="L52" s="63"/>
      <c r="M52" s="140">
        <v>1000</v>
      </c>
      <c r="N52" s="103"/>
      <c r="O52" s="95"/>
      <c r="P52" s="18">
        <v>1E-3</v>
      </c>
      <c r="Q52" s="18">
        <v>0.03</v>
      </c>
      <c r="R52" s="18">
        <v>8.6599999999999996E-2</v>
      </c>
      <c r="S52" s="18">
        <v>0</v>
      </c>
      <c r="T52" s="26">
        <v>0</v>
      </c>
    </row>
    <row r="53" spans="1:20" x14ac:dyDescent="0.25">
      <c r="A53" s="81" t="s">
        <v>106</v>
      </c>
      <c r="B53" s="118" t="s">
        <v>97</v>
      </c>
      <c r="C53" s="45" t="s">
        <v>114</v>
      </c>
      <c r="D53" s="70" t="s">
        <v>98</v>
      </c>
      <c r="E53" s="72" t="s">
        <v>17</v>
      </c>
      <c r="F53" s="167">
        <v>1000</v>
      </c>
      <c r="G53" s="70"/>
      <c r="H53" s="76"/>
      <c r="I53" s="70"/>
      <c r="J53" s="70">
        <f t="shared" si="3"/>
        <v>1000</v>
      </c>
      <c r="K53" s="154" t="s">
        <v>71</v>
      </c>
      <c r="L53" s="63"/>
      <c r="M53" s="140">
        <v>1000</v>
      </c>
      <c r="N53" s="103"/>
      <c r="O53" s="95"/>
      <c r="P53" s="18">
        <v>1E-3</v>
      </c>
      <c r="Q53" s="18">
        <v>2.6599999999999999E-2</v>
      </c>
      <c r="R53" s="18">
        <v>9.3299999999999994E-2</v>
      </c>
      <c r="S53" s="18">
        <v>0</v>
      </c>
      <c r="T53" s="26">
        <v>0</v>
      </c>
    </row>
    <row r="54" spans="1:20" x14ac:dyDescent="0.25">
      <c r="A54" s="81" t="s">
        <v>106</v>
      </c>
      <c r="B54" s="118" t="s">
        <v>97</v>
      </c>
      <c r="C54" s="45" t="s">
        <v>114</v>
      </c>
      <c r="D54" s="70" t="s">
        <v>98</v>
      </c>
      <c r="E54" s="72" t="s">
        <v>17</v>
      </c>
      <c r="F54" s="167">
        <v>1000</v>
      </c>
      <c r="G54" s="70"/>
      <c r="H54" s="76"/>
      <c r="I54" s="70"/>
      <c r="J54" s="70">
        <f t="shared" si="3"/>
        <v>1000</v>
      </c>
      <c r="K54" s="154" t="s">
        <v>72</v>
      </c>
      <c r="L54" s="63"/>
      <c r="M54" s="140">
        <v>1000</v>
      </c>
      <c r="N54" s="103"/>
      <c r="O54" s="95"/>
      <c r="P54" s="18">
        <v>0</v>
      </c>
      <c r="Q54" s="18">
        <v>2.3300000000000001E-2</v>
      </c>
      <c r="R54" s="18">
        <v>0.1066</v>
      </c>
      <c r="S54" s="18">
        <v>0</v>
      </c>
      <c r="T54" s="26">
        <v>0</v>
      </c>
    </row>
    <row r="55" spans="1:20" ht="29.25" x14ac:dyDescent="0.25">
      <c r="A55" s="81" t="s">
        <v>106</v>
      </c>
      <c r="B55" s="118" t="s">
        <v>97</v>
      </c>
      <c r="C55" s="45" t="s">
        <v>114</v>
      </c>
      <c r="D55" s="70" t="s">
        <v>98</v>
      </c>
      <c r="E55" s="72" t="s">
        <v>17</v>
      </c>
      <c r="F55" s="167">
        <v>450</v>
      </c>
      <c r="G55" s="70"/>
      <c r="H55" s="76" t="s">
        <v>170</v>
      </c>
      <c r="I55" s="70"/>
      <c r="J55" s="70">
        <f t="shared" si="3"/>
        <v>450</v>
      </c>
      <c r="K55" s="154" t="s">
        <v>73</v>
      </c>
      <c r="L55" s="63"/>
      <c r="M55" s="140">
        <v>450</v>
      </c>
      <c r="N55" s="103"/>
      <c r="O55" s="95"/>
      <c r="P55" s="18">
        <v>1E-3</v>
      </c>
      <c r="Q55" s="18">
        <v>0.03</v>
      </c>
      <c r="R55" s="18">
        <v>6.6600000000000006E-2</v>
      </c>
      <c r="S55" s="18">
        <v>0</v>
      </c>
      <c r="T55" s="26">
        <v>0</v>
      </c>
    </row>
    <row r="56" spans="1:20" x14ac:dyDescent="0.25">
      <c r="A56" s="81" t="s">
        <v>106</v>
      </c>
      <c r="B56" s="118" t="s">
        <v>97</v>
      </c>
      <c r="C56" s="45" t="s">
        <v>114</v>
      </c>
      <c r="D56" s="70" t="s">
        <v>98</v>
      </c>
      <c r="E56" s="72" t="s">
        <v>17</v>
      </c>
      <c r="F56" s="167">
        <v>1000</v>
      </c>
      <c r="G56" s="70"/>
      <c r="H56" s="76"/>
      <c r="I56" s="70"/>
      <c r="J56" s="70">
        <f t="shared" si="3"/>
        <v>1000</v>
      </c>
      <c r="K56" s="154" t="s">
        <v>92</v>
      </c>
      <c r="L56" s="63"/>
      <c r="M56" s="140">
        <v>1000</v>
      </c>
      <c r="N56" s="103"/>
      <c r="O56" s="95"/>
      <c r="P56" s="18">
        <v>1E-3</v>
      </c>
      <c r="Q56" s="18">
        <v>1.3299999999999999E-2</v>
      </c>
      <c r="R56" s="18">
        <v>5.33E-2</v>
      </c>
      <c r="S56" s="18">
        <v>0</v>
      </c>
      <c r="T56" s="26">
        <v>0</v>
      </c>
    </row>
    <row r="57" spans="1:20" x14ac:dyDescent="0.25">
      <c r="A57" s="81" t="s">
        <v>106</v>
      </c>
      <c r="B57" s="118" t="s">
        <v>97</v>
      </c>
      <c r="C57" s="45" t="s">
        <v>114</v>
      </c>
      <c r="D57" s="70" t="s">
        <v>98</v>
      </c>
      <c r="E57" s="72" t="s">
        <v>17</v>
      </c>
      <c r="F57" s="167">
        <v>1000</v>
      </c>
      <c r="G57" s="70"/>
      <c r="H57" s="76"/>
      <c r="I57" s="70"/>
      <c r="J57" s="70">
        <f t="shared" si="3"/>
        <v>1000</v>
      </c>
      <c r="K57" s="154" t="s">
        <v>93</v>
      </c>
      <c r="L57" s="63"/>
      <c r="M57" s="140">
        <v>1000</v>
      </c>
      <c r="N57" s="103"/>
      <c r="O57" s="95"/>
      <c r="P57" s="18">
        <v>0</v>
      </c>
      <c r="Q57" s="18">
        <v>0.01</v>
      </c>
      <c r="R57" s="18">
        <v>3.3300000000000003E-2</v>
      </c>
      <c r="S57" s="18">
        <v>0</v>
      </c>
      <c r="T57" s="26">
        <v>0</v>
      </c>
    </row>
    <row r="58" spans="1:20" x14ac:dyDescent="0.25">
      <c r="A58" s="81" t="s">
        <v>106</v>
      </c>
      <c r="B58" s="118" t="s">
        <v>97</v>
      </c>
      <c r="C58" s="45" t="s">
        <v>114</v>
      </c>
      <c r="D58" s="70" t="s">
        <v>98</v>
      </c>
      <c r="E58" s="72" t="s">
        <v>17</v>
      </c>
      <c r="F58" s="167">
        <v>1000</v>
      </c>
      <c r="G58" s="70"/>
      <c r="H58" s="76"/>
      <c r="I58" s="70"/>
      <c r="J58" s="70">
        <f t="shared" si="3"/>
        <v>1000</v>
      </c>
      <c r="K58" s="154" t="s">
        <v>94</v>
      </c>
      <c r="L58" s="63"/>
      <c r="M58" s="140">
        <v>1000</v>
      </c>
      <c r="N58" s="103"/>
      <c r="O58" s="95"/>
      <c r="P58" s="18">
        <v>0</v>
      </c>
      <c r="Q58" s="18">
        <v>0.02</v>
      </c>
      <c r="R58" s="18">
        <v>4.6600000000000003E-2</v>
      </c>
      <c r="S58" s="18">
        <v>0</v>
      </c>
      <c r="T58" s="26">
        <v>0</v>
      </c>
    </row>
    <row r="59" spans="1:20" x14ac:dyDescent="0.25">
      <c r="A59" s="81" t="s">
        <v>106</v>
      </c>
      <c r="B59" s="118" t="s">
        <v>97</v>
      </c>
      <c r="C59" s="45" t="s">
        <v>114</v>
      </c>
      <c r="D59" s="70" t="s">
        <v>98</v>
      </c>
      <c r="E59" s="72" t="s">
        <v>17</v>
      </c>
      <c r="F59" s="167">
        <v>1000</v>
      </c>
      <c r="G59" s="70"/>
      <c r="H59" s="76"/>
      <c r="I59" s="70"/>
      <c r="J59" s="70">
        <f t="shared" si="3"/>
        <v>1000</v>
      </c>
      <c r="K59" s="154" t="s">
        <v>95</v>
      </c>
      <c r="L59" s="63"/>
      <c r="M59" s="140">
        <v>1000</v>
      </c>
      <c r="N59" s="103"/>
      <c r="O59" s="95"/>
      <c r="P59" s="18">
        <v>1E-3</v>
      </c>
      <c r="Q59" s="18">
        <v>3.3E-3</v>
      </c>
      <c r="R59" s="18">
        <v>0.04</v>
      </c>
      <c r="S59" s="18">
        <v>0</v>
      </c>
      <c r="T59" s="26">
        <v>0</v>
      </c>
    </row>
    <row r="60" spans="1:20" x14ac:dyDescent="0.25">
      <c r="A60" s="81" t="s">
        <v>106</v>
      </c>
      <c r="B60" s="118" t="s">
        <v>97</v>
      </c>
      <c r="C60" s="45" t="s">
        <v>114</v>
      </c>
      <c r="D60" s="70" t="s">
        <v>98</v>
      </c>
      <c r="E60" s="72" t="s">
        <v>17</v>
      </c>
      <c r="F60" s="167">
        <v>1000</v>
      </c>
      <c r="G60" s="70"/>
      <c r="H60" s="76"/>
      <c r="I60" s="70"/>
      <c r="J60" s="70">
        <f t="shared" si="3"/>
        <v>1000</v>
      </c>
      <c r="K60" s="154" t="s">
        <v>118</v>
      </c>
      <c r="L60" s="63"/>
      <c r="M60" s="140">
        <v>1000</v>
      </c>
      <c r="N60" s="103"/>
      <c r="O60" s="95"/>
      <c r="P60" s="18">
        <v>0</v>
      </c>
      <c r="Q60" s="18">
        <v>0</v>
      </c>
      <c r="R60" s="18">
        <v>0.03</v>
      </c>
      <c r="S60" s="18">
        <v>0</v>
      </c>
      <c r="T60" s="26">
        <v>0</v>
      </c>
    </row>
    <row r="61" spans="1:20" x14ac:dyDescent="0.25">
      <c r="A61" s="81" t="s">
        <v>106</v>
      </c>
      <c r="B61" s="118" t="s">
        <v>97</v>
      </c>
      <c r="C61" s="45" t="s">
        <v>114</v>
      </c>
      <c r="D61" s="70" t="s">
        <v>98</v>
      </c>
      <c r="E61" s="72" t="s">
        <v>17</v>
      </c>
      <c r="F61" s="167">
        <v>1000</v>
      </c>
      <c r="G61" s="70"/>
      <c r="H61" s="76"/>
      <c r="I61" s="70"/>
      <c r="J61" s="70">
        <f t="shared" si="3"/>
        <v>1000</v>
      </c>
      <c r="K61" s="154" t="s">
        <v>119</v>
      </c>
      <c r="L61" s="63"/>
      <c r="M61" s="140">
        <v>1000</v>
      </c>
      <c r="N61" s="103"/>
      <c r="O61" s="95"/>
      <c r="P61" s="18">
        <v>1E-3</v>
      </c>
      <c r="Q61" s="18">
        <v>6.6E-3</v>
      </c>
      <c r="R61" s="18">
        <v>4.3299999999999998E-2</v>
      </c>
      <c r="S61" s="18">
        <v>0</v>
      </c>
      <c r="T61" s="26">
        <v>0</v>
      </c>
    </row>
    <row r="62" spans="1:20" x14ac:dyDescent="0.25">
      <c r="A62" s="81" t="s">
        <v>106</v>
      </c>
      <c r="B62" s="118" t="s">
        <v>97</v>
      </c>
      <c r="C62" s="45" t="s">
        <v>114</v>
      </c>
      <c r="D62" s="70" t="s">
        <v>98</v>
      </c>
      <c r="E62" s="72" t="s">
        <v>17</v>
      </c>
      <c r="F62" s="167">
        <v>1000</v>
      </c>
      <c r="G62" s="70"/>
      <c r="H62" s="76"/>
      <c r="I62" s="70"/>
      <c r="J62" s="70">
        <f t="shared" si="3"/>
        <v>1000</v>
      </c>
      <c r="K62" s="154" t="s">
        <v>120</v>
      </c>
      <c r="L62" s="63"/>
      <c r="M62" s="140">
        <v>1000</v>
      </c>
      <c r="N62" s="103"/>
      <c r="O62" s="95"/>
      <c r="P62" s="18">
        <v>0</v>
      </c>
      <c r="Q62" s="18">
        <v>3.3E-3</v>
      </c>
      <c r="R62" s="18">
        <v>1.66E-2</v>
      </c>
      <c r="S62" s="18">
        <v>0</v>
      </c>
      <c r="T62" s="26">
        <v>0</v>
      </c>
    </row>
    <row r="63" spans="1:20" x14ac:dyDescent="0.25">
      <c r="A63" s="81" t="s">
        <v>106</v>
      </c>
      <c r="B63" s="118" t="s">
        <v>97</v>
      </c>
      <c r="C63" s="45" t="s">
        <v>114</v>
      </c>
      <c r="D63" s="70" t="s">
        <v>98</v>
      </c>
      <c r="E63" s="72" t="s">
        <v>17</v>
      </c>
      <c r="F63" s="167">
        <v>1000</v>
      </c>
      <c r="G63" s="70"/>
      <c r="H63" s="76"/>
      <c r="I63" s="70"/>
      <c r="J63" s="70">
        <f t="shared" si="3"/>
        <v>1000</v>
      </c>
      <c r="K63" s="154" t="s">
        <v>124</v>
      </c>
      <c r="L63" s="63"/>
      <c r="M63" s="140">
        <v>1000</v>
      </c>
      <c r="N63" s="103"/>
      <c r="O63" s="95"/>
      <c r="P63" s="18">
        <v>1E-3</v>
      </c>
      <c r="Q63" s="18">
        <v>0.02</v>
      </c>
      <c r="R63" s="18">
        <v>3.6600000000000001E-2</v>
      </c>
      <c r="S63" s="18">
        <v>0</v>
      </c>
      <c r="T63" s="26">
        <v>0</v>
      </c>
    </row>
    <row r="64" spans="1:20" x14ac:dyDescent="0.25">
      <c r="A64" s="81" t="s">
        <v>106</v>
      </c>
      <c r="B64" s="118" t="s">
        <v>97</v>
      </c>
      <c r="C64" s="45" t="s">
        <v>114</v>
      </c>
      <c r="D64" s="70" t="s">
        <v>98</v>
      </c>
      <c r="E64" s="72" t="s">
        <v>17</v>
      </c>
      <c r="F64" s="167">
        <v>1000</v>
      </c>
      <c r="G64" s="70"/>
      <c r="H64" s="76"/>
      <c r="I64" s="70"/>
      <c r="J64" s="70">
        <f t="shared" si="3"/>
        <v>1000</v>
      </c>
      <c r="K64" s="154" t="s">
        <v>125</v>
      </c>
      <c r="L64" s="63"/>
      <c r="M64" s="140">
        <v>1000</v>
      </c>
      <c r="N64" s="103"/>
      <c r="O64" s="95"/>
      <c r="P64" s="18">
        <v>1E-3</v>
      </c>
      <c r="Q64" s="18">
        <v>1.3299999999999999E-2</v>
      </c>
      <c r="R64" s="18">
        <v>0.04</v>
      </c>
      <c r="S64" s="18">
        <v>0</v>
      </c>
      <c r="T64" s="26">
        <v>0</v>
      </c>
    </row>
    <row r="65" spans="1:20" x14ac:dyDescent="0.25">
      <c r="A65" s="81" t="s">
        <v>106</v>
      </c>
      <c r="B65" s="118" t="s">
        <v>97</v>
      </c>
      <c r="C65" s="45" t="s">
        <v>114</v>
      </c>
      <c r="D65" s="70" t="s">
        <v>98</v>
      </c>
      <c r="E65" s="72" t="s">
        <v>17</v>
      </c>
      <c r="F65" s="167">
        <v>1000</v>
      </c>
      <c r="G65" s="70"/>
      <c r="H65" s="76"/>
      <c r="I65" s="70"/>
      <c r="J65" s="70">
        <f t="shared" si="3"/>
        <v>1000</v>
      </c>
      <c r="K65" s="154" t="s">
        <v>126</v>
      </c>
      <c r="L65" s="63"/>
      <c r="M65" s="140">
        <v>1000</v>
      </c>
      <c r="N65" s="103"/>
      <c r="O65" s="95"/>
      <c r="P65" s="18">
        <v>0</v>
      </c>
      <c r="Q65" s="18">
        <v>6.6E-3</v>
      </c>
      <c r="R65" s="18">
        <v>2.6599999999999999E-2</v>
      </c>
      <c r="S65" s="18">
        <v>0</v>
      </c>
      <c r="T65" s="26">
        <v>0</v>
      </c>
    </row>
    <row r="66" spans="1:20" x14ac:dyDescent="0.25">
      <c r="A66" s="81" t="s">
        <v>106</v>
      </c>
      <c r="B66" s="118" t="s">
        <v>97</v>
      </c>
      <c r="C66" s="45" t="s">
        <v>114</v>
      </c>
      <c r="D66" s="70" t="s">
        <v>98</v>
      </c>
      <c r="E66" s="72" t="s">
        <v>17</v>
      </c>
      <c r="F66" s="167">
        <v>1000</v>
      </c>
      <c r="G66" s="70"/>
      <c r="H66" s="76"/>
      <c r="I66" s="70"/>
      <c r="J66" s="70">
        <f t="shared" si="3"/>
        <v>1000</v>
      </c>
      <c r="K66" s="154" t="s">
        <v>127</v>
      </c>
      <c r="L66" s="63"/>
      <c r="M66" s="140">
        <v>1000</v>
      </c>
      <c r="N66" s="103"/>
      <c r="O66" s="95"/>
      <c r="P66" s="18">
        <v>0</v>
      </c>
      <c r="Q66" s="18">
        <v>0.01</v>
      </c>
      <c r="R66" s="18">
        <v>3.6600000000000001E-2</v>
      </c>
      <c r="S66" s="18">
        <v>0</v>
      </c>
      <c r="T66" s="26">
        <v>0</v>
      </c>
    </row>
    <row r="67" spans="1:20" x14ac:dyDescent="0.25">
      <c r="A67" s="81" t="s">
        <v>106</v>
      </c>
      <c r="B67" s="118" t="s">
        <v>97</v>
      </c>
      <c r="C67" s="45" t="s">
        <v>114</v>
      </c>
      <c r="D67" s="70" t="s">
        <v>98</v>
      </c>
      <c r="E67" s="72" t="s">
        <v>17</v>
      </c>
      <c r="F67" s="167">
        <v>1000</v>
      </c>
      <c r="G67" s="70"/>
      <c r="H67" s="76"/>
      <c r="I67" s="70"/>
      <c r="J67" s="70">
        <f t="shared" si="3"/>
        <v>1000</v>
      </c>
      <c r="K67" s="154" t="s">
        <v>128</v>
      </c>
      <c r="L67" s="63"/>
      <c r="M67" s="140">
        <v>1000</v>
      </c>
      <c r="N67" s="103"/>
      <c r="O67" s="95"/>
      <c r="P67" s="18">
        <v>0</v>
      </c>
      <c r="Q67" s="18">
        <v>0.02</v>
      </c>
      <c r="R67" s="18">
        <v>3.3300000000000003E-2</v>
      </c>
      <c r="S67" s="18">
        <v>0</v>
      </c>
      <c r="T67" s="26">
        <v>0</v>
      </c>
    </row>
    <row r="68" spans="1:20" x14ac:dyDescent="0.25">
      <c r="A68" s="81" t="s">
        <v>106</v>
      </c>
      <c r="B68" s="118" t="s">
        <v>97</v>
      </c>
      <c r="C68" s="45" t="s">
        <v>114</v>
      </c>
      <c r="D68" s="70" t="s">
        <v>98</v>
      </c>
      <c r="E68" s="72" t="s">
        <v>17</v>
      </c>
      <c r="F68" s="167">
        <v>1000</v>
      </c>
      <c r="G68" s="70"/>
      <c r="H68" s="76"/>
      <c r="I68" s="70"/>
      <c r="J68" s="70">
        <f t="shared" si="3"/>
        <v>1000</v>
      </c>
      <c r="K68" s="154" t="s">
        <v>129</v>
      </c>
      <c r="L68" s="63"/>
      <c r="M68" s="140">
        <v>1000</v>
      </c>
      <c r="N68" s="103"/>
      <c r="O68" s="95"/>
      <c r="P68" s="18">
        <v>0</v>
      </c>
      <c r="Q68" s="18">
        <v>1.66E-2</v>
      </c>
      <c r="R68" s="18">
        <v>3.6600000000000001E-2</v>
      </c>
      <c r="S68" s="18">
        <v>0</v>
      </c>
      <c r="T68" s="26">
        <v>0</v>
      </c>
    </row>
    <row r="69" spans="1:20" x14ac:dyDescent="0.25">
      <c r="A69" s="81" t="s">
        <v>116</v>
      </c>
      <c r="B69" s="118" t="s">
        <v>97</v>
      </c>
      <c r="C69" s="45" t="s">
        <v>136</v>
      </c>
      <c r="D69" s="70" t="s">
        <v>98</v>
      </c>
      <c r="E69" s="72" t="s">
        <v>17</v>
      </c>
      <c r="F69" s="167">
        <v>1000</v>
      </c>
      <c r="G69" s="70"/>
      <c r="H69" s="76"/>
      <c r="I69" s="70"/>
      <c r="J69" s="70">
        <f t="shared" si="3"/>
        <v>1000</v>
      </c>
      <c r="K69" s="154" t="s">
        <v>60</v>
      </c>
      <c r="L69" s="63"/>
      <c r="M69" s="139">
        <v>1000</v>
      </c>
      <c r="N69" s="103"/>
      <c r="O69" s="95"/>
      <c r="P69" s="18">
        <v>0</v>
      </c>
      <c r="Q69" s="18">
        <v>6.6E-3</v>
      </c>
      <c r="R69" s="18">
        <v>2.6599999999999999E-2</v>
      </c>
      <c r="S69" s="18">
        <v>0</v>
      </c>
      <c r="T69" s="26">
        <v>0</v>
      </c>
    </row>
    <row r="70" spans="1:20" x14ac:dyDescent="0.25">
      <c r="A70" s="81" t="s">
        <v>116</v>
      </c>
      <c r="B70" s="118" t="s">
        <v>97</v>
      </c>
      <c r="C70" s="45" t="s">
        <v>136</v>
      </c>
      <c r="D70" s="70" t="s">
        <v>98</v>
      </c>
      <c r="E70" s="72" t="s">
        <v>17</v>
      </c>
      <c r="F70" s="167">
        <v>1000</v>
      </c>
      <c r="G70" s="70"/>
      <c r="H70" s="76"/>
      <c r="I70" s="70"/>
      <c r="J70" s="70">
        <f t="shared" si="3"/>
        <v>1000</v>
      </c>
      <c r="K70" s="154" t="s">
        <v>62</v>
      </c>
      <c r="L70" s="63"/>
      <c r="M70" s="139">
        <v>1000</v>
      </c>
      <c r="N70" s="103"/>
      <c r="O70" s="95"/>
      <c r="P70" s="18">
        <v>0</v>
      </c>
      <c r="Q70" s="18">
        <v>0.01</v>
      </c>
      <c r="R70" s="18">
        <v>4.3299999999999998E-2</v>
      </c>
      <c r="S70" s="18">
        <v>0</v>
      </c>
      <c r="T70" s="26">
        <v>0</v>
      </c>
    </row>
    <row r="71" spans="1:20" x14ac:dyDescent="0.25">
      <c r="A71" s="81" t="s">
        <v>185</v>
      </c>
      <c r="B71" s="118" t="s">
        <v>169</v>
      </c>
      <c r="C71" s="45" t="s">
        <v>183</v>
      </c>
      <c r="D71" s="70" t="s">
        <v>98</v>
      </c>
      <c r="E71" s="72" t="s">
        <v>17</v>
      </c>
      <c r="F71" s="167">
        <v>1000</v>
      </c>
      <c r="G71" s="70"/>
      <c r="H71" s="76"/>
      <c r="I71" s="70"/>
      <c r="J71" s="70">
        <f t="shared" si="3"/>
        <v>1000</v>
      </c>
      <c r="K71" s="154" t="s">
        <v>63</v>
      </c>
      <c r="L71" s="63"/>
      <c r="M71" s="139">
        <v>1000</v>
      </c>
      <c r="N71" s="103"/>
      <c r="O71" s="95"/>
      <c r="P71" s="18">
        <v>1E-3</v>
      </c>
      <c r="Q71" s="18">
        <v>0.01</v>
      </c>
      <c r="R71" s="18">
        <v>0.08</v>
      </c>
      <c r="S71" s="18">
        <v>0</v>
      </c>
      <c r="T71" s="26">
        <v>0</v>
      </c>
    </row>
    <row r="72" spans="1:20" x14ac:dyDescent="0.25">
      <c r="A72" s="81" t="s">
        <v>185</v>
      </c>
      <c r="B72" s="118" t="s">
        <v>169</v>
      </c>
      <c r="C72" s="45" t="s">
        <v>183</v>
      </c>
      <c r="D72" s="70" t="s">
        <v>98</v>
      </c>
      <c r="E72" s="72" t="s">
        <v>17</v>
      </c>
      <c r="F72" s="167">
        <v>1000</v>
      </c>
      <c r="G72" s="70"/>
      <c r="H72" s="76"/>
      <c r="I72" s="70"/>
      <c r="J72" s="70">
        <f t="shared" si="3"/>
        <v>1000</v>
      </c>
      <c r="K72" s="154" t="s">
        <v>64</v>
      </c>
      <c r="L72" s="63"/>
      <c r="M72" s="139">
        <v>1000</v>
      </c>
      <c r="N72" s="103"/>
      <c r="O72" s="95"/>
      <c r="P72" s="18">
        <v>3.0000000000000001E-3</v>
      </c>
      <c r="Q72" s="18">
        <v>0.02</v>
      </c>
      <c r="R72" s="18">
        <v>9.5000000000000001E-2</v>
      </c>
      <c r="S72" s="18">
        <v>0</v>
      </c>
      <c r="T72" s="26">
        <v>0</v>
      </c>
    </row>
    <row r="73" spans="1:20" x14ac:dyDescent="0.25">
      <c r="A73" s="81" t="s">
        <v>185</v>
      </c>
      <c r="B73" s="118" t="s">
        <v>169</v>
      </c>
      <c r="C73" s="45" t="s">
        <v>183</v>
      </c>
      <c r="D73" s="70" t="s">
        <v>98</v>
      </c>
      <c r="E73" s="72" t="s">
        <v>17</v>
      </c>
      <c r="F73" s="167">
        <v>1000</v>
      </c>
      <c r="G73" s="70"/>
      <c r="H73" s="76"/>
      <c r="I73" s="70"/>
      <c r="J73" s="70">
        <f t="shared" si="3"/>
        <v>1000</v>
      </c>
      <c r="K73" s="154" t="s">
        <v>68</v>
      </c>
      <c r="L73" s="63"/>
      <c r="M73" s="139">
        <v>1000</v>
      </c>
      <c r="N73" s="103"/>
      <c r="O73" s="95"/>
      <c r="P73" s="18">
        <v>2E-3</v>
      </c>
      <c r="Q73" s="18">
        <v>0.02</v>
      </c>
      <c r="R73" s="18">
        <v>5.5E-2</v>
      </c>
      <c r="S73" s="18">
        <v>0</v>
      </c>
      <c r="T73" s="26">
        <v>0</v>
      </c>
    </row>
    <row r="74" spans="1:20" x14ac:dyDescent="0.25">
      <c r="A74" s="81" t="s">
        <v>185</v>
      </c>
      <c r="B74" s="118" t="s">
        <v>169</v>
      </c>
      <c r="C74" s="45" t="s">
        <v>183</v>
      </c>
      <c r="D74" s="70" t="s">
        <v>98</v>
      </c>
      <c r="E74" s="72" t="s">
        <v>17</v>
      </c>
      <c r="F74" s="167">
        <v>1000</v>
      </c>
      <c r="G74" s="70"/>
      <c r="H74" s="76"/>
      <c r="I74" s="70"/>
      <c r="J74" s="70">
        <f t="shared" si="3"/>
        <v>1000</v>
      </c>
      <c r="K74" s="154" t="s">
        <v>69</v>
      </c>
      <c r="L74" s="63"/>
      <c r="M74" s="139">
        <v>1000</v>
      </c>
      <c r="N74" s="103"/>
      <c r="O74" s="95"/>
      <c r="P74" s="18">
        <v>1E-3</v>
      </c>
      <c r="Q74" s="18">
        <v>5.0000000000000001E-3</v>
      </c>
      <c r="R74" s="18">
        <v>7.4999999999999997E-2</v>
      </c>
      <c r="S74" s="18">
        <v>0</v>
      </c>
      <c r="T74" s="26">
        <v>0</v>
      </c>
    </row>
    <row r="75" spans="1:20" x14ac:dyDescent="0.25">
      <c r="A75" s="81" t="s">
        <v>185</v>
      </c>
      <c r="B75" s="118" t="s">
        <v>169</v>
      </c>
      <c r="C75" s="45" t="s">
        <v>183</v>
      </c>
      <c r="D75" s="70" t="s">
        <v>98</v>
      </c>
      <c r="E75" s="72" t="s">
        <v>17</v>
      </c>
      <c r="F75" s="167">
        <v>1000</v>
      </c>
      <c r="G75" s="70"/>
      <c r="H75" s="76"/>
      <c r="I75" s="70"/>
      <c r="J75" s="70">
        <f t="shared" si="3"/>
        <v>1000</v>
      </c>
      <c r="K75" s="154" t="s">
        <v>70</v>
      </c>
      <c r="L75" s="63"/>
      <c r="M75" s="139">
        <v>1000</v>
      </c>
      <c r="N75" s="103"/>
      <c r="O75" s="95"/>
      <c r="P75" s="18">
        <v>1E-3</v>
      </c>
      <c r="Q75" s="18">
        <v>1.4999999999999999E-2</v>
      </c>
      <c r="R75" s="18">
        <v>4.4999999999999998E-2</v>
      </c>
      <c r="S75" s="18">
        <v>0</v>
      </c>
      <c r="T75" s="26">
        <v>0</v>
      </c>
    </row>
    <row r="76" spans="1:20" x14ac:dyDescent="0.25">
      <c r="A76" s="81" t="s">
        <v>185</v>
      </c>
      <c r="B76" s="118" t="s">
        <v>169</v>
      </c>
      <c r="C76" s="45" t="s">
        <v>183</v>
      </c>
      <c r="D76" s="70" t="s">
        <v>98</v>
      </c>
      <c r="E76" s="72" t="s">
        <v>17</v>
      </c>
      <c r="F76" s="167">
        <v>1000</v>
      </c>
      <c r="G76" s="70"/>
      <c r="H76" s="76"/>
      <c r="I76" s="70"/>
      <c r="J76" s="70">
        <f t="shared" si="3"/>
        <v>1000</v>
      </c>
      <c r="K76" s="154" t="s">
        <v>71</v>
      </c>
      <c r="L76" s="63"/>
      <c r="M76" s="139">
        <v>1000</v>
      </c>
      <c r="N76" s="103"/>
      <c r="O76" s="95"/>
      <c r="P76" s="18">
        <v>1E-3</v>
      </c>
      <c r="Q76" s="18">
        <v>2.5000000000000001E-2</v>
      </c>
      <c r="R76" s="18">
        <v>8.5000000000000006E-2</v>
      </c>
      <c r="S76" s="18">
        <v>0</v>
      </c>
      <c r="T76" s="26"/>
    </row>
    <row r="77" spans="1:20" x14ac:dyDescent="0.25">
      <c r="A77" s="81" t="s">
        <v>185</v>
      </c>
      <c r="B77" s="118" t="s">
        <v>169</v>
      </c>
      <c r="C77" s="45" t="s">
        <v>183</v>
      </c>
      <c r="D77" s="70" t="s">
        <v>98</v>
      </c>
      <c r="E77" s="72" t="s">
        <v>17</v>
      </c>
      <c r="F77" s="167">
        <v>1000</v>
      </c>
      <c r="G77" s="70"/>
      <c r="H77" s="76"/>
      <c r="I77" s="70"/>
      <c r="J77" s="70">
        <f t="shared" si="3"/>
        <v>1000</v>
      </c>
      <c r="K77" s="154" t="s">
        <v>72</v>
      </c>
      <c r="L77" s="63"/>
      <c r="M77" s="139">
        <v>1000</v>
      </c>
      <c r="N77" s="103"/>
      <c r="O77" s="95"/>
      <c r="P77" s="18">
        <v>1E-3</v>
      </c>
      <c r="Q77" s="18">
        <v>0.02</v>
      </c>
      <c r="R77" s="18">
        <v>7.0000000000000007E-2</v>
      </c>
      <c r="S77" s="18"/>
      <c r="T77" s="26"/>
    </row>
    <row r="78" spans="1:20" x14ac:dyDescent="0.25">
      <c r="A78" s="81" t="s">
        <v>185</v>
      </c>
      <c r="B78" s="118" t="s">
        <v>169</v>
      </c>
      <c r="C78" s="45" t="s">
        <v>183</v>
      </c>
      <c r="D78" s="70" t="s">
        <v>98</v>
      </c>
      <c r="E78" s="72" t="s">
        <v>17</v>
      </c>
      <c r="F78" s="167">
        <v>1000</v>
      </c>
      <c r="G78" s="70"/>
      <c r="H78" s="76"/>
      <c r="I78" s="70"/>
      <c r="J78" s="70">
        <f t="shared" si="3"/>
        <v>1000</v>
      </c>
      <c r="K78" s="154" t="s">
        <v>73</v>
      </c>
      <c r="L78" s="63"/>
      <c r="M78" s="139">
        <v>1000</v>
      </c>
      <c r="N78" s="103"/>
      <c r="O78" s="95"/>
      <c r="P78" s="18">
        <v>2E-3</v>
      </c>
      <c r="Q78" s="18">
        <v>0.02</v>
      </c>
      <c r="R78" s="18">
        <v>0.08</v>
      </c>
      <c r="S78" s="18"/>
      <c r="T78" s="26"/>
    </row>
    <row r="79" spans="1:20" x14ac:dyDescent="0.25">
      <c r="A79" s="81" t="s">
        <v>185</v>
      </c>
      <c r="B79" s="118" t="s">
        <v>169</v>
      </c>
      <c r="C79" s="45" t="s">
        <v>183</v>
      </c>
      <c r="D79" s="70" t="s">
        <v>98</v>
      </c>
      <c r="E79" s="72" t="s">
        <v>17</v>
      </c>
      <c r="F79" s="167">
        <v>303</v>
      </c>
      <c r="G79" s="70"/>
      <c r="H79" s="76"/>
      <c r="I79" s="70"/>
      <c r="J79" s="70">
        <f t="shared" si="3"/>
        <v>303</v>
      </c>
      <c r="K79" s="154" t="s">
        <v>92</v>
      </c>
      <c r="L79" s="63"/>
      <c r="M79" s="139">
        <v>303</v>
      </c>
      <c r="N79" s="103"/>
      <c r="O79" s="95"/>
      <c r="P79" s="18">
        <v>3.0000000000000001E-3</v>
      </c>
      <c r="Q79" s="18">
        <v>0.03</v>
      </c>
      <c r="R79" s="18">
        <v>0.13200000000000001</v>
      </c>
      <c r="S79" s="18"/>
      <c r="T79" s="26"/>
    </row>
    <row r="80" spans="1:20" x14ac:dyDescent="0.25">
      <c r="A80" s="81"/>
      <c r="B80" s="118"/>
      <c r="C80" s="45"/>
      <c r="D80" s="70"/>
      <c r="E80" s="72"/>
      <c r="F80" s="167"/>
      <c r="G80" s="70"/>
      <c r="H80" s="76"/>
      <c r="I80" s="70"/>
      <c r="J80" s="70"/>
      <c r="K80" s="154"/>
      <c r="L80" s="63"/>
      <c r="M80" s="139"/>
      <c r="N80" s="103"/>
      <c r="O80" s="95"/>
      <c r="P80" s="18"/>
      <c r="Q80" s="18"/>
      <c r="R80" s="18"/>
      <c r="S80" s="18"/>
      <c r="T80" s="26"/>
    </row>
    <row r="81" spans="1:20" x14ac:dyDescent="0.25">
      <c r="A81" s="81" t="s">
        <v>196</v>
      </c>
      <c r="B81" s="118" t="s">
        <v>169</v>
      </c>
      <c r="C81" s="45" t="s">
        <v>197</v>
      </c>
      <c r="D81" s="70" t="s">
        <v>98</v>
      </c>
      <c r="E81" s="72" t="s">
        <v>17</v>
      </c>
      <c r="F81" s="167">
        <v>1000</v>
      </c>
      <c r="G81" s="70"/>
      <c r="H81" s="76"/>
      <c r="I81" s="70"/>
      <c r="J81" s="70">
        <f t="shared" si="3"/>
        <v>1000</v>
      </c>
      <c r="K81" s="154" t="s">
        <v>188</v>
      </c>
      <c r="L81" s="63"/>
      <c r="M81" s="139">
        <v>1000</v>
      </c>
      <c r="N81" s="103"/>
      <c r="O81" s="95"/>
      <c r="P81" s="18">
        <v>1.4999999999999999E-2</v>
      </c>
      <c r="Q81" s="18">
        <v>0.06</v>
      </c>
      <c r="R81" s="18">
        <v>0.1</v>
      </c>
      <c r="S81" s="18"/>
      <c r="T81" s="26"/>
    </row>
    <row r="82" spans="1:20" x14ac:dyDescent="0.25">
      <c r="A82" s="81" t="s">
        <v>198</v>
      </c>
      <c r="B82" s="118" t="s">
        <v>169</v>
      </c>
      <c r="C82" s="45" t="s">
        <v>197</v>
      </c>
      <c r="D82" s="70" t="s">
        <v>98</v>
      </c>
      <c r="E82" s="72" t="s">
        <v>17</v>
      </c>
      <c r="F82" s="167">
        <v>1000</v>
      </c>
      <c r="G82" s="70"/>
      <c r="H82" s="76"/>
      <c r="I82" s="70"/>
      <c r="J82" s="70">
        <f t="shared" si="3"/>
        <v>1000</v>
      </c>
      <c r="K82" s="154" t="s">
        <v>189</v>
      </c>
      <c r="L82" s="63"/>
      <c r="M82" s="139">
        <v>1000</v>
      </c>
      <c r="N82" s="103"/>
      <c r="O82" s="95"/>
      <c r="P82" s="18">
        <v>1.2999999999999999E-2</v>
      </c>
      <c r="Q82" s="18">
        <v>6.3299999999999995E-2</v>
      </c>
      <c r="R82" s="18">
        <v>0.14660000000000001</v>
      </c>
      <c r="S82" s="18"/>
      <c r="T82" s="26"/>
    </row>
    <row r="83" spans="1:20" x14ac:dyDescent="0.25">
      <c r="A83" s="81" t="s">
        <v>198</v>
      </c>
      <c r="B83" s="118" t="s">
        <v>169</v>
      </c>
      <c r="C83" s="45" t="s">
        <v>197</v>
      </c>
      <c r="D83" s="70" t="s">
        <v>98</v>
      </c>
      <c r="E83" s="72" t="s">
        <v>17</v>
      </c>
      <c r="F83" s="167">
        <v>1000</v>
      </c>
      <c r="G83" s="70"/>
      <c r="H83" s="76"/>
      <c r="I83" s="70"/>
      <c r="J83" s="70">
        <f t="shared" si="3"/>
        <v>1000</v>
      </c>
      <c r="K83" s="154" t="s">
        <v>83</v>
      </c>
      <c r="L83" s="63"/>
      <c r="M83" s="139">
        <v>1000</v>
      </c>
      <c r="N83" s="103"/>
      <c r="O83" s="95"/>
      <c r="P83" s="18">
        <v>1.2999999999999999E-2</v>
      </c>
      <c r="Q83" s="18">
        <v>6.6600000000000006E-2</v>
      </c>
      <c r="R83" s="18">
        <v>0.15329999999999999</v>
      </c>
      <c r="S83" s="18"/>
      <c r="T83" s="26"/>
    </row>
    <row r="84" spans="1:20" x14ac:dyDescent="0.25">
      <c r="A84" s="81" t="s">
        <v>198</v>
      </c>
      <c r="B84" s="118" t="s">
        <v>169</v>
      </c>
      <c r="C84" s="45" t="s">
        <v>197</v>
      </c>
      <c r="D84" s="70" t="s">
        <v>98</v>
      </c>
      <c r="E84" s="72" t="s">
        <v>17</v>
      </c>
      <c r="F84" s="167">
        <v>1000</v>
      </c>
      <c r="G84" s="70"/>
      <c r="H84" s="76"/>
      <c r="I84" s="70"/>
      <c r="J84" s="70">
        <f t="shared" si="3"/>
        <v>1000</v>
      </c>
      <c r="K84" s="154" t="s">
        <v>190</v>
      </c>
      <c r="L84" s="63"/>
      <c r="M84" s="139">
        <v>1000</v>
      </c>
      <c r="N84" s="103"/>
      <c r="O84" s="95"/>
      <c r="P84" s="18">
        <v>1.7999999999999999E-2</v>
      </c>
      <c r="Q84" s="18">
        <v>7.6600000000000001E-2</v>
      </c>
      <c r="R84" s="18">
        <v>9.6600000000000005E-2</v>
      </c>
      <c r="S84" s="18"/>
      <c r="T84" s="26"/>
    </row>
    <row r="85" spans="1:20" x14ac:dyDescent="0.25">
      <c r="A85" s="81" t="s">
        <v>198</v>
      </c>
      <c r="B85" s="118" t="s">
        <v>169</v>
      </c>
      <c r="C85" s="45" t="s">
        <v>197</v>
      </c>
      <c r="D85" s="70" t="s">
        <v>98</v>
      </c>
      <c r="E85" s="72" t="s">
        <v>17</v>
      </c>
      <c r="F85" s="167">
        <v>1000</v>
      </c>
      <c r="G85" s="70"/>
      <c r="H85" s="76"/>
      <c r="I85" s="70"/>
      <c r="J85" s="70">
        <f t="shared" si="3"/>
        <v>1000</v>
      </c>
      <c r="K85" s="154" t="s">
        <v>84</v>
      </c>
      <c r="L85" s="63"/>
      <c r="M85" s="139">
        <v>1000</v>
      </c>
      <c r="N85" s="103"/>
      <c r="O85" s="95"/>
      <c r="P85" s="18">
        <v>1.2999999999999999E-2</v>
      </c>
      <c r="Q85" s="18">
        <v>7.6600000000000001E-2</v>
      </c>
      <c r="R85" s="18">
        <v>0.13</v>
      </c>
      <c r="S85" s="18"/>
      <c r="T85" s="26"/>
    </row>
    <row r="86" spans="1:20" x14ac:dyDescent="0.25">
      <c r="A86" s="81" t="s">
        <v>198</v>
      </c>
      <c r="B86" s="118" t="s">
        <v>169</v>
      </c>
      <c r="C86" s="45" t="s">
        <v>197</v>
      </c>
      <c r="D86" s="70" t="s">
        <v>98</v>
      </c>
      <c r="E86" s="72" t="s">
        <v>17</v>
      </c>
      <c r="F86" s="167">
        <v>1000</v>
      </c>
      <c r="G86" s="70"/>
      <c r="H86" s="76"/>
      <c r="I86" s="70"/>
      <c r="J86" s="70">
        <f t="shared" si="3"/>
        <v>1000</v>
      </c>
      <c r="K86" s="154" t="s">
        <v>85</v>
      </c>
      <c r="L86" s="63"/>
      <c r="M86" s="139">
        <v>1000</v>
      </c>
      <c r="N86" s="103"/>
      <c r="O86" s="95"/>
      <c r="P86" s="18">
        <v>0.01</v>
      </c>
      <c r="Q86" s="18">
        <v>6.6600000000000006E-2</v>
      </c>
      <c r="R86" s="18">
        <v>0.15659999999999999</v>
      </c>
      <c r="S86" s="18"/>
      <c r="T86" s="26"/>
    </row>
    <row r="87" spans="1:20" x14ac:dyDescent="0.25">
      <c r="A87" s="81" t="s">
        <v>217</v>
      </c>
      <c r="B87" s="118" t="s">
        <v>169</v>
      </c>
      <c r="C87" s="45" t="s">
        <v>197</v>
      </c>
      <c r="D87" s="70" t="s">
        <v>98</v>
      </c>
      <c r="E87" s="72" t="s">
        <v>17</v>
      </c>
      <c r="F87" s="167">
        <v>1000</v>
      </c>
      <c r="G87" s="70"/>
      <c r="H87" s="76"/>
      <c r="I87" s="70"/>
      <c r="J87" s="70">
        <f t="shared" si="3"/>
        <v>1000</v>
      </c>
      <c r="K87" s="154" t="s">
        <v>86</v>
      </c>
      <c r="L87" s="63"/>
      <c r="M87" s="139">
        <v>1000</v>
      </c>
      <c r="N87" s="103"/>
      <c r="O87" s="95"/>
      <c r="P87" s="18">
        <v>0.02</v>
      </c>
      <c r="Q87" s="18">
        <v>7.6600000000000001E-2</v>
      </c>
      <c r="R87" s="18">
        <v>0.1133</v>
      </c>
      <c r="S87" s="18"/>
      <c r="T87" s="26"/>
    </row>
    <row r="88" spans="1:20" x14ac:dyDescent="0.25">
      <c r="A88" s="81" t="s">
        <v>217</v>
      </c>
      <c r="B88" s="118" t="s">
        <v>169</v>
      </c>
      <c r="C88" s="45" t="s">
        <v>197</v>
      </c>
      <c r="D88" s="70" t="s">
        <v>98</v>
      </c>
      <c r="E88" s="72" t="s">
        <v>17</v>
      </c>
      <c r="F88" s="167">
        <v>1000</v>
      </c>
      <c r="G88" s="70"/>
      <c r="H88" s="76"/>
      <c r="I88" s="70"/>
      <c r="J88" s="70">
        <f t="shared" si="3"/>
        <v>1000</v>
      </c>
      <c r="K88" s="154" t="s">
        <v>87</v>
      </c>
      <c r="L88" s="63"/>
      <c r="M88" s="139">
        <v>1000</v>
      </c>
      <c r="N88" s="103"/>
      <c r="O88" s="95"/>
      <c r="P88" s="18">
        <v>1.4999999999999999E-2</v>
      </c>
      <c r="Q88" s="18">
        <v>0.08</v>
      </c>
      <c r="R88" s="18">
        <v>8.3299999999999999E-2</v>
      </c>
      <c r="S88" s="18"/>
      <c r="T88" s="26"/>
    </row>
    <row r="89" spans="1:20" x14ac:dyDescent="0.25">
      <c r="A89" s="81" t="s">
        <v>217</v>
      </c>
      <c r="B89" s="118" t="s">
        <v>169</v>
      </c>
      <c r="C89" s="45" t="s">
        <v>197</v>
      </c>
      <c r="D89" s="70" t="s">
        <v>98</v>
      </c>
      <c r="E89" s="72" t="s">
        <v>17</v>
      </c>
      <c r="F89" s="167">
        <v>1000</v>
      </c>
      <c r="G89" s="70"/>
      <c r="H89" s="76"/>
      <c r="I89" s="70"/>
      <c r="J89" s="70">
        <f t="shared" si="3"/>
        <v>1000</v>
      </c>
      <c r="K89" s="154" t="s">
        <v>88</v>
      </c>
      <c r="L89" s="63"/>
      <c r="M89" s="139">
        <v>1000</v>
      </c>
      <c r="N89" s="103"/>
      <c r="O89" s="95"/>
      <c r="P89" s="18">
        <v>1.4E-2</v>
      </c>
      <c r="Q89" s="18">
        <v>0.06</v>
      </c>
      <c r="R89" s="18">
        <v>0.1366</v>
      </c>
      <c r="S89" s="18"/>
      <c r="T89" s="26"/>
    </row>
    <row r="90" spans="1:20" x14ac:dyDescent="0.25">
      <c r="A90" s="81" t="s">
        <v>217</v>
      </c>
      <c r="B90" s="118" t="s">
        <v>169</v>
      </c>
      <c r="C90" s="45" t="s">
        <v>197</v>
      </c>
      <c r="D90" s="70" t="s">
        <v>98</v>
      </c>
      <c r="E90" s="72" t="s">
        <v>17</v>
      </c>
      <c r="F90" s="167">
        <v>1000</v>
      </c>
      <c r="G90" s="70"/>
      <c r="H90" s="76"/>
      <c r="I90" s="70"/>
      <c r="J90" s="70">
        <f t="shared" si="3"/>
        <v>1000</v>
      </c>
      <c r="K90" s="154" t="s">
        <v>218</v>
      </c>
      <c r="L90" s="63"/>
      <c r="M90" s="139">
        <v>1000</v>
      </c>
      <c r="N90" s="103"/>
      <c r="O90" s="95"/>
      <c r="P90" s="18">
        <v>1.2999999999999999E-2</v>
      </c>
      <c r="Q90" s="18">
        <v>5.6599999999999998E-2</v>
      </c>
      <c r="R90" s="18">
        <v>9.6600000000000005E-2</v>
      </c>
      <c r="S90" s="18"/>
      <c r="T90" s="26"/>
    </row>
    <row r="91" spans="1:20" x14ac:dyDescent="0.25">
      <c r="A91" s="81" t="s">
        <v>222</v>
      </c>
      <c r="B91" s="118" t="s">
        <v>169</v>
      </c>
      <c r="C91" s="45" t="s">
        <v>197</v>
      </c>
      <c r="D91" s="70" t="s">
        <v>98</v>
      </c>
      <c r="E91" s="72" t="s">
        <v>17</v>
      </c>
      <c r="F91" s="167">
        <v>1000</v>
      </c>
      <c r="G91" s="70"/>
      <c r="H91" s="76"/>
      <c r="I91" s="70"/>
      <c r="J91" s="70">
        <f t="shared" si="3"/>
        <v>1000</v>
      </c>
      <c r="K91" s="154" t="s">
        <v>89</v>
      </c>
      <c r="L91" s="63"/>
      <c r="M91" s="139">
        <v>1000</v>
      </c>
      <c r="N91" s="103"/>
      <c r="O91" s="95"/>
      <c r="P91" s="18">
        <v>1.4999999999999999E-2</v>
      </c>
      <c r="Q91" s="18">
        <v>6.6600000000000006E-2</v>
      </c>
      <c r="R91" s="18">
        <v>8.6599999999999996E-2</v>
      </c>
      <c r="S91" s="18"/>
      <c r="T91" s="26"/>
    </row>
    <row r="92" spans="1:20" x14ac:dyDescent="0.25">
      <c r="A92" s="81" t="s">
        <v>222</v>
      </c>
      <c r="B92" s="118" t="s">
        <v>169</v>
      </c>
      <c r="C92" s="45" t="s">
        <v>197</v>
      </c>
      <c r="D92" s="70" t="s">
        <v>98</v>
      </c>
      <c r="E92" s="72" t="s">
        <v>17</v>
      </c>
      <c r="F92" s="167">
        <v>1000</v>
      </c>
      <c r="G92" s="70"/>
      <c r="H92" s="76"/>
      <c r="I92" s="70"/>
      <c r="J92" s="70">
        <f t="shared" si="3"/>
        <v>1000</v>
      </c>
      <c r="K92" s="154" t="s">
        <v>90</v>
      </c>
      <c r="L92" s="63">
        <v>1000</v>
      </c>
      <c r="M92" s="139"/>
      <c r="N92" s="103"/>
      <c r="O92" s="95"/>
      <c r="P92" s="18">
        <v>1.2E-2</v>
      </c>
      <c r="Q92" s="18">
        <v>6.3299999999999995E-2</v>
      </c>
      <c r="R92" s="18">
        <v>0.1033</v>
      </c>
      <c r="S92" s="18"/>
      <c r="T92" s="26"/>
    </row>
    <row r="93" spans="1:20" x14ac:dyDescent="0.25">
      <c r="A93" s="81" t="s">
        <v>222</v>
      </c>
      <c r="B93" s="118" t="s">
        <v>169</v>
      </c>
      <c r="C93" s="45" t="s">
        <v>197</v>
      </c>
      <c r="D93" s="70" t="s">
        <v>98</v>
      </c>
      <c r="E93" s="72" t="s">
        <v>17</v>
      </c>
      <c r="F93" s="167">
        <v>1000</v>
      </c>
      <c r="G93" s="70"/>
      <c r="H93" s="76"/>
      <c r="I93" s="70"/>
      <c r="J93" s="70">
        <f t="shared" si="3"/>
        <v>1000</v>
      </c>
      <c r="K93" s="154" t="s">
        <v>91</v>
      </c>
      <c r="L93" s="63">
        <v>1000</v>
      </c>
      <c r="M93" s="139"/>
      <c r="N93" s="103"/>
      <c r="O93" s="95"/>
      <c r="P93" s="18">
        <v>4.3999999999999997E-2</v>
      </c>
      <c r="Q93" s="18">
        <v>7.3300000000000004E-2</v>
      </c>
      <c r="R93" s="18">
        <v>0.1366</v>
      </c>
      <c r="S93" s="18"/>
      <c r="T93" s="26"/>
    </row>
    <row r="94" spans="1:20" x14ac:dyDescent="0.25">
      <c r="A94" s="81" t="s">
        <v>222</v>
      </c>
      <c r="B94" s="118" t="s">
        <v>169</v>
      </c>
      <c r="C94" s="45" t="s">
        <v>197</v>
      </c>
      <c r="D94" s="70" t="s">
        <v>98</v>
      </c>
      <c r="E94" s="72" t="s">
        <v>17</v>
      </c>
      <c r="F94" s="167">
        <v>1000</v>
      </c>
      <c r="G94" s="70"/>
      <c r="H94" s="76"/>
      <c r="I94" s="70"/>
      <c r="J94" s="70">
        <f t="shared" si="3"/>
        <v>1000</v>
      </c>
      <c r="K94" s="154" t="s">
        <v>107</v>
      </c>
      <c r="L94" s="63">
        <v>1000</v>
      </c>
      <c r="M94" s="139"/>
      <c r="N94" s="103"/>
      <c r="O94" s="95"/>
      <c r="P94" s="18">
        <v>1.0999999999999999E-2</v>
      </c>
      <c r="Q94" s="18">
        <v>0.05</v>
      </c>
      <c r="R94" s="18">
        <v>0.15</v>
      </c>
      <c r="S94" s="18"/>
      <c r="T94" s="26"/>
    </row>
    <row r="95" spans="1:20" x14ac:dyDescent="0.25">
      <c r="A95" s="81" t="s">
        <v>222</v>
      </c>
      <c r="B95" s="118" t="s">
        <v>169</v>
      </c>
      <c r="C95" s="45" t="s">
        <v>197</v>
      </c>
      <c r="D95" s="70" t="s">
        <v>98</v>
      </c>
      <c r="E95" s="72" t="s">
        <v>17</v>
      </c>
      <c r="F95" s="167">
        <v>1055</v>
      </c>
      <c r="G95" s="70"/>
      <c r="H95" s="76"/>
      <c r="I95" s="70"/>
      <c r="J95" s="70">
        <f t="shared" si="3"/>
        <v>1055</v>
      </c>
      <c r="K95" s="154" t="s">
        <v>108</v>
      </c>
      <c r="L95" s="63">
        <v>1055</v>
      </c>
      <c r="M95" s="139"/>
      <c r="N95" s="103"/>
      <c r="O95" s="95"/>
      <c r="P95" s="18">
        <v>1.2999999999999999E-2</v>
      </c>
      <c r="Q95" s="18">
        <v>8.3299999999999999E-2</v>
      </c>
      <c r="R95" s="18">
        <v>0.12659999999999999</v>
      </c>
      <c r="S95" s="18"/>
      <c r="T95" s="26"/>
    </row>
    <row r="96" spans="1:20" x14ac:dyDescent="0.25">
      <c r="A96" s="81"/>
      <c r="B96" s="118"/>
      <c r="C96" s="45"/>
      <c r="D96" s="70"/>
      <c r="E96" s="72"/>
      <c r="F96" s="167"/>
      <c r="G96" s="70"/>
      <c r="H96" s="76"/>
      <c r="I96" s="70"/>
      <c r="J96" s="70">
        <f t="shared" si="3"/>
        <v>0</v>
      </c>
      <c r="K96" s="154"/>
      <c r="L96" s="63"/>
      <c r="M96" s="139"/>
      <c r="N96" s="103"/>
      <c r="O96" s="95"/>
      <c r="P96" s="18"/>
      <c r="Q96" s="18"/>
      <c r="R96" s="18"/>
      <c r="S96" s="18"/>
      <c r="T96" s="26"/>
    </row>
    <row r="97" spans="1:20" x14ac:dyDescent="0.25">
      <c r="A97" s="81"/>
      <c r="B97" s="118"/>
      <c r="C97" s="45"/>
      <c r="D97" s="70"/>
      <c r="E97" s="72"/>
      <c r="F97" s="167"/>
      <c r="G97" s="70"/>
      <c r="H97" s="76"/>
      <c r="I97" s="70"/>
      <c r="J97" s="70">
        <f t="shared" si="3"/>
        <v>0</v>
      </c>
      <c r="K97" s="154"/>
      <c r="L97" s="63"/>
      <c r="M97" s="139"/>
      <c r="N97" s="103"/>
      <c r="O97" s="95"/>
      <c r="P97" s="18"/>
      <c r="Q97" s="18"/>
      <c r="R97" s="18"/>
      <c r="S97" s="18"/>
      <c r="T97" s="26"/>
    </row>
    <row r="98" spans="1:20" x14ac:dyDescent="0.25">
      <c r="A98" s="114"/>
      <c r="B98" s="78"/>
      <c r="C98" s="30"/>
      <c r="D98" s="31" t="s">
        <v>18</v>
      </c>
      <c r="E98" s="32"/>
      <c r="F98" s="104"/>
      <c r="G98" s="104"/>
      <c r="H98" s="104"/>
      <c r="I98" s="104"/>
      <c r="J98" s="104"/>
      <c r="K98" s="33"/>
      <c r="L98" s="27"/>
      <c r="M98" s="140"/>
      <c r="N98" s="103"/>
      <c r="O98" s="95"/>
      <c r="P98" s="18"/>
      <c r="Q98" s="18"/>
      <c r="R98" s="18"/>
      <c r="S98" s="18"/>
      <c r="T98" s="26"/>
    </row>
    <row r="99" spans="1:20" x14ac:dyDescent="0.25">
      <c r="A99" s="114"/>
      <c r="B99" s="78"/>
      <c r="C99" s="30"/>
      <c r="D99" s="31"/>
      <c r="E99" s="32"/>
      <c r="F99" s="104"/>
      <c r="G99" s="104"/>
      <c r="H99" s="104"/>
      <c r="I99" s="104"/>
      <c r="J99" s="104"/>
      <c r="K99" s="33"/>
      <c r="L99" s="27"/>
      <c r="M99" s="140"/>
      <c r="N99" s="103"/>
      <c r="O99" s="95"/>
      <c r="P99" s="18"/>
      <c r="Q99" s="18"/>
      <c r="R99" s="18"/>
      <c r="S99" s="18"/>
      <c r="T99" s="26"/>
    </row>
    <row r="100" spans="1:20" x14ac:dyDescent="0.25">
      <c r="A100" s="114"/>
      <c r="B100" s="78"/>
      <c r="C100" s="30"/>
      <c r="D100" s="31"/>
      <c r="E100" s="32"/>
      <c r="F100" s="104"/>
      <c r="G100" s="104"/>
      <c r="H100" s="104"/>
      <c r="I100" s="104"/>
      <c r="J100" s="104"/>
      <c r="K100" s="33"/>
      <c r="L100" s="27"/>
      <c r="M100" s="140"/>
      <c r="N100" s="103"/>
      <c r="O100" s="95"/>
      <c r="P100" s="18"/>
      <c r="Q100" s="18"/>
      <c r="R100" s="18"/>
      <c r="S100" s="18"/>
      <c r="T100" s="26"/>
    </row>
    <row r="101" spans="1:20" x14ac:dyDescent="0.25">
      <c r="A101" s="114"/>
      <c r="B101" s="78"/>
      <c r="C101" s="30"/>
      <c r="D101" s="31"/>
      <c r="E101" s="32"/>
      <c r="F101" s="104"/>
      <c r="G101" s="104"/>
      <c r="H101" s="104"/>
      <c r="I101" s="104"/>
      <c r="J101" s="104"/>
      <c r="K101" s="33"/>
      <c r="L101" s="27"/>
      <c r="M101" s="140"/>
      <c r="N101" s="103"/>
      <c r="O101" s="95"/>
      <c r="P101" s="18"/>
      <c r="Q101" s="18"/>
      <c r="R101" s="18"/>
      <c r="S101" s="18"/>
      <c r="T101" s="26"/>
    </row>
    <row r="102" spans="1:20" x14ac:dyDescent="0.25">
      <c r="A102" s="70"/>
      <c r="B102" s="79"/>
      <c r="C102" s="79"/>
      <c r="D102" s="23" t="s">
        <v>15</v>
      </c>
      <c r="E102" s="51" t="s">
        <v>17</v>
      </c>
      <c r="F102" s="23">
        <f>SUM(F19:F97)</f>
        <v>68390</v>
      </c>
      <c r="G102" s="155">
        <f>SUM(G19:G101)</f>
        <v>0</v>
      </c>
      <c r="H102" s="23"/>
      <c r="I102" s="23"/>
      <c r="J102" s="23">
        <f>F102-G102</f>
        <v>68390</v>
      </c>
      <c r="K102" s="24" t="s">
        <v>16</v>
      </c>
      <c r="L102" s="25">
        <f>SUM(L19:L101)</f>
        <v>4055</v>
      </c>
      <c r="M102" s="25">
        <f>SUM(M19:M101)</f>
        <v>64335</v>
      </c>
      <c r="N102" s="25">
        <f>SUM(N19:N97)</f>
        <v>0</v>
      </c>
      <c r="O102" s="25">
        <f>SUM(O19:O101)</f>
        <v>0</v>
      </c>
      <c r="P102" s="26"/>
      <c r="Q102" s="26"/>
      <c r="R102" s="26"/>
      <c r="S102" s="26"/>
      <c r="T102" s="26"/>
    </row>
    <row r="103" spans="1:20" x14ac:dyDescent="0.25">
      <c r="A103" s="81"/>
      <c r="B103" s="118"/>
      <c r="C103" s="45"/>
      <c r="D103" s="70"/>
      <c r="E103" s="93"/>
      <c r="F103" s="70"/>
      <c r="G103" s="70"/>
      <c r="H103" s="70"/>
      <c r="I103" s="70"/>
      <c r="J103" s="70"/>
      <c r="K103" s="154"/>
      <c r="L103" s="63"/>
      <c r="M103" s="65"/>
      <c r="N103" s="158"/>
      <c r="O103" s="95"/>
      <c r="P103" s="18"/>
      <c r="Q103" s="18"/>
      <c r="R103" s="18"/>
      <c r="S103" s="18"/>
      <c r="T103" s="26"/>
    </row>
    <row r="104" spans="1:20" x14ac:dyDescent="0.25">
      <c r="A104" s="81" t="s">
        <v>79</v>
      </c>
      <c r="B104" s="118"/>
      <c r="C104" s="45" t="s">
        <v>80</v>
      </c>
      <c r="D104" s="70" t="s">
        <v>81</v>
      </c>
      <c r="E104" s="72" t="s">
        <v>19</v>
      </c>
      <c r="F104" s="70"/>
      <c r="G104" s="70"/>
      <c r="H104" s="70"/>
      <c r="I104" s="70"/>
      <c r="J104" s="76">
        <f t="shared" ref="J104:J200" si="4">F104-G104</f>
        <v>0</v>
      </c>
      <c r="K104" s="154" t="s">
        <v>87</v>
      </c>
      <c r="L104" s="63"/>
      <c r="M104" s="65"/>
      <c r="N104" s="158"/>
      <c r="O104" s="95"/>
      <c r="P104" s="18">
        <v>0.13</v>
      </c>
      <c r="Q104" s="18">
        <v>4.6600000000000003E-2</v>
      </c>
      <c r="R104" s="18">
        <v>7.6600000000000001E-2</v>
      </c>
      <c r="S104" s="18">
        <v>5.0000000000000001E-3</v>
      </c>
      <c r="T104" s="26">
        <v>0.5</v>
      </c>
    </row>
    <row r="105" spans="1:20" x14ac:dyDescent="0.25">
      <c r="A105" s="81" t="s">
        <v>79</v>
      </c>
      <c r="B105" s="118"/>
      <c r="C105" s="45" t="s">
        <v>80</v>
      </c>
      <c r="D105" s="70" t="s">
        <v>81</v>
      </c>
      <c r="E105" s="72" t="s">
        <v>19</v>
      </c>
      <c r="F105" s="70">
        <v>1000</v>
      </c>
      <c r="G105" s="70"/>
      <c r="H105" s="70"/>
      <c r="I105" s="70"/>
      <c r="J105" s="76">
        <f t="shared" si="4"/>
        <v>1000</v>
      </c>
      <c r="K105" s="154" t="s">
        <v>89</v>
      </c>
      <c r="L105" s="63"/>
      <c r="M105" s="65">
        <v>1000</v>
      </c>
      <c r="N105" s="158"/>
      <c r="O105" s="95"/>
      <c r="P105" s="18">
        <v>0.11</v>
      </c>
      <c r="Q105" s="18">
        <v>8.6599999999999996E-2</v>
      </c>
      <c r="R105" s="18">
        <v>5.6599999999999998E-2</v>
      </c>
      <c r="S105" s="18">
        <v>8.0000000000000002E-3</v>
      </c>
      <c r="T105" s="26"/>
    </row>
    <row r="106" spans="1:20" x14ac:dyDescent="0.25">
      <c r="A106" s="81" t="s">
        <v>79</v>
      </c>
      <c r="B106" s="118"/>
      <c r="C106" s="45" t="s">
        <v>80</v>
      </c>
      <c r="D106" s="70" t="s">
        <v>81</v>
      </c>
      <c r="E106" s="72" t="s">
        <v>19</v>
      </c>
      <c r="F106" s="70">
        <v>1000</v>
      </c>
      <c r="G106" s="70"/>
      <c r="H106" s="70"/>
      <c r="I106" s="70"/>
      <c r="J106" s="76">
        <f t="shared" si="4"/>
        <v>1000</v>
      </c>
      <c r="K106" s="154" t="s">
        <v>90</v>
      </c>
      <c r="L106" s="63"/>
      <c r="M106" s="65">
        <v>1000</v>
      </c>
      <c r="N106" s="158"/>
      <c r="O106" s="95"/>
      <c r="P106" s="18">
        <v>0.13</v>
      </c>
      <c r="Q106" s="18">
        <v>8.6599999999999996E-2</v>
      </c>
      <c r="R106" s="18">
        <v>0.08</v>
      </c>
      <c r="S106" s="18">
        <v>1.6E-2</v>
      </c>
      <c r="T106" s="26">
        <v>0.4</v>
      </c>
    </row>
    <row r="107" spans="1:20" x14ac:dyDescent="0.25">
      <c r="A107" s="81" t="s">
        <v>79</v>
      </c>
      <c r="B107" s="118"/>
      <c r="C107" s="45" t="s">
        <v>80</v>
      </c>
      <c r="D107" s="70" t="s">
        <v>81</v>
      </c>
      <c r="E107" s="72" t="s">
        <v>19</v>
      </c>
      <c r="F107" s="70">
        <v>954</v>
      </c>
      <c r="G107" s="70"/>
      <c r="H107" s="70"/>
      <c r="I107" s="70"/>
      <c r="J107" s="76">
        <f t="shared" si="4"/>
        <v>954</v>
      </c>
      <c r="K107" s="154" t="s">
        <v>91</v>
      </c>
      <c r="L107" s="63"/>
      <c r="M107" s="65">
        <v>954</v>
      </c>
      <c r="N107" s="158"/>
      <c r="O107" s="95"/>
      <c r="P107" s="18">
        <v>6.4000000000000001E-2</v>
      </c>
      <c r="Q107" s="18">
        <v>7.3300000000000004E-2</v>
      </c>
      <c r="R107" s="18">
        <v>6.3299999999999995E-2</v>
      </c>
      <c r="S107" s="18">
        <v>6.0000000000000001E-3</v>
      </c>
      <c r="T107" s="26">
        <v>5.6</v>
      </c>
    </row>
    <row r="108" spans="1:20" x14ac:dyDescent="0.25">
      <c r="A108" s="81" t="s">
        <v>96</v>
      </c>
      <c r="B108" s="118"/>
      <c r="C108" s="45" t="s">
        <v>105</v>
      </c>
      <c r="D108" s="70" t="s">
        <v>81</v>
      </c>
      <c r="E108" s="72" t="s">
        <v>19</v>
      </c>
      <c r="F108" s="70">
        <v>1000</v>
      </c>
      <c r="G108" s="70"/>
      <c r="H108" s="70"/>
      <c r="I108" s="70"/>
      <c r="J108" s="76">
        <f t="shared" si="4"/>
        <v>1000</v>
      </c>
      <c r="K108" s="154" t="s">
        <v>85</v>
      </c>
      <c r="L108" s="63"/>
      <c r="M108" s="65">
        <v>1000</v>
      </c>
      <c r="N108" s="158"/>
      <c r="O108" s="95"/>
      <c r="P108" s="18">
        <v>2E-3</v>
      </c>
      <c r="Q108" s="18">
        <v>2.3300000000000001E-2</v>
      </c>
      <c r="R108" s="18">
        <v>3.3300000000000003E-2</v>
      </c>
      <c r="S108" s="18">
        <v>8.0000000000000002E-3</v>
      </c>
      <c r="T108" s="26"/>
    </row>
    <row r="109" spans="1:20" x14ac:dyDescent="0.25">
      <c r="A109" s="81" t="s">
        <v>96</v>
      </c>
      <c r="B109" s="118"/>
      <c r="C109" s="45" t="s">
        <v>105</v>
      </c>
      <c r="D109" s="70" t="s">
        <v>81</v>
      </c>
      <c r="E109" s="72" t="s">
        <v>19</v>
      </c>
      <c r="F109" s="70">
        <v>1000</v>
      </c>
      <c r="G109" s="70"/>
      <c r="H109" s="70"/>
      <c r="I109" s="70"/>
      <c r="J109" s="76">
        <f t="shared" si="4"/>
        <v>1000</v>
      </c>
      <c r="K109" s="154" t="s">
        <v>86</v>
      </c>
      <c r="L109" s="63"/>
      <c r="M109" s="65">
        <v>1000</v>
      </c>
      <c r="N109" s="158"/>
      <c r="O109" s="95"/>
      <c r="P109" s="18">
        <v>1E-3</v>
      </c>
      <c r="Q109" s="18">
        <v>2.6599999999999999E-2</v>
      </c>
      <c r="R109" s="18">
        <v>0.05</v>
      </c>
      <c r="S109" s="18">
        <v>3.0000000000000001E-3</v>
      </c>
      <c r="T109" s="26"/>
    </row>
    <row r="110" spans="1:20" x14ac:dyDescent="0.25">
      <c r="A110" s="81" t="s">
        <v>104</v>
      </c>
      <c r="B110" s="118"/>
      <c r="C110" s="45" t="s">
        <v>105</v>
      </c>
      <c r="D110" s="70" t="s">
        <v>81</v>
      </c>
      <c r="E110" s="72" t="s">
        <v>19</v>
      </c>
      <c r="F110" s="70">
        <v>1000</v>
      </c>
      <c r="G110" s="70"/>
      <c r="H110" s="70"/>
      <c r="I110" s="70"/>
      <c r="J110" s="76">
        <f t="shared" si="4"/>
        <v>1000</v>
      </c>
      <c r="K110" s="154" t="s">
        <v>88</v>
      </c>
      <c r="L110" s="63"/>
      <c r="M110" s="65">
        <v>1000</v>
      </c>
      <c r="N110" s="158"/>
      <c r="O110" s="95"/>
      <c r="P110" s="18">
        <v>0</v>
      </c>
      <c r="Q110" s="18">
        <v>2.3300000000000001E-2</v>
      </c>
      <c r="R110" s="18">
        <v>3.6600000000000001E-2</v>
      </c>
      <c r="S110" s="18">
        <v>6.0000000000000001E-3</v>
      </c>
      <c r="T110" s="26"/>
    </row>
    <row r="111" spans="1:20" x14ac:dyDescent="0.25">
      <c r="A111" s="81" t="s">
        <v>106</v>
      </c>
      <c r="B111" s="118"/>
      <c r="C111" s="45" t="s">
        <v>105</v>
      </c>
      <c r="D111" s="70" t="s">
        <v>81</v>
      </c>
      <c r="E111" s="72" t="s">
        <v>19</v>
      </c>
      <c r="F111" s="70">
        <v>1000</v>
      </c>
      <c r="G111" s="70"/>
      <c r="H111" s="70"/>
      <c r="I111" s="70"/>
      <c r="J111" s="76">
        <f t="shared" si="4"/>
        <v>1000</v>
      </c>
      <c r="K111" s="154" t="s">
        <v>112</v>
      </c>
      <c r="L111" s="63"/>
      <c r="M111" s="65">
        <v>1000</v>
      </c>
      <c r="N111" s="158"/>
      <c r="O111" s="95"/>
      <c r="P111" s="18">
        <v>1E-3</v>
      </c>
      <c r="Q111" s="18">
        <v>2.6599999999999999E-2</v>
      </c>
      <c r="R111" s="18">
        <v>3.6600000000000001E-2</v>
      </c>
      <c r="S111" s="18">
        <v>6.0000000000000001E-3</v>
      </c>
      <c r="T111" s="26"/>
    </row>
    <row r="112" spans="1:20" x14ac:dyDescent="0.25">
      <c r="A112" s="81" t="s">
        <v>121</v>
      </c>
      <c r="B112" s="118"/>
      <c r="C112" s="45" t="s">
        <v>105</v>
      </c>
      <c r="D112" s="70" t="s">
        <v>81</v>
      </c>
      <c r="E112" s="72" t="s">
        <v>19</v>
      </c>
      <c r="F112" s="70">
        <v>1000</v>
      </c>
      <c r="G112" s="70"/>
      <c r="H112" s="70"/>
      <c r="I112" s="70"/>
      <c r="J112" s="76">
        <f t="shared" si="4"/>
        <v>1000</v>
      </c>
      <c r="K112" s="154" t="s">
        <v>122</v>
      </c>
      <c r="L112" s="63"/>
      <c r="M112" s="65">
        <v>1000</v>
      </c>
      <c r="N112" s="158"/>
      <c r="O112" s="95"/>
      <c r="P112" s="18">
        <v>3.0000000000000001E-3</v>
      </c>
      <c r="Q112" s="18">
        <v>2.3300000000000001E-2</v>
      </c>
      <c r="R112" s="18">
        <v>2.6599999999999999E-2</v>
      </c>
      <c r="S112" s="18">
        <v>7.0000000000000001E-3</v>
      </c>
      <c r="T112" s="26"/>
    </row>
    <row r="113" spans="1:20" x14ac:dyDescent="0.25">
      <c r="A113" s="81" t="s">
        <v>121</v>
      </c>
      <c r="B113" s="118"/>
      <c r="C113" s="45" t="s">
        <v>105</v>
      </c>
      <c r="D113" s="70" t="s">
        <v>81</v>
      </c>
      <c r="E113" s="72" t="s">
        <v>19</v>
      </c>
      <c r="F113" s="70">
        <v>1000</v>
      </c>
      <c r="G113" s="70"/>
      <c r="H113" s="70"/>
      <c r="I113" s="70"/>
      <c r="J113" s="76">
        <f t="shared" si="4"/>
        <v>1000</v>
      </c>
      <c r="K113" s="154" t="s">
        <v>139</v>
      </c>
      <c r="L113" s="63"/>
      <c r="M113" s="65">
        <v>1000</v>
      </c>
      <c r="N113" s="158"/>
      <c r="O113" s="95"/>
      <c r="P113" s="18">
        <v>1E-3</v>
      </c>
      <c r="Q113" s="18">
        <v>0.02</v>
      </c>
      <c r="R113" s="18">
        <v>0.03</v>
      </c>
      <c r="S113" s="18">
        <v>4.0000000000000001E-3</v>
      </c>
      <c r="T113" s="26"/>
    </row>
    <row r="114" spans="1:20" x14ac:dyDescent="0.25">
      <c r="A114" s="81" t="s">
        <v>121</v>
      </c>
      <c r="B114" s="118"/>
      <c r="C114" s="45" t="s">
        <v>105</v>
      </c>
      <c r="D114" s="70" t="s">
        <v>81</v>
      </c>
      <c r="E114" s="72" t="s">
        <v>19</v>
      </c>
      <c r="F114" s="70">
        <v>1000</v>
      </c>
      <c r="G114" s="70"/>
      <c r="H114" s="70"/>
      <c r="I114" s="70"/>
      <c r="J114" s="76">
        <f t="shared" si="4"/>
        <v>1000</v>
      </c>
      <c r="K114" s="154" t="s">
        <v>140</v>
      </c>
      <c r="L114" s="63"/>
      <c r="M114" s="65">
        <v>1000</v>
      </c>
      <c r="N114" s="158"/>
      <c r="O114" s="95"/>
      <c r="P114" s="18">
        <v>1E-3</v>
      </c>
      <c r="Q114" s="18">
        <v>1.3299999999999999E-2</v>
      </c>
      <c r="R114" s="18">
        <v>2.3300000000000001E-2</v>
      </c>
      <c r="S114" s="18">
        <v>3.0000000000000001E-3</v>
      </c>
      <c r="T114" s="26"/>
    </row>
    <row r="115" spans="1:20" x14ac:dyDescent="0.25">
      <c r="A115" s="81" t="s">
        <v>138</v>
      </c>
      <c r="B115" s="118"/>
      <c r="C115" s="45" t="s">
        <v>137</v>
      </c>
      <c r="D115" s="70" t="s">
        <v>81</v>
      </c>
      <c r="E115" s="72" t="s">
        <v>19</v>
      </c>
      <c r="F115" s="70">
        <v>1000</v>
      </c>
      <c r="G115" s="70"/>
      <c r="H115" s="70"/>
      <c r="I115" s="70"/>
      <c r="J115" s="76">
        <f t="shared" si="4"/>
        <v>1000</v>
      </c>
      <c r="K115" s="154" t="s">
        <v>141</v>
      </c>
      <c r="L115" s="63"/>
      <c r="M115" s="65">
        <v>1000</v>
      </c>
      <c r="N115" s="158"/>
      <c r="O115" s="95"/>
      <c r="P115" s="18">
        <v>2E-3</v>
      </c>
      <c r="Q115" s="18">
        <v>2.3300000000000001E-2</v>
      </c>
      <c r="R115" s="18">
        <v>6.3299999999999995E-2</v>
      </c>
      <c r="S115" s="18">
        <v>3.0000000000000001E-3</v>
      </c>
      <c r="T115" s="26"/>
    </row>
    <row r="116" spans="1:20" x14ac:dyDescent="0.25">
      <c r="A116" s="81" t="s">
        <v>138</v>
      </c>
      <c r="B116" s="118"/>
      <c r="C116" s="45" t="s">
        <v>137</v>
      </c>
      <c r="D116" s="70" t="s">
        <v>81</v>
      </c>
      <c r="E116" s="72" t="s">
        <v>19</v>
      </c>
      <c r="F116" s="70">
        <v>1000</v>
      </c>
      <c r="G116" s="70"/>
      <c r="H116" s="70"/>
      <c r="I116" s="70"/>
      <c r="J116" s="76">
        <f t="shared" si="4"/>
        <v>1000</v>
      </c>
      <c r="K116" s="154" t="s">
        <v>142</v>
      </c>
      <c r="L116" s="63"/>
      <c r="M116" s="65">
        <v>1000</v>
      </c>
      <c r="N116" s="158"/>
      <c r="O116" s="95"/>
      <c r="P116" s="18">
        <v>1E-3</v>
      </c>
      <c r="Q116" s="18">
        <v>0.02</v>
      </c>
      <c r="R116" s="18">
        <v>0.04</v>
      </c>
      <c r="S116" s="18">
        <v>4.0000000000000001E-3</v>
      </c>
      <c r="T116" s="26"/>
    </row>
    <row r="117" spans="1:20" x14ac:dyDescent="0.25">
      <c r="A117" s="81" t="s">
        <v>138</v>
      </c>
      <c r="B117" s="118"/>
      <c r="C117" s="45" t="s">
        <v>137</v>
      </c>
      <c r="D117" s="70" t="s">
        <v>81</v>
      </c>
      <c r="E117" s="72" t="s">
        <v>19</v>
      </c>
      <c r="F117" s="70">
        <v>1000</v>
      </c>
      <c r="G117" s="70"/>
      <c r="H117" s="70"/>
      <c r="I117" s="70"/>
      <c r="J117" s="76">
        <f t="shared" si="4"/>
        <v>1000</v>
      </c>
      <c r="K117" s="154" t="s">
        <v>143</v>
      </c>
      <c r="L117" s="63"/>
      <c r="M117" s="65">
        <v>1000</v>
      </c>
      <c r="N117" s="158"/>
      <c r="O117" s="95"/>
      <c r="P117" s="18">
        <v>1E-3</v>
      </c>
      <c r="Q117" s="18">
        <v>0.02</v>
      </c>
      <c r="R117" s="18">
        <v>4.6600000000000003E-2</v>
      </c>
      <c r="S117" s="18">
        <v>4.0000000000000001E-3</v>
      </c>
      <c r="T117" s="26"/>
    </row>
    <row r="118" spans="1:20" x14ac:dyDescent="0.25">
      <c r="A118" s="81" t="s">
        <v>138</v>
      </c>
      <c r="B118" s="118"/>
      <c r="C118" s="45" t="s">
        <v>137</v>
      </c>
      <c r="D118" s="70" t="s">
        <v>81</v>
      </c>
      <c r="E118" s="72" t="s">
        <v>19</v>
      </c>
      <c r="F118" s="70">
        <v>1000</v>
      </c>
      <c r="G118" s="70"/>
      <c r="H118" s="70"/>
      <c r="I118" s="70"/>
      <c r="J118" s="76">
        <f t="shared" si="4"/>
        <v>1000</v>
      </c>
      <c r="K118" s="154" t="s">
        <v>144</v>
      </c>
      <c r="L118" s="63"/>
      <c r="M118" s="65">
        <v>1000</v>
      </c>
      <c r="N118" s="158"/>
      <c r="O118" s="95"/>
      <c r="P118" s="18">
        <v>2E-3</v>
      </c>
      <c r="Q118" s="18">
        <v>2.6599999999999999E-2</v>
      </c>
      <c r="R118" s="18">
        <v>3.6600000000000001E-2</v>
      </c>
      <c r="S118" s="18">
        <v>4.0000000000000001E-3</v>
      </c>
      <c r="T118" s="26"/>
    </row>
    <row r="119" spans="1:20" x14ac:dyDescent="0.25">
      <c r="A119" s="81" t="s">
        <v>138</v>
      </c>
      <c r="B119" s="118"/>
      <c r="C119" s="45" t="s">
        <v>137</v>
      </c>
      <c r="D119" s="70" t="s">
        <v>81</v>
      </c>
      <c r="E119" s="72" t="s">
        <v>19</v>
      </c>
      <c r="F119" s="70">
        <v>1000</v>
      </c>
      <c r="G119" s="70"/>
      <c r="H119" s="70"/>
      <c r="I119" s="70"/>
      <c r="J119" s="76">
        <f t="shared" si="4"/>
        <v>1000</v>
      </c>
      <c r="K119" s="154" t="s">
        <v>145</v>
      </c>
      <c r="L119" s="63"/>
      <c r="M119" s="65">
        <v>1000</v>
      </c>
      <c r="N119" s="158"/>
      <c r="O119" s="95"/>
      <c r="P119" s="18">
        <v>1E-3</v>
      </c>
      <c r="Q119" s="18">
        <v>0.02</v>
      </c>
      <c r="R119" s="18">
        <v>0.04</v>
      </c>
      <c r="S119" s="18">
        <v>4.0000000000000001E-3</v>
      </c>
      <c r="T119" s="26"/>
    </row>
    <row r="120" spans="1:20" x14ac:dyDescent="0.25">
      <c r="A120" s="81" t="s">
        <v>138</v>
      </c>
      <c r="B120" s="118"/>
      <c r="C120" s="45" t="s">
        <v>137</v>
      </c>
      <c r="D120" s="70" t="s">
        <v>81</v>
      </c>
      <c r="E120" s="72" t="s">
        <v>19</v>
      </c>
      <c r="F120" s="70">
        <v>1000</v>
      </c>
      <c r="G120" s="70"/>
      <c r="H120" s="70"/>
      <c r="I120" s="70"/>
      <c r="J120" s="76">
        <f t="shared" si="4"/>
        <v>1000</v>
      </c>
      <c r="K120" s="154" t="s">
        <v>146</v>
      </c>
      <c r="L120" s="63"/>
      <c r="M120" s="65">
        <v>1000</v>
      </c>
      <c r="N120" s="158"/>
      <c r="O120" s="95"/>
      <c r="P120" s="18">
        <v>3.0000000000000001E-3</v>
      </c>
      <c r="Q120" s="18">
        <v>0.02</v>
      </c>
      <c r="R120" s="18">
        <v>4.6600000000000003E-2</v>
      </c>
      <c r="S120" s="18">
        <v>5.0000000000000001E-3</v>
      </c>
      <c r="T120" s="26"/>
    </row>
    <row r="121" spans="1:20" x14ac:dyDescent="0.25">
      <c r="A121" s="81" t="s">
        <v>138</v>
      </c>
      <c r="B121" s="118"/>
      <c r="C121" s="45" t="s">
        <v>137</v>
      </c>
      <c r="D121" s="70" t="s">
        <v>81</v>
      </c>
      <c r="E121" s="72" t="s">
        <v>19</v>
      </c>
      <c r="F121" s="70">
        <v>1000</v>
      </c>
      <c r="G121" s="70"/>
      <c r="H121" s="70"/>
      <c r="I121" s="70"/>
      <c r="J121" s="76">
        <f t="shared" si="4"/>
        <v>1000</v>
      </c>
      <c r="K121" s="154" t="s">
        <v>147</v>
      </c>
      <c r="L121" s="63"/>
      <c r="M121" s="65">
        <v>1000</v>
      </c>
      <c r="N121" s="158"/>
      <c r="O121" s="95"/>
      <c r="P121" s="18">
        <v>1E-3</v>
      </c>
      <c r="Q121" s="18">
        <v>2.6599999999999999E-2</v>
      </c>
      <c r="R121" s="18">
        <v>4.6600000000000003E-2</v>
      </c>
      <c r="S121" s="18">
        <v>3.0000000000000001E-3</v>
      </c>
      <c r="T121" s="26"/>
    </row>
    <row r="122" spans="1:20" x14ac:dyDescent="0.25">
      <c r="A122" s="81" t="s">
        <v>138</v>
      </c>
      <c r="B122" s="118"/>
      <c r="C122" s="45" t="s">
        <v>137</v>
      </c>
      <c r="D122" s="70" t="s">
        <v>81</v>
      </c>
      <c r="E122" s="72" t="s">
        <v>19</v>
      </c>
      <c r="F122" s="70">
        <v>1000</v>
      </c>
      <c r="G122" s="70"/>
      <c r="H122" s="70"/>
      <c r="I122" s="70"/>
      <c r="J122" s="76">
        <f t="shared" si="4"/>
        <v>1000</v>
      </c>
      <c r="K122" s="154" t="s">
        <v>148</v>
      </c>
      <c r="L122" s="63"/>
      <c r="M122" s="65">
        <v>1000</v>
      </c>
      <c r="N122" s="158"/>
      <c r="O122" s="95"/>
      <c r="P122" s="18">
        <v>1E-3</v>
      </c>
      <c r="Q122" s="18">
        <v>2.3300000000000001E-2</v>
      </c>
      <c r="R122" s="18">
        <v>5.6599999999999998E-2</v>
      </c>
      <c r="S122" s="18">
        <v>4.0000000000000001E-3</v>
      </c>
      <c r="T122" s="26"/>
    </row>
    <row r="123" spans="1:20" x14ac:dyDescent="0.25">
      <c r="A123" s="81" t="s">
        <v>138</v>
      </c>
      <c r="B123" s="118"/>
      <c r="C123" s="45" t="s">
        <v>137</v>
      </c>
      <c r="D123" s="70" t="s">
        <v>81</v>
      </c>
      <c r="E123" s="72" t="s">
        <v>19</v>
      </c>
      <c r="F123" s="70">
        <v>1000</v>
      </c>
      <c r="G123" s="70"/>
      <c r="H123" s="70"/>
      <c r="I123" s="70"/>
      <c r="J123" s="76">
        <f t="shared" si="4"/>
        <v>1000</v>
      </c>
      <c r="K123" s="154" t="s">
        <v>149</v>
      </c>
      <c r="L123" s="63"/>
      <c r="M123" s="65">
        <v>1000</v>
      </c>
      <c r="N123" s="158"/>
      <c r="O123" s="95"/>
      <c r="P123" s="18">
        <v>2E-3</v>
      </c>
      <c r="Q123" s="18">
        <v>2.6599999999999999E-2</v>
      </c>
      <c r="R123" s="18">
        <v>2.6599999999999999E-2</v>
      </c>
      <c r="S123" s="18">
        <v>6.0000000000000001E-3</v>
      </c>
      <c r="T123" s="26"/>
    </row>
    <row r="124" spans="1:20" x14ac:dyDescent="0.25">
      <c r="A124" s="81" t="s">
        <v>138</v>
      </c>
      <c r="B124" s="118"/>
      <c r="C124" s="45" t="s">
        <v>137</v>
      </c>
      <c r="D124" s="70" t="s">
        <v>81</v>
      </c>
      <c r="E124" s="72" t="s">
        <v>19</v>
      </c>
      <c r="F124" s="70">
        <v>1000</v>
      </c>
      <c r="G124" s="70"/>
      <c r="H124" s="70"/>
      <c r="I124" s="70"/>
      <c r="J124" s="76">
        <f t="shared" si="4"/>
        <v>1000</v>
      </c>
      <c r="K124" s="154" t="s">
        <v>150</v>
      </c>
      <c r="L124" s="63"/>
      <c r="M124" s="65">
        <v>1000</v>
      </c>
      <c r="N124" s="158"/>
      <c r="O124" s="95"/>
      <c r="P124" s="18">
        <v>1E-3</v>
      </c>
      <c r="Q124" s="18">
        <v>2.3300000000000001E-2</v>
      </c>
      <c r="R124" s="18">
        <v>0.03</v>
      </c>
      <c r="S124" s="18">
        <v>4.0000000000000001E-3</v>
      </c>
      <c r="T124" s="26"/>
    </row>
    <row r="125" spans="1:20" x14ac:dyDescent="0.25">
      <c r="A125" s="81" t="s">
        <v>153</v>
      </c>
      <c r="B125" s="118"/>
      <c r="C125" s="45" t="s">
        <v>137</v>
      </c>
      <c r="D125" s="70" t="s">
        <v>81</v>
      </c>
      <c r="E125" s="72" t="s">
        <v>19</v>
      </c>
      <c r="F125" s="70">
        <v>1000</v>
      </c>
      <c r="G125" s="70"/>
      <c r="H125" s="70"/>
      <c r="I125" s="70"/>
      <c r="J125" s="76">
        <f t="shared" si="4"/>
        <v>1000</v>
      </c>
      <c r="K125" s="154" t="s">
        <v>154</v>
      </c>
      <c r="L125" s="63"/>
      <c r="M125" s="65">
        <v>1000</v>
      </c>
      <c r="N125" s="158"/>
      <c r="O125" s="95"/>
      <c r="P125" s="18">
        <v>1E-3</v>
      </c>
      <c r="Q125" s="18">
        <v>2.3300000000000001E-2</v>
      </c>
      <c r="R125" s="18">
        <v>3.6600000000000001E-2</v>
      </c>
      <c r="S125" s="18">
        <v>4.0000000000000001E-3</v>
      </c>
      <c r="T125" s="26"/>
    </row>
    <row r="126" spans="1:20" x14ac:dyDescent="0.25">
      <c r="A126" s="81" t="s">
        <v>153</v>
      </c>
      <c r="B126" s="118"/>
      <c r="C126" s="45" t="s">
        <v>137</v>
      </c>
      <c r="D126" s="70" t="s">
        <v>81</v>
      </c>
      <c r="E126" s="72" t="s">
        <v>19</v>
      </c>
      <c r="F126" s="70">
        <v>1000</v>
      </c>
      <c r="G126" s="70"/>
      <c r="H126" s="70"/>
      <c r="I126" s="70"/>
      <c r="J126" s="76">
        <f t="shared" si="4"/>
        <v>1000</v>
      </c>
      <c r="K126" s="154" t="s">
        <v>155</v>
      </c>
      <c r="L126" s="63"/>
      <c r="M126" s="65">
        <v>1000</v>
      </c>
      <c r="N126" s="158"/>
      <c r="O126" s="95"/>
      <c r="P126" s="18">
        <v>3.0000000000000001E-3</v>
      </c>
      <c r="Q126" s="18">
        <v>2.6599999999999999E-2</v>
      </c>
      <c r="R126" s="18">
        <v>4.3299999999999998E-2</v>
      </c>
      <c r="S126" s="18">
        <v>1.4999999999999999E-2</v>
      </c>
      <c r="T126" s="26"/>
    </row>
    <row r="127" spans="1:20" x14ac:dyDescent="0.25">
      <c r="A127" s="81"/>
      <c r="B127" s="118"/>
      <c r="C127" s="45"/>
      <c r="D127" s="70"/>
      <c r="E127" s="72"/>
      <c r="F127" s="70"/>
      <c r="G127" s="70"/>
      <c r="H127" s="70"/>
      <c r="I127" s="70"/>
      <c r="J127" s="76"/>
      <c r="K127" s="154"/>
      <c r="L127" s="63"/>
      <c r="M127" s="65"/>
      <c r="N127" s="158"/>
      <c r="O127" s="95"/>
      <c r="P127" s="18"/>
      <c r="Q127" s="18"/>
      <c r="R127" s="18"/>
      <c r="S127" s="18"/>
      <c r="T127" s="26"/>
    </row>
    <row r="128" spans="1:20" x14ac:dyDescent="0.25">
      <c r="A128" s="81" t="s">
        <v>196</v>
      </c>
      <c r="B128" s="118"/>
      <c r="C128" s="45" t="s">
        <v>186</v>
      </c>
      <c r="D128" s="70" t="s">
        <v>187</v>
      </c>
      <c r="E128" s="72" t="s">
        <v>19</v>
      </c>
      <c r="F128" s="70"/>
      <c r="G128" s="70"/>
      <c r="H128" s="70" t="s">
        <v>221</v>
      </c>
      <c r="I128" s="70"/>
      <c r="J128" s="76">
        <f t="shared" si="4"/>
        <v>0</v>
      </c>
      <c r="K128" s="154" t="s">
        <v>205</v>
      </c>
      <c r="L128" s="63"/>
      <c r="M128" s="65"/>
      <c r="N128" s="158"/>
      <c r="O128" s="95"/>
      <c r="P128" s="18">
        <v>2E-3</v>
      </c>
      <c r="Q128" s="18">
        <v>0.01</v>
      </c>
      <c r="R128" s="18">
        <v>5.6599999999999998E-2</v>
      </c>
      <c r="S128" s="18">
        <v>7.0000000000000001E-3</v>
      </c>
      <c r="T128" s="26"/>
    </row>
    <row r="129" spans="1:20" x14ac:dyDescent="0.25">
      <c r="A129" s="81" t="s">
        <v>196</v>
      </c>
      <c r="B129" s="118"/>
      <c r="C129" s="45" t="s">
        <v>186</v>
      </c>
      <c r="D129" s="70" t="s">
        <v>187</v>
      </c>
      <c r="E129" s="72" t="s">
        <v>19</v>
      </c>
      <c r="F129" s="70"/>
      <c r="G129" s="70"/>
      <c r="H129" s="70" t="s">
        <v>221</v>
      </c>
      <c r="I129" s="70"/>
      <c r="J129" s="76">
        <f t="shared" si="4"/>
        <v>0</v>
      </c>
      <c r="K129" s="154" t="s">
        <v>206</v>
      </c>
      <c r="L129" s="63"/>
      <c r="M129" s="65"/>
      <c r="N129" s="158"/>
      <c r="O129" s="95"/>
      <c r="P129" s="18">
        <v>1E-3</v>
      </c>
      <c r="Q129" s="18">
        <v>1.66E-2</v>
      </c>
      <c r="R129" s="18">
        <v>0.03</v>
      </c>
      <c r="S129" s="18">
        <v>7.0000000000000001E-3</v>
      </c>
      <c r="T129" s="26"/>
    </row>
    <row r="130" spans="1:20" x14ac:dyDescent="0.25">
      <c r="A130" s="81" t="s">
        <v>196</v>
      </c>
      <c r="B130" s="118"/>
      <c r="C130" s="45" t="s">
        <v>186</v>
      </c>
      <c r="D130" s="70" t="s">
        <v>187</v>
      </c>
      <c r="E130" s="72" t="s">
        <v>19</v>
      </c>
      <c r="F130" s="70">
        <v>1000</v>
      </c>
      <c r="G130" s="70"/>
      <c r="H130" s="70"/>
      <c r="I130" s="70"/>
      <c r="J130" s="76">
        <f t="shared" si="4"/>
        <v>1000</v>
      </c>
      <c r="K130" s="154" t="s">
        <v>207</v>
      </c>
      <c r="L130" s="63"/>
      <c r="M130" s="65">
        <v>1000</v>
      </c>
      <c r="N130" s="158"/>
      <c r="O130" s="95"/>
      <c r="P130" s="18">
        <v>1E-3</v>
      </c>
      <c r="Q130" s="18">
        <v>2.3300000000000001E-2</v>
      </c>
      <c r="R130" s="18">
        <v>0.04</v>
      </c>
      <c r="S130" s="18">
        <v>8.9999999999999993E-3</v>
      </c>
      <c r="T130" s="26"/>
    </row>
    <row r="131" spans="1:20" x14ac:dyDescent="0.25">
      <c r="A131" s="81" t="s">
        <v>196</v>
      </c>
      <c r="B131" s="118"/>
      <c r="C131" s="45" t="s">
        <v>186</v>
      </c>
      <c r="D131" s="70" t="s">
        <v>187</v>
      </c>
      <c r="E131" s="72" t="s">
        <v>19</v>
      </c>
      <c r="F131" s="70">
        <v>1000</v>
      </c>
      <c r="G131" s="70"/>
      <c r="H131" s="70"/>
      <c r="I131" s="70"/>
      <c r="J131" s="76">
        <f t="shared" si="4"/>
        <v>1000</v>
      </c>
      <c r="K131" s="154" t="s">
        <v>208</v>
      </c>
      <c r="L131" s="63"/>
      <c r="M131" s="65">
        <v>1000</v>
      </c>
      <c r="N131" s="158"/>
      <c r="O131" s="95"/>
      <c r="P131" s="18">
        <v>1E-3</v>
      </c>
      <c r="Q131" s="18">
        <v>2.6599999999999999E-2</v>
      </c>
      <c r="R131" s="18">
        <v>5.6599999999999998E-2</v>
      </c>
      <c r="S131" s="18">
        <v>7.0000000000000001E-3</v>
      </c>
      <c r="T131" s="26"/>
    </row>
    <row r="132" spans="1:20" x14ac:dyDescent="0.25">
      <c r="A132" s="81" t="s">
        <v>196</v>
      </c>
      <c r="B132" s="118"/>
      <c r="C132" s="45" t="s">
        <v>186</v>
      </c>
      <c r="D132" s="70" t="s">
        <v>187</v>
      </c>
      <c r="E132" s="72" t="s">
        <v>19</v>
      </c>
      <c r="F132" s="70">
        <v>1000</v>
      </c>
      <c r="G132" s="70"/>
      <c r="H132" s="70"/>
      <c r="I132" s="70"/>
      <c r="J132" s="76">
        <f t="shared" si="4"/>
        <v>1000</v>
      </c>
      <c r="K132" s="154" t="s">
        <v>209</v>
      </c>
      <c r="L132" s="63"/>
      <c r="M132" s="65">
        <v>1000</v>
      </c>
      <c r="N132" s="158"/>
      <c r="O132" s="95"/>
      <c r="P132" s="18"/>
      <c r="Q132" s="18">
        <v>1.66E-2</v>
      </c>
      <c r="R132" s="18">
        <v>0.03</v>
      </c>
      <c r="S132" s="18">
        <v>5.0000000000000001E-3</v>
      </c>
      <c r="T132" s="26"/>
    </row>
    <row r="133" spans="1:20" x14ac:dyDescent="0.25">
      <c r="A133" s="81" t="s">
        <v>196</v>
      </c>
      <c r="B133" s="118"/>
      <c r="C133" s="45" t="s">
        <v>186</v>
      </c>
      <c r="D133" s="70" t="s">
        <v>187</v>
      </c>
      <c r="E133" s="72" t="s">
        <v>19</v>
      </c>
      <c r="F133" s="70">
        <v>1000</v>
      </c>
      <c r="G133" s="70"/>
      <c r="H133" s="70"/>
      <c r="I133" s="70"/>
      <c r="J133" s="76">
        <f t="shared" si="4"/>
        <v>1000</v>
      </c>
      <c r="K133" s="154" t="s">
        <v>210</v>
      </c>
      <c r="L133" s="63"/>
      <c r="M133" s="65">
        <v>1000</v>
      </c>
      <c r="N133" s="158"/>
      <c r="O133" s="95"/>
      <c r="P133" s="18">
        <v>2E-3</v>
      </c>
      <c r="Q133" s="18">
        <v>0.03</v>
      </c>
      <c r="R133" s="18">
        <v>5.33E-2</v>
      </c>
      <c r="S133" s="18">
        <v>1.7000000000000001E-2</v>
      </c>
      <c r="T133" s="26"/>
    </row>
    <row r="134" spans="1:20" x14ac:dyDescent="0.25">
      <c r="A134" s="81" t="s">
        <v>196</v>
      </c>
      <c r="B134" s="118"/>
      <c r="C134" s="45" t="s">
        <v>186</v>
      </c>
      <c r="D134" s="70" t="s">
        <v>187</v>
      </c>
      <c r="E134" s="72" t="s">
        <v>19</v>
      </c>
      <c r="F134" s="70">
        <v>1000</v>
      </c>
      <c r="G134" s="70"/>
      <c r="H134" s="70"/>
      <c r="I134" s="70"/>
      <c r="J134" s="76">
        <f t="shared" si="4"/>
        <v>1000</v>
      </c>
      <c r="K134" s="154" t="s">
        <v>211</v>
      </c>
      <c r="L134" s="63"/>
      <c r="M134" s="65">
        <v>1000</v>
      </c>
      <c r="N134" s="158"/>
      <c r="O134" s="95"/>
      <c r="P134" s="18">
        <v>3.0000000000000001E-3</v>
      </c>
      <c r="Q134" s="18">
        <v>0.03</v>
      </c>
      <c r="R134" s="18">
        <v>4.3299999999999998E-2</v>
      </c>
      <c r="S134" s="18">
        <v>4.0000000000000001E-3</v>
      </c>
      <c r="T134" s="26"/>
    </row>
    <row r="135" spans="1:20" x14ac:dyDescent="0.25">
      <c r="A135" s="81" t="s">
        <v>198</v>
      </c>
      <c r="B135" s="118"/>
      <c r="C135" s="45" t="s">
        <v>186</v>
      </c>
      <c r="D135" s="70" t="s">
        <v>187</v>
      </c>
      <c r="E135" s="72" t="s">
        <v>19</v>
      </c>
      <c r="F135" s="70">
        <v>1000</v>
      </c>
      <c r="G135" s="70"/>
      <c r="H135" s="70"/>
      <c r="I135" s="70"/>
      <c r="J135" s="76">
        <f t="shared" si="4"/>
        <v>1000</v>
      </c>
      <c r="K135" s="154" t="s">
        <v>212</v>
      </c>
      <c r="L135" s="63"/>
      <c r="M135" s="65">
        <v>1000</v>
      </c>
      <c r="N135" s="158"/>
      <c r="O135" s="95"/>
      <c r="P135" s="18">
        <v>1E-3</v>
      </c>
      <c r="Q135" s="18">
        <v>7.0000000000000007E-2</v>
      </c>
      <c r="R135" s="18">
        <v>0.06</v>
      </c>
      <c r="S135" s="18">
        <v>0.01</v>
      </c>
      <c r="T135" s="26"/>
    </row>
    <row r="136" spans="1:20" x14ac:dyDescent="0.25">
      <c r="A136" s="81" t="s">
        <v>198</v>
      </c>
      <c r="B136" s="118"/>
      <c r="C136" s="45" t="s">
        <v>186</v>
      </c>
      <c r="D136" s="70" t="s">
        <v>187</v>
      </c>
      <c r="E136" s="72" t="s">
        <v>19</v>
      </c>
      <c r="F136" s="70">
        <v>1000</v>
      </c>
      <c r="G136" s="70"/>
      <c r="H136" s="70"/>
      <c r="I136" s="70"/>
      <c r="J136" s="76">
        <f t="shared" si="4"/>
        <v>1000</v>
      </c>
      <c r="K136" s="154" t="s">
        <v>213</v>
      </c>
      <c r="L136" s="63"/>
      <c r="M136" s="65">
        <v>1000</v>
      </c>
      <c r="N136" s="158"/>
      <c r="O136" s="95"/>
      <c r="P136" s="18">
        <v>2E-3</v>
      </c>
      <c r="Q136" s="18">
        <v>0.05</v>
      </c>
      <c r="R136" s="18">
        <v>7.3300000000000004E-2</v>
      </c>
      <c r="S136" s="18">
        <v>8.0000000000000002E-3</v>
      </c>
      <c r="T136" s="26"/>
    </row>
    <row r="137" spans="1:20" x14ac:dyDescent="0.25">
      <c r="A137" s="81" t="s">
        <v>198</v>
      </c>
      <c r="B137" s="118"/>
      <c r="C137" s="45" t="s">
        <v>186</v>
      </c>
      <c r="D137" s="70" t="s">
        <v>187</v>
      </c>
      <c r="E137" s="72" t="s">
        <v>19</v>
      </c>
      <c r="F137" s="70">
        <v>1000</v>
      </c>
      <c r="G137" s="70"/>
      <c r="H137" s="70"/>
      <c r="I137" s="70"/>
      <c r="J137" s="76">
        <f t="shared" si="4"/>
        <v>1000</v>
      </c>
      <c r="K137" s="154" t="s">
        <v>214</v>
      </c>
      <c r="L137" s="63"/>
      <c r="M137" s="65">
        <v>1000</v>
      </c>
      <c r="N137" s="158"/>
      <c r="O137" s="95"/>
      <c r="P137" s="18">
        <v>4.0000000000000001E-3</v>
      </c>
      <c r="Q137" s="18">
        <v>6.3299999999999995E-2</v>
      </c>
      <c r="R137" s="18">
        <v>6.3299999999999995E-2</v>
      </c>
      <c r="S137" s="18">
        <v>8.9999999999999993E-3</v>
      </c>
      <c r="T137" s="26"/>
    </row>
    <row r="138" spans="1:20" x14ac:dyDescent="0.25">
      <c r="A138" s="81" t="s">
        <v>198</v>
      </c>
      <c r="B138" s="118"/>
      <c r="C138" s="45" t="s">
        <v>186</v>
      </c>
      <c r="D138" s="70" t="s">
        <v>187</v>
      </c>
      <c r="E138" s="72" t="s">
        <v>19</v>
      </c>
      <c r="F138" s="70">
        <v>1000</v>
      </c>
      <c r="G138" s="70"/>
      <c r="H138" s="70"/>
      <c r="I138" s="70"/>
      <c r="J138" s="76">
        <f t="shared" si="4"/>
        <v>1000</v>
      </c>
      <c r="K138" s="154" t="s">
        <v>215</v>
      </c>
      <c r="L138" s="63"/>
      <c r="M138" s="65">
        <v>1000</v>
      </c>
      <c r="N138" s="158"/>
      <c r="O138" s="95"/>
      <c r="P138" s="18">
        <v>3.0000000000000001E-3</v>
      </c>
      <c r="Q138" s="18">
        <v>6.6600000000000006E-2</v>
      </c>
      <c r="R138" s="18">
        <v>9.3299999999999994E-2</v>
      </c>
      <c r="S138" s="18">
        <v>7.0000000000000001E-3</v>
      </c>
      <c r="T138" s="26"/>
    </row>
    <row r="139" spans="1:20" x14ac:dyDescent="0.25">
      <c r="A139" s="81" t="s">
        <v>198</v>
      </c>
      <c r="B139" s="118"/>
      <c r="C139" s="45" t="s">
        <v>186</v>
      </c>
      <c r="D139" s="70" t="s">
        <v>187</v>
      </c>
      <c r="E139" s="72" t="s">
        <v>19</v>
      </c>
      <c r="F139" s="70">
        <v>1000</v>
      </c>
      <c r="G139" s="70"/>
      <c r="H139" s="70"/>
      <c r="I139" s="70"/>
      <c r="J139" s="76">
        <f t="shared" si="4"/>
        <v>1000</v>
      </c>
      <c r="K139" s="154" t="s">
        <v>216</v>
      </c>
      <c r="L139" s="63"/>
      <c r="M139" s="65">
        <v>1000</v>
      </c>
      <c r="N139" s="158"/>
      <c r="O139" s="95"/>
      <c r="P139" s="18">
        <v>4.0000000000000001E-3</v>
      </c>
      <c r="Q139" s="18">
        <v>0.06</v>
      </c>
      <c r="R139" s="18">
        <v>4.6600000000000003E-2</v>
      </c>
      <c r="S139" s="18">
        <v>2.1999999999999999E-2</v>
      </c>
      <c r="T139" s="26"/>
    </row>
    <row r="140" spans="1:20" x14ac:dyDescent="0.25">
      <c r="A140" s="81" t="s">
        <v>217</v>
      </c>
      <c r="B140" s="118"/>
      <c r="C140" s="45" t="s">
        <v>223</v>
      </c>
      <c r="D140" s="70" t="s">
        <v>187</v>
      </c>
      <c r="E140" s="72" t="s">
        <v>19</v>
      </c>
      <c r="F140" s="70">
        <v>1000</v>
      </c>
      <c r="G140" s="70"/>
      <c r="H140" s="70"/>
      <c r="I140" s="70"/>
      <c r="J140" s="76">
        <f t="shared" si="4"/>
        <v>1000</v>
      </c>
      <c r="K140" s="154" t="s">
        <v>224</v>
      </c>
      <c r="L140" s="63"/>
      <c r="M140" s="65">
        <v>1000</v>
      </c>
      <c r="N140" s="158"/>
      <c r="O140" s="95"/>
      <c r="P140" s="18">
        <v>4.0000000000000001E-3</v>
      </c>
      <c r="Q140" s="18">
        <v>6.6600000000000006E-2</v>
      </c>
      <c r="R140" s="18">
        <v>6.6600000000000006E-2</v>
      </c>
      <c r="S140" s="18">
        <v>1.4E-2</v>
      </c>
      <c r="T140" s="26"/>
    </row>
    <row r="141" spans="1:20" x14ac:dyDescent="0.25">
      <c r="A141" s="81" t="s">
        <v>217</v>
      </c>
      <c r="B141" s="118"/>
      <c r="C141" s="45" t="s">
        <v>223</v>
      </c>
      <c r="D141" s="70" t="s">
        <v>187</v>
      </c>
      <c r="E141" s="72" t="s">
        <v>19</v>
      </c>
      <c r="F141" s="70">
        <v>1000</v>
      </c>
      <c r="G141" s="70"/>
      <c r="H141" s="70"/>
      <c r="I141" s="70"/>
      <c r="J141" s="76">
        <f t="shared" si="4"/>
        <v>1000</v>
      </c>
      <c r="K141" s="154" t="s">
        <v>225</v>
      </c>
      <c r="L141" s="63"/>
      <c r="M141" s="65">
        <v>1000</v>
      </c>
      <c r="N141" s="158"/>
      <c r="O141" s="95"/>
      <c r="P141" s="18">
        <v>2E-3</v>
      </c>
      <c r="Q141" s="18">
        <v>6.3299999999999995E-2</v>
      </c>
      <c r="R141" s="18">
        <v>6.3299999999999995E-2</v>
      </c>
      <c r="S141" s="18">
        <v>5.0000000000000001E-3</v>
      </c>
      <c r="T141" s="26"/>
    </row>
    <row r="142" spans="1:20" x14ac:dyDescent="0.25">
      <c r="A142" s="81" t="s">
        <v>217</v>
      </c>
      <c r="B142" s="118"/>
      <c r="C142" s="45" t="s">
        <v>223</v>
      </c>
      <c r="D142" s="70" t="s">
        <v>187</v>
      </c>
      <c r="E142" s="72" t="s">
        <v>19</v>
      </c>
      <c r="F142" s="70">
        <v>1000</v>
      </c>
      <c r="G142" s="70"/>
      <c r="H142" s="70"/>
      <c r="I142" s="70"/>
      <c r="J142" s="76">
        <f t="shared" si="4"/>
        <v>1000</v>
      </c>
      <c r="K142" s="154" t="s">
        <v>226</v>
      </c>
      <c r="L142" s="63"/>
      <c r="M142" s="65">
        <v>1000</v>
      </c>
      <c r="N142" s="158"/>
      <c r="O142" s="95"/>
      <c r="P142" s="18">
        <v>3.0000000000000001E-3</v>
      </c>
      <c r="Q142" s="18">
        <v>0.06</v>
      </c>
      <c r="R142" s="18">
        <v>0.05</v>
      </c>
      <c r="S142" s="18">
        <v>1.7000000000000001E-2</v>
      </c>
      <c r="T142" s="26"/>
    </row>
    <row r="143" spans="1:20" x14ac:dyDescent="0.25">
      <c r="A143" s="81" t="s">
        <v>217</v>
      </c>
      <c r="B143" s="118"/>
      <c r="C143" s="45" t="s">
        <v>223</v>
      </c>
      <c r="D143" s="70" t="s">
        <v>187</v>
      </c>
      <c r="E143" s="72" t="s">
        <v>19</v>
      </c>
      <c r="F143" s="70">
        <v>1000</v>
      </c>
      <c r="G143" s="70"/>
      <c r="H143" s="70"/>
      <c r="I143" s="70"/>
      <c r="J143" s="76">
        <f t="shared" si="4"/>
        <v>1000</v>
      </c>
      <c r="K143" s="154" t="s">
        <v>227</v>
      </c>
      <c r="L143" s="63"/>
      <c r="M143" s="65">
        <v>1000</v>
      </c>
      <c r="N143" s="158"/>
      <c r="O143" s="95"/>
      <c r="P143" s="18">
        <v>3.0000000000000001E-3</v>
      </c>
      <c r="Q143" s="18">
        <v>5.6599999999999998E-2</v>
      </c>
      <c r="R143" s="18">
        <v>5.33E-2</v>
      </c>
      <c r="S143" s="18">
        <v>0.01</v>
      </c>
      <c r="T143" s="26"/>
    </row>
    <row r="144" spans="1:20" x14ac:dyDescent="0.25">
      <c r="A144" s="81" t="s">
        <v>217</v>
      </c>
      <c r="B144" s="118"/>
      <c r="C144" s="45" t="s">
        <v>223</v>
      </c>
      <c r="D144" s="70" t="s">
        <v>187</v>
      </c>
      <c r="E144" s="72" t="s">
        <v>19</v>
      </c>
      <c r="F144" s="70">
        <v>1000</v>
      </c>
      <c r="G144" s="70"/>
      <c r="H144" s="70"/>
      <c r="I144" s="70"/>
      <c r="J144" s="76">
        <f t="shared" si="4"/>
        <v>1000</v>
      </c>
      <c r="K144" s="154" t="s">
        <v>228</v>
      </c>
      <c r="L144" s="63"/>
      <c r="M144" s="65">
        <v>1000</v>
      </c>
      <c r="N144" s="158"/>
      <c r="O144" s="95"/>
      <c r="P144" s="18">
        <v>4.0000000000000001E-3</v>
      </c>
      <c r="Q144" s="18">
        <v>5.33E-2</v>
      </c>
      <c r="R144" s="18">
        <v>4.6600000000000003E-2</v>
      </c>
      <c r="S144" s="18">
        <v>1.9E-2</v>
      </c>
      <c r="T144" s="26"/>
    </row>
    <row r="145" spans="1:20" x14ac:dyDescent="0.25">
      <c r="A145" s="81" t="s">
        <v>217</v>
      </c>
      <c r="B145" s="118"/>
      <c r="C145" s="45" t="s">
        <v>223</v>
      </c>
      <c r="D145" s="70" t="s">
        <v>187</v>
      </c>
      <c r="E145" s="72" t="s">
        <v>19</v>
      </c>
      <c r="F145" s="70">
        <v>1000</v>
      </c>
      <c r="G145" s="70"/>
      <c r="H145" s="70"/>
      <c r="I145" s="70"/>
      <c r="J145" s="76">
        <f t="shared" si="4"/>
        <v>1000</v>
      </c>
      <c r="K145" s="154" t="s">
        <v>229</v>
      </c>
      <c r="L145" s="63"/>
      <c r="M145" s="65">
        <v>1000</v>
      </c>
      <c r="N145" s="158"/>
      <c r="O145" s="95"/>
      <c r="P145" s="18">
        <v>2E-3</v>
      </c>
      <c r="Q145" s="18">
        <v>0.06</v>
      </c>
      <c r="R145" s="18">
        <v>0.06</v>
      </c>
      <c r="S145" s="18">
        <v>1.4999999999999999E-2</v>
      </c>
      <c r="T145" s="26"/>
    </row>
    <row r="146" spans="1:20" x14ac:dyDescent="0.25">
      <c r="A146" s="81" t="s">
        <v>217</v>
      </c>
      <c r="B146" s="118"/>
      <c r="C146" s="45" t="s">
        <v>223</v>
      </c>
      <c r="D146" s="70" t="s">
        <v>187</v>
      </c>
      <c r="E146" s="72" t="s">
        <v>19</v>
      </c>
      <c r="F146" s="70">
        <v>1000</v>
      </c>
      <c r="G146" s="70"/>
      <c r="H146" s="70"/>
      <c r="I146" s="70"/>
      <c r="J146" s="76">
        <f t="shared" si="4"/>
        <v>1000</v>
      </c>
      <c r="K146" s="154" t="s">
        <v>230</v>
      </c>
      <c r="L146" s="63"/>
      <c r="M146" s="65">
        <v>1000</v>
      </c>
      <c r="N146" s="158"/>
      <c r="O146" s="95"/>
      <c r="P146" s="18">
        <v>4.0000000000000001E-3</v>
      </c>
      <c r="Q146" s="18">
        <v>0.04</v>
      </c>
      <c r="R146" s="18">
        <v>5.33E-2</v>
      </c>
      <c r="S146" s="18">
        <v>3.0000000000000001E-3</v>
      </c>
      <c r="T146" s="26"/>
    </row>
    <row r="147" spans="1:20" x14ac:dyDescent="0.25">
      <c r="A147" s="81"/>
      <c r="B147" s="118"/>
      <c r="C147" s="45"/>
      <c r="D147" s="70"/>
      <c r="E147" s="72"/>
      <c r="F147" s="70"/>
      <c r="G147" s="70"/>
      <c r="H147" s="70"/>
      <c r="I147" s="70"/>
      <c r="J147" s="76"/>
      <c r="K147" s="154"/>
      <c r="L147" s="63"/>
      <c r="M147" s="65"/>
      <c r="N147" s="158"/>
      <c r="O147" s="95"/>
      <c r="P147" s="18"/>
      <c r="Q147" s="18"/>
      <c r="R147" s="18"/>
      <c r="S147" s="18"/>
      <c r="T147" s="26"/>
    </row>
    <row r="148" spans="1:20" x14ac:dyDescent="0.25">
      <c r="A148" s="81"/>
      <c r="B148" s="118"/>
      <c r="C148" s="45"/>
      <c r="D148" s="70"/>
      <c r="E148" s="72"/>
      <c r="F148" s="70"/>
      <c r="G148" s="70"/>
      <c r="H148" s="70"/>
      <c r="I148" s="70"/>
      <c r="J148" s="76"/>
      <c r="K148" s="154"/>
      <c r="L148" s="63"/>
      <c r="M148" s="65"/>
      <c r="N148" s="158"/>
      <c r="O148" s="95"/>
      <c r="P148" s="18"/>
      <c r="Q148" s="18"/>
      <c r="R148" s="18"/>
      <c r="S148" s="18"/>
      <c r="T148" s="26"/>
    </row>
    <row r="149" spans="1:20" x14ac:dyDescent="0.25">
      <c r="A149" s="81"/>
      <c r="B149" s="118"/>
      <c r="C149" s="45"/>
      <c r="D149" s="70"/>
      <c r="E149" s="72"/>
      <c r="F149" s="70"/>
      <c r="G149" s="70"/>
      <c r="H149" s="70"/>
      <c r="I149" s="70"/>
      <c r="J149" s="76"/>
      <c r="K149" s="154"/>
      <c r="L149" s="63"/>
      <c r="M149" s="65"/>
      <c r="N149" s="158"/>
      <c r="O149" s="95"/>
      <c r="P149" s="18"/>
      <c r="Q149" s="18"/>
      <c r="R149" s="18"/>
      <c r="S149" s="18"/>
      <c r="T149" s="26"/>
    </row>
    <row r="150" spans="1:20" x14ac:dyDescent="0.25">
      <c r="A150" s="81" t="s">
        <v>106</v>
      </c>
      <c r="B150" s="118" t="s">
        <v>97</v>
      </c>
      <c r="C150" s="45" t="s">
        <v>114</v>
      </c>
      <c r="D150" s="70" t="s">
        <v>98</v>
      </c>
      <c r="E150" s="72" t="s">
        <v>19</v>
      </c>
      <c r="F150" s="70">
        <v>1000</v>
      </c>
      <c r="G150" s="70"/>
      <c r="H150" s="70" t="s">
        <v>180</v>
      </c>
      <c r="I150" s="70"/>
      <c r="J150" s="76">
        <f t="shared" si="4"/>
        <v>1000</v>
      </c>
      <c r="K150" s="191" t="s">
        <v>68</v>
      </c>
      <c r="L150" s="63"/>
      <c r="M150" s="65">
        <v>1000</v>
      </c>
      <c r="N150" s="158"/>
      <c r="O150" s="95"/>
      <c r="P150" s="18">
        <v>0</v>
      </c>
      <c r="Q150" s="18">
        <v>0.02</v>
      </c>
      <c r="R150" s="18">
        <v>0.06</v>
      </c>
      <c r="S150" s="18">
        <v>0</v>
      </c>
      <c r="T150" s="26">
        <v>0</v>
      </c>
    </row>
    <row r="151" spans="1:20" x14ac:dyDescent="0.25">
      <c r="A151" s="81" t="s">
        <v>106</v>
      </c>
      <c r="B151" s="118" t="s">
        <v>97</v>
      </c>
      <c r="C151" s="45" t="s">
        <v>114</v>
      </c>
      <c r="D151" s="70" t="s">
        <v>98</v>
      </c>
      <c r="E151" s="72" t="s">
        <v>19</v>
      </c>
      <c r="F151" s="70">
        <v>1000</v>
      </c>
      <c r="G151" s="70"/>
      <c r="H151" s="70" t="s">
        <v>180</v>
      </c>
      <c r="I151" s="70"/>
      <c r="J151" s="76">
        <f t="shared" si="4"/>
        <v>1000</v>
      </c>
      <c r="K151" s="191" t="s">
        <v>71</v>
      </c>
      <c r="L151" s="63"/>
      <c r="M151" s="65">
        <v>1000</v>
      </c>
      <c r="N151" s="158"/>
      <c r="O151" s="95"/>
      <c r="P151" s="18">
        <v>1E-3</v>
      </c>
      <c r="Q151" s="18">
        <v>0.02</v>
      </c>
      <c r="R151" s="18">
        <v>9.6600000000000005E-2</v>
      </c>
      <c r="S151" s="18">
        <v>0</v>
      </c>
      <c r="T151" s="26">
        <v>0</v>
      </c>
    </row>
    <row r="152" spans="1:20" x14ac:dyDescent="0.25">
      <c r="A152" s="81" t="s">
        <v>106</v>
      </c>
      <c r="B152" s="118" t="s">
        <v>97</v>
      </c>
      <c r="C152" s="45" t="s">
        <v>114</v>
      </c>
      <c r="D152" s="70" t="s">
        <v>98</v>
      </c>
      <c r="E152" s="72" t="s">
        <v>19</v>
      </c>
      <c r="F152" s="70">
        <v>1000</v>
      </c>
      <c r="G152" s="70"/>
      <c r="H152" s="70"/>
      <c r="I152" s="70"/>
      <c r="J152" s="76">
        <f t="shared" si="4"/>
        <v>1000</v>
      </c>
      <c r="K152" s="154" t="s">
        <v>72</v>
      </c>
      <c r="L152" s="63"/>
      <c r="M152" s="65">
        <v>1000</v>
      </c>
      <c r="N152" s="158"/>
      <c r="O152" s="95"/>
      <c r="P152" s="18">
        <v>2E-3</v>
      </c>
      <c r="Q152" s="18">
        <v>3.3300000000000003E-2</v>
      </c>
      <c r="R152" s="18">
        <v>0.12659999999999999</v>
      </c>
      <c r="S152" s="18">
        <v>0</v>
      </c>
      <c r="T152" s="26">
        <v>0</v>
      </c>
    </row>
    <row r="153" spans="1:20" x14ac:dyDescent="0.25">
      <c r="A153" s="81" t="s">
        <v>106</v>
      </c>
      <c r="B153" s="118" t="s">
        <v>97</v>
      </c>
      <c r="C153" s="45" t="s">
        <v>114</v>
      </c>
      <c r="D153" s="70" t="s">
        <v>98</v>
      </c>
      <c r="E153" s="72" t="s">
        <v>19</v>
      </c>
      <c r="F153" s="70">
        <v>1000</v>
      </c>
      <c r="G153" s="70"/>
      <c r="H153" s="70" t="s">
        <v>180</v>
      </c>
      <c r="I153" s="70"/>
      <c r="J153" s="76">
        <f t="shared" si="4"/>
        <v>1000</v>
      </c>
      <c r="K153" s="191" t="s">
        <v>73</v>
      </c>
      <c r="L153" s="63"/>
      <c r="M153" s="65">
        <v>1000</v>
      </c>
      <c r="N153" s="158"/>
      <c r="O153" s="95"/>
      <c r="P153" s="18">
        <v>1E-3</v>
      </c>
      <c r="Q153" s="18">
        <v>2.6599999999999999E-2</v>
      </c>
      <c r="R153" s="18">
        <v>0.1</v>
      </c>
      <c r="S153" s="18">
        <v>0</v>
      </c>
      <c r="T153" s="26">
        <v>0</v>
      </c>
    </row>
    <row r="154" spans="1:20" x14ac:dyDescent="0.25">
      <c r="A154" s="81" t="s">
        <v>106</v>
      </c>
      <c r="B154" s="118" t="s">
        <v>97</v>
      </c>
      <c r="C154" s="45" t="s">
        <v>114</v>
      </c>
      <c r="D154" s="70" t="s">
        <v>98</v>
      </c>
      <c r="E154" s="72" t="s">
        <v>19</v>
      </c>
      <c r="F154" s="70">
        <v>1000</v>
      </c>
      <c r="G154" s="70"/>
      <c r="H154" s="70" t="s">
        <v>180</v>
      </c>
      <c r="I154" s="70"/>
      <c r="J154" s="76">
        <f t="shared" si="4"/>
        <v>1000</v>
      </c>
      <c r="K154" s="191" t="s">
        <v>92</v>
      </c>
      <c r="L154" s="63"/>
      <c r="M154" s="65">
        <v>1000</v>
      </c>
      <c r="N154" s="158"/>
      <c r="O154" s="95"/>
      <c r="P154" s="18">
        <v>2E-3</v>
      </c>
      <c r="Q154" s="18">
        <v>2.3300000000000001E-2</v>
      </c>
      <c r="R154" s="18">
        <v>0.08</v>
      </c>
      <c r="S154" s="18">
        <v>0</v>
      </c>
      <c r="T154" s="26">
        <v>0</v>
      </c>
    </row>
    <row r="155" spans="1:20" x14ac:dyDescent="0.25">
      <c r="A155" s="81" t="s">
        <v>106</v>
      </c>
      <c r="B155" s="118" t="s">
        <v>97</v>
      </c>
      <c r="C155" s="45" t="s">
        <v>114</v>
      </c>
      <c r="D155" s="70" t="s">
        <v>98</v>
      </c>
      <c r="E155" s="72" t="s">
        <v>19</v>
      </c>
      <c r="F155" s="70">
        <v>1000</v>
      </c>
      <c r="G155" s="70"/>
      <c r="H155" s="70"/>
      <c r="I155" s="70"/>
      <c r="J155" s="76">
        <f t="shared" si="4"/>
        <v>1000</v>
      </c>
      <c r="K155" s="154" t="s">
        <v>93</v>
      </c>
      <c r="L155" s="63"/>
      <c r="M155" s="65">
        <v>1000</v>
      </c>
      <c r="N155" s="158"/>
      <c r="O155" s="95"/>
      <c r="P155" s="18">
        <v>0</v>
      </c>
      <c r="Q155" s="18">
        <v>0.02</v>
      </c>
      <c r="R155" s="18">
        <v>0.14330000000000001</v>
      </c>
      <c r="S155" s="18">
        <v>0</v>
      </c>
      <c r="T155" s="26">
        <v>0</v>
      </c>
    </row>
    <row r="156" spans="1:20" x14ac:dyDescent="0.25">
      <c r="A156" s="81" t="s">
        <v>106</v>
      </c>
      <c r="B156" s="118" t="s">
        <v>97</v>
      </c>
      <c r="C156" s="45" t="s">
        <v>114</v>
      </c>
      <c r="D156" s="70" t="s">
        <v>98</v>
      </c>
      <c r="E156" s="72" t="s">
        <v>19</v>
      </c>
      <c r="F156" s="70">
        <v>1000</v>
      </c>
      <c r="G156" s="70"/>
      <c r="H156" s="70"/>
      <c r="I156" s="70"/>
      <c r="J156" s="76">
        <f t="shared" si="4"/>
        <v>1000</v>
      </c>
      <c r="K156" s="154" t="s">
        <v>94</v>
      </c>
      <c r="L156" s="63"/>
      <c r="M156" s="65">
        <v>1000</v>
      </c>
      <c r="N156" s="158"/>
      <c r="O156" s="95"/>
      <c r="P156" s="18">
        <v>0</v>
      </c>
      <c r="Q156" s="18">
        <v>2.3300000000000001E-2</v>
      </c>
      <c r="R156" s="18">
        <v>0.1133</v>
      </c>
      <c r="S156" s="18">
        <v>0</v>
      </c>
      <c r="T156" s="26">
        <v>0</v>
      </c>
    </row>
    <row r="157" spans="1:20" x14ac:dyDescent="0.25">
      <c r="A157" s="81" t="s">
        <v>106</v>
      </c>
      <c r="B157" s="118" t="s">
        <v>97</v>
      </c>
      <c r="C157" s="45" t="s">
        <v>114</v>
      </c>
      <c r="D157" s="70" t="s">
        <v>98</v>
      </c>
      <c r="E157" s="72" t="s">
        <v>19</v>
      </c>
      <c r="F157" s="70">
        <v>1000</v>
      </c>
      <c r="G157" s="70"/>
      <c r="H157" s="70"/>
      <c r="I157" s="70"/>
      <c r="J157" s="76">
        <f t="shared" si="4"/>
        <v>1000</v>
      </c>
      <c r="K157" s="154" t="s">
        <v>95</v>
      </c>
      <c r="L157" s="63"/>
      <c r="M157" s="65">
        <v>1000</v>
      </c>
      <c r="N157" s="158"/>
      <c r="O157" s="95"/>
      <c r="P157" s="18">
        <v>2E-3</v>
      </c>
      <c r="Q157" s="18">
        <v>0.03</v>
      </c>
      <c r="R157" s="18">
        <v>9.3299999999999994E-2</v>
      </c>
      <c r="S157" s="18">
        <v>0</v>
      </c>
      <c r="T157" s="26">
        <v>0</v>
      </c>
    </row>
    <row r="158" spans="1:20" x14ac:dyDescent="0.25">
      <c r="A158" s="81" t="s">
        <v>106</v>
      </c>
      <c r="B158" s="118" t="s">
        <v>97</v>
      </c>
      <c r="C158" s="45" t="s">
        <v>114</v>
      </c>
      <c r="D158" s="70" t="s">
        <v>98</v>
      </c>
      <c r="E158" s="72" t="s">
        <v>19</v>
      </c>
      <c r="F158" s="70">
        <v>1000</v>
      </c>
      <c r="G158" s="70"/>
      <c r="H158" s="70" t="s">
        <v>180</v>
      </c>
      <c r="I158" s="70"/>
      <c r="J158" s="76">
        <f t="shared" si="4"/>
        <v>1000</v>
      </c>
      <c r="K158" s="191" t="s">
        <v>120</v>
      </c>
      <c r="L158" s="63"/>
      <c r="M158" s="65">
        <v>1000</v>
      </c>
      <c r="N158" s="158"/>
      <c r="O158" s="95"/>
      <c r="P158" s="18">
        <v>0</v>
      </c>
      <c r="Q158" s="18">
        <v>0.02</v>
      </c>
      <c r="R158" s="18">
        <v>3.3300000000000003E-2</v>
      </c>
      <c r="S158" s="18">
        <v>0</v>
      </c>
      <c r="T158" s="26">
        <v>0</v>
      </c>
    </row>
    <row r="159" spans="1:20" x14ac:dyDescent="0.25">
      <c r="A159" s="81" t="s">
        <v>106</v>
      </c>
      <c r="B159" s="118" t="s">
        <v>97</v>
      </c>
      <c r="C159" s="45" t="s">
        <v>114</v>
      </c>
      <c r="D159" s="70" t="s">
        <v>98</v>
      </c>
      <c r="E159" s="72" t="s">
        <v>19</v>
      </c>
      <c r="F159" s="70">
        <v>1000</v>
      </c>
      <c r="G159" s="70"/>
      <c r="H159" s="70" t="s">
        <v>180</v>
      </c>
      <c r="I159" s="70"/>
      <c r="J159" s="76">
        <f t="shared" si="4"/>
        <v>1000</v>
      </c>
      <c r="K159" s="191" t="s">
        <v>124</v>
      </c>
      <c r="L159" s="63"/>
      <c r="M159" s="65">
        <v>1000</v>
      </c>
      <c r="N159" s="158"/>
      <c r="O159" s="95"/>
      <c r="P159" s="18">
        <v>0</v>
      </c>
      <c r="Q159" s="18">
        <v>0.02</v>
      </c>
      <c r="R159" s="18">
        <v>4.3299999999999998E-2</v>
      </c>
      <c r="S159" s="18">
        <v>0</v>
      </c>
      <c r="T159" s="26">
        <v>0</v>
      </c>
    </row>
    <row r="160" spans="1:20" x14ac:dyDescent="0.25">
      <c r="A160" s="81" t="s">
        <v>106</v>
      </c>
      <c r="B160" s="118" t="s">
        <v>97</v>
      </c>
      <c r="C160" s="45" t="s">
        <v>114</v>
      </c>
      <c r="D160" s="70" t="s">
        <v>98</v>
      </c>
      <c r="E160" s="72" t="s">
        <v>19</v>
      </c>
      <c r="F160" s="70">
        <v>1000</v>
      </c>
      <c r="G160" s="70"/>
      <c r="H160" s="70" t="s">
        <v>180</v>
      </c>
      <c r="I160" s="70"/>
      <c r="J160" s="76">
        <f t="shared" si="4"/>
        <v>1000</v>
      </c>
      <c r="K160" s="191" t="s">
        <v>125</v>
      </c>
      <c r="L160" s="63"/>
      <c r="M160" s="65">
        <v>1000</v>
      </c>
      <c r="N160" s="158"/>
      <c r="O160" s="95"/>
      <c r="P160" s="18">
        <v>1E-3</v>
      </c>
      <c r="Q160" s="18">
        <v>2.3300000000000001E-2</v>
      </c>
      <c r="R160" s="18">
        <v>0.05</v>
      </c>
      <c r="S160" s="18">
        <v>0</v>
      </c>
      <c r="T160" s="26">
        <v>0</v>
      </c>
    </row>
    <row r="161" spans="1:20" x14ac:dyDescent="0.25">
      <c r="A161" s="81" t="s">
        <v>106</v>
      </c>
      <c r="B161" s="118" t="s">
        <v>97</v>
      </c>
      <c r="C161" s="45" t="s">
        <v>114</v>
      </c>
      <c r="D161" s="70" t="s">
        <v>98</v>
      </c>
      <c r="E161" s="72" t="s">
        <v>19</v>
      </c>
      <c r="F161" s="70">
        <v>600</v>
      </c>
      <c r="G161" s="70"/>
      <c r="H161" s="70" t="s">
        <v>180</v>
      </c>
      <c r="I161" s="70"/>
      <c r="J161" s="76">
        <f t="shared" si="4"/>
        <v>600</v>
      </c>
      <c r="K161" s="191" t="s">
        <v>129</v>
      </c>
      <c r="L161" s="63"/>
      <c r="M161" s="65">
        <v>600</v>
      </c>
      <c r="N161" s="158"/>
      <c r="O161" s="95"/>
      <c r="P161" s="18">
        <v>1E-3</v>
      </c>
      <c r="Q161" s="18">
        <v>0.02</v>
      </c>
      <c r="R161" s="18">
        <v>3.3300000000000003E-2</v>
      </c>
      <c r="S161" s="18">
        <v>0</v>
      </c>
      <c r="T161" s="26">
        <v>0</v>
      </c>
    </row>
    <row r="162" spans="1:20" x14ac:dyDescent="0.25">
      <c r="A162" s="81" t="s">
        <v>106</v>
      </c>
      <c r="B162" s="118" t="s">
        <v>97</v>
      </c>
      <c r="C162" s="45" t="s">
        <v>114</v>
      </c>
      <c r="D162" s="70" t="s">
        <v>98</v>
      </c>
      <c r="E162" s="72" t="s">
        <v>19</v>
      </c>
      <c r="F162" s="70">
        <v>400</v>
      </c>
      <c r="G162" s="70"/>
      <c r="H162" s="70"/>
      <c r="I162" s="70"/>
      <c r="J162" s="76">
        <f t="shared" si="4"/>
        <v>400</v>
      </c>
      <c r="K162" s="154" t="s">
        <v>129</v>
      </c>
      <c r="L162" s="63"/>
      <c r="M162" s="65">
        <v>400</v>
      </c>
      <c r="N162" s="158"/>
      <c r="O162" s="95"/>
      <c r="P162" s="18">
        <v>1E-3</v>
      </c>
      <c r="Q162" s="18">
        <v>0.02</v>
      </c>
      <c r="R162" s="18">
        <v>3.3300000000000003E-2</v>
      </c>
      <c r="S162" s="18">
        <v>0</v>
      </c>
      <c r="T162" s="26">
        <v>0</v>
      </c>
    </row>
    <row r="163" spans="1:20" x14ac:dyDescent="0.25">
      <c r="A163" s="81" t="s">
        <v>106</v>
      </c>
      <c r="B163" s="118" t="s">
        <v>97</v>
      </c>
      <c r="C163" s="45" t="s">
        <v>114</v>
      </c>
      <c r="D163" s="70" t="s">
        <v>98</v>
      </c>
      <c r="E163" s="72" t="s">
        <v>19</v>
      </c>
      <c r="F163" s="70">
        <v>1000</v>
      </c>
      <c r="G163" s="70"/>
      <c r="H163" s="70"/>
      <c r="I163" s="70"/>
      <c r="J163" s="76">
        <f t="shared" si="4"/>
        <v>1000</v>
      </c>
      <c r="K163" s="154" t="s">
        <v>132</v>
      </c>
      <c r="L163" s="63"/>
      <c r="M163" s="65">
        <v>1000</v>
      </c>
      <c r="N163" s="158"/>
      <c r="O163" s="95"/>
      <c r="P163" s="18">
        <v>0</v>
      </c>
      <c r="Q163" s="18">
        <v>1.66E-2</v>
      </c>
      <c r="R163" s="18">
        <v>3.3300000000000003E-2</v>
      </c>
      <c r="S163" s="18">
        <v>0</v>
      </c>
      <c r="T163" s="26">
        <v>0</v>
      </c>
    </row>
    <row r="164" spans="1:20" x14ac:dyDescent="0.25">
      <c r="A164" s="81" t="s">
        <v>185</v>
      </c>
      <c r="B164" s="118" t="s">
        <v>169</v>
      </c>
      <c r="C164" s="45" t="s">
        <v>183</v>
      </c>
      <c r="D164" s="70" t="s">
        <v>98</v>
      </c>
      <c r="E164" s="72" t="s">
        <v>19</v>
      </c>
      <c r="F164" s="70">
        <v>1000</v>
      </c>
      <c r="G164" s="70"/>
      <c r="H164" s="70"/>
      <c r="I164" s="70"/>
      <c r="J164" s="76">
        <f t="shared" si="4"/>
        <v>1000</v>
      </c>
      <c r="K164" s="154" t="s">
        <v>63</v>
      </c>
      <c r="L164" s="63"/>
      <c r="M164" s="65">
        <v>1000</v>
      </c>
      <c r="N164" s="158"/>
      <c r="O164" s="95"/>
      <c r="P164" s="18">
        <v>0</v>
      </c>
      <c r="Q164" s="18">
        <v>2.3300000000000001E-2</v>
      </c>
      <c r="R164" s="18">
        <v>7.0000000000000007E-2</v>
      </c>
      <c r="S164" s="18">
        <v>0</v>
      </c>
      <c r="T164" s="26">
        <v>0</v>
      </c>
    </row>
    <row r="165" spans="1:20" x14ac:dyDescent="0.25">
      <c r="A165" s="81" t="s">
        <v>185</v>
      </c>
      <c r="B165" s="118" t="s">
        <v>169</v>
      </c>
      <c r="C165" s="45" t="s">
        <v>183</v>
      </c>
      <c r="D165" s="70" t="s">
        <v>98</v>
      </c>
      <c r="E165" s="72" t="s">
        <v>19</v>
      </c>
      <c r="F165" s="70">
        <v>1000</v>
      </c>
      <c r="G165" s="70"/>
      <c r="H165" s="70"/>
      <c r="I165" s="70"/>
      <c r="J165" s="76">
        <f t="shared" si="4"/>
        <v>1000</v>
      </c>
      <c r="K165" s="154" t="s">
        <v>64</v>
      </c>
      <c r="L165" s="63"/>
      <c r="M165" s="65">
        <v>1000</v>
      </c>
      <c r="N165" s="158"/>
      <c r="O165" s="95"/>
      <c r="P165" s="18">
        <v>0</v>
      </c>
      <c r="Q165" s="18">
        <v>0.02</v>
      </c>
      <c r="R165" s="18">
        <v>9.5000000000000001E-2</v>
      </c>
      <c r="S165" s="18">
        <v>0</v>
      </c>
      <c r="T165" s="26">
        <v>0</v>
      </c>
    </row>
    <row r="166" spans="1:20" x14ac:dyDescent="0.25">
      <c r="A166" s="81" t="s">
        <v>185</v>
      </c>
      <c r="B166" s="118" t="s">
        <v>169</v>
      </c>
      <c r="C166" s="45" t="s">
        <v>183</v>
      </c>
      <c r="D166" s="70" t="s">
        <v>98</v>
      </c>
      <c r="E166" s="72" t="s">
        <v>19</v>
      </c>
      <c r="F166" s="70">
        <v>1000</v>
      </c>
      <c r="G166" s="70"/>
      <c r="H166" s="70"/>
      <c r="I166" s="70"/>
      <c r="J166" s="76">
        <f t="shared" si="4"/>
        <v>1000</v>
      </c>
      <c r="K166" s="154" t="s">
        <v>68</v>
      </c>
      <c r="L166" s="63"/>
      <c r="M166" s="65">
        <v>1000</v>
      </c>
      <c r="N166" s="158"/>
      <c r="O166" s="95"/>
      <c r="P166" s="18">
        <v>1E-3</v>
      </c>
      <c r="Q166" s="18">
        <v>0.02</v>
      </c>
      <c r="R166" s="18">
        <v>9.5000000000000001E-2</v>
      </c>
      <c r="S166" s="18">
        <v>0</v>
      </c>
      <c r="T166" s="26">
        <v>0</v>
      </c>
    </row>
    <row r="167" spans="1:20" x14ac:dyDescent="0.25">
      <c r="A167" s="81" t="s">
        <v>185</v>
      </c>
      <c r="B167" s="118" t="s">
        <v>169</v>
      </c>
      <c r="C167" s="45" t="s">
        <v>183</v>
      </c>
      <c r="D167" s="70" t="s">
        <v>98</v>
      </c>
      <c r="E167" s="72" t="s">
        <v>19</v>
      </c>
      <c r="F167" s="70">
        <v>1000</v>
      </c>
      <c r="G167" s="70"/>
      <c r="H167" s="70"/>
      <c r="I167" s="70"/>
      <c r="J167" s="76">
        <f t="shared" si="4"/>
        <v>1000</v>
      </c>
      <c r="K167" s="154" t="s">
        <v>69</v>
      </c>
      <c r="L167" s="63"/>
      <c r="M167" s="65">
        <v>1000</v>
      </c>
      <c r="N167" s="158"/>
      <c r="O167" s="95"/>
      <c r="P167" s="18">
        <v>1E-3</v>
      </c>
      <c r="Q167" s="18">
        <v>1.4999999999999999E-2</v>
      </c>
      <c r="R167" s="18">
        <v>8.5000000000000006E-2</v>
      </c>
      <c r="S167" s="18">
        <v>0</v>
      </c>
      <c r="T167" s="26">
        <v>0</v>
      </c>
    </row>
    <row r="168" spans="1:20" x14ac:dyDescent="0.25">
      <c r="A168" s="81" t="s">
        <v>185</v>
      </c>
      <c r="B168" s="118" t="s">
        <v>169</v>
      </c>
      <c r="C168" s="45" t="s">
        <v>183</v>
      </c>
      <c r="D168" s="70" t="s">
        <v>98</v>
      </c>
      <c r="E168" s="72" t="s">
        <v>19</v>
      </c>
      <c r="F168" s="70"/>
      <c r="G168" s="70"/>
      <c r="H168" s="70" t="s">
        <v>231</v>
      </c>
      <c r="I168" s="70"/>
      <c r="J168" s="76">
        <f t="shared" si="4"/>
        <v>0</v>
      </c>
      <c r="K168" s="154" t="s">
        <v>70</v>
      </c>
      <c r="L168" s="63"/>
      <c r="M168" s="65"/>
      <c r="N168" s="158"/>
      <c r="O168" s="95"/>
      <c r="P168" s="18">
        <v>1E-3</v>
      </c>
      <c r="Q168" s="18">
        <v>0.01</v>
      </c>
      <c r="R168" s="18">
        <v>6.5000000000000002E-2</v>
      </c>
      <c r="S168" s="18">
        <v>0</v>
      </c>
      <c r="T168" s="26">
        <v>0</v>
      </c>
    </row>
    <row r="169" spans="1:20" x14ac:dyDescent="0.25">
      <c r="A169" s="81" t="s">
        <v>196</v>
      </c>
      <c r="B169" s="118" t="s">
        <v>169</v>
      </c>
      <c r="C169" s="45" t="s">
        <v>183</v>
      </c>
      <c r="D169" s="70" t="s">
        <v>98</v>
      </c>
      <c r="E169" s="72" t="s">
        <v>19</v>
      </c>
      <c r="F169" s="70">
        <v>1000</v>
      </c>
      <c r="G169" s="70"/>
      <c r="H169" s="70"/>
      <c r="I169" s="70"/>
      <c r="J169" s="76">
        <f t="shared" si="4"/>
        <v>1000</v>
      </c>
      <c r="K169" s="154" t="s">
        <v>71</v>
      </c>
      <c r="L169" s="63"/>
      <c r="M169" s="65">
        <v>1000</v>
      </c>
      <c r="N169" s="158"/>
      <c r="O169" s="95"/>
      <c r="P169" s="18">
        <v>1E-3</v>
      </c>
      <c r="Q169" s="18">
        <v>1.4999999999999999E-2</v>
      </c>
      <c r="R169" s="18">
        <v>9.5000000000000001E-2</v>
      </c>
      <c r="S169" s="18">
        <v>0</v>
      </c>
      <c r="T169" s="26"/>
    </row>
    <row r="170" spans="1:20" x14ac:dyDescent="0.25">
      <c r="A170" s="81" t="s">
        <v>196</v>
      </c>
      <c r="B170" s="118" t="s">
        <v>169</v>
      </c>
      <c r="C170" s="45" t="s">
        <v>183</v>
      </c>
      <c r="D170" s="70" t="s">
        <v>98</v>
      </c>
      <c r="E170" s="72" t="s">
        <v>19</v>
      </c>
      <c r="F170" s="70">
        <v>1000</v>
      </c>
      <c r="G170" s="70"/>
      <c r="H170" s="70"/>
      <c r="I170" s="70"/>
      <c r="J170" s="76">
        <f t="shared" si="4"/>
        <v>1000</v>
      </c>
      <c r="K170" s="154" t="s">
        <v>72</v>
      </c>
      <c r="L170" s="63"/>
      <c r="M170" s="65">
        <v>1000</v>
      </c>
      <c r="N170" s="158"/>
      <c r="O170" s="95"/>
      <c r="P170" s="18">
        <v>1E-3</v>
      </c>
      <c r="Q170" s="18">
        <v>0.03</v>
      </c>
      <c r="R170" s="18">
        <v>0.1</v>
      </c>
      <c r="S170" s="18">
        <v>0</v>
      </c>
      <c r="T170" s="26"/>
    </row>
    <row r="171" spans="1:20" x14ac:dyDescent="0.25">
      <c r="A171" s="81" t="s">
        <v>196</v>
      </c>
      <c r="B171" s="118" t="s">
        <v>169</v>
      </c>
      <c r="C171" s="45" t="s">
        <v>183</v>
      </c>
      <c r="D171" s="70" t="s">
        <v>98</v>
      </c>
      <c r="E171" s="72" t="s">
        <v>19</v>
      </c>
      <c r="F171" s="70">
        <v>1000</v>
      </c>
      <c r="G171" s="70"/>
      <c r="I171" s="70"/>
      <c r="J171" s="76">
        <f t="shared" si="4"/>
        <v>1000</v>
      </c>
      <c r="K171" s="154" t="s">
        <v>73</v>
      </c>
      <c r="L171" s="63"/>
      <c r="M171" s="65">
        <v>1000</v>
      </c>
      <c r="N171" s="158"/>
      <c r="O171" s="95"/>
      <c r="P171" s="18">
        <v>3.0000000000000001E-3</v>
      </c>
      <c r="Q171" s="18">
        <v>3.5000000000000003E-2</v>
      </c>
      <c r="R171" s="18">
        <v>0.11</v>
      </c>
      <c r="S171" s="18">
        <v>0</v>
      </c>
      <c r="T171" s="26"/>
    </row>
    <row r="172" spans="1:20" x14ac:dyDescent="0.25">
      <c r="A172" s="81" t="s">
        <v>196</v>
      </c>
      <c r="B172" s="118" t="s">
        <v>169</v>
      </c>
      <c r="C172" s="45" t="s">
        <v>183</v>
      </c>
      <c r="D172" s="70" t="s">
        <v>98</v>
      </c>
      <c r="E172" s="72" t="s">
        <v>19</v>
      </c>
      <c r="F172" s="70">
        <v>1000</v>
      </c>
      <c r="G172" s="70"/>
      <c r="H172" s="70"/>
      <c r="I172" s="70"/>
      <c r="J172" s="76">
        <f t="shared" si="4"/>
        <v>1000</v>
      </c>
      <c r="K172" s="154" t="s">
        <v>92</v>
      </c>
      <c r="L172" s="63"/>
      <c r="M172" s="65">
        <v>1000</v>
      </c>
      <c r="N172" s="158"/>
      <c r="O172" s="95"/>
      <c r="P172" s="18">
        <v>3.0000000000000001E-3</v>
      </c>
      <c r="Q172" s="18">
        <v>3.6600000000000001E-2</v>
      </c>
      <c r="R172" s="18">
        <v>0.113</v>
      </c>
      <c r="S172" s="18">
        <v>0</v>
      </c>
      <c r="T172" s="26"/>
    </row>
    <row r="173" spans="1:20" x14ac:dyDescent="0.25">
      <c r="A173" s="81"/>
      <c r="B173" s="118"/>
      <c r="C173" s="45"/>
      <c r="D173" s="70"/>
      <c r="E173" s="72"/>
      <c r="F173" s="70"/>
      <c r="G173" s="70"/>
      <c r="H173" s="70"/>
      <c r="I173" s="70"/>
      <c r="J173" s="76">
        <f t="shared" si="4"/>
        <v>0</v>
      </c>
      <c r="K173" s="154"/>
      <c r="L173" s="63"/>
      <c r="M173" s="65"/>
      <c r="N173" s="158"/>
      <c r="O173" s="95"/>
      <c r="P173" s="18"/>
      <c r="Q173" s="18"/>
      <c r="R173" s="18"/>
      <c r="S173" s="18"/>
      <c r="T173" s="26"/>
    </row>
    <row r="174" spans="1:20" x14ac:dyDescent="0.25">
      <c r="A174" s="81" t="s">
        <v>196</v>
      </c>
      <c r="B174" s="118" t="s">
        <v>169</v>
      </c>
      <c r="C174" s="45" t="s">
        <v>197</v>
      </c>
      <c r="D174" s="70" t="s">
        <v>98</v>
      </c>
      <c r="E174" s="72" t="s">
        <v>19</v>
      </c>
      <c r="F174" s="70">
        <v>1000</v>
      </c>
      <c r="G174" s="70"/>
      <c r="H174" s="70"/>
      <c r="I174" s="70"/>
      <c r="J174" s="76">
        <f t="shared" si="4"/>
        <v>1000</v>
      </c>
      <c r="K174" s="154" t="s">
        <v>188</v>
      </c>
      <c r="L174" s="63"/>
      <c r="M174" s="65">
        <v>1000</v>
      </c>
      <c r="N174" s="158"/>
      <c r="O174" s="95"/>
      <c r="P174" s="18">
        <v>8.9999999999999993E-3</v>
      </c>
      <c r="Q174" s="18">
        <v>6.3299999999999995E-2</v>
      </c>
      <c r="R174" s="18">
        <v>0.14000000000000001</v>
      </c>
      <c r="S174" s="18"/>
      <c r="T174" s="26"/>
    </row>
    <row r="175" spans="1:20" x14ac:dyDescent="0.25">
      <c r="A175" s="81" t="s">
        <v>196</v>
      </c>
      <c r="B175" s="118" t="s">
        <v>169</v>
      </c>
      <c r="C175" s="45" t="s">
        <v>197</v>
      </c>
      <c r="D175" s="70" t="s">
        <v>98</v>
      </c>
      <c r="E175" s="72" t="s">
        <v>19</v>
      </c>
      <c r="F175" s="70">
        <v>1000</v>
      </c>
      <c r="G175" s="70"/>
      <c r="H175" s="70"/>
      <c r="I175" s="70"/>
      <c r="J175" s="76">
        <f t="shared" si="4"/>
        <v>1000</v>
      </c>
      <c r="K175" s="154" t="s">
        <v>189</v>
      </c>
      <c r="L175" s="63"/>
      <c r="M175" s="65">
        <v>1000</v>
      </c>
      <c r="N175" s="158"/>
      <c r="O175" s="95"/>
      <c r="P175" s="18">
        <v>8.0000000000000002E-3</v>
      </c>
      <c r="Q175" s="18">
        <v>0.05</v>
      </c>
      <c r="R175" s="18">
        <v>0.23</v>
      </c>
      <c r="S175" s="18"/>
      <c r="T175" s="26"/>
    </row>
    <row r="176" spans="1:20" x14ac:dyDescent="0.25">
      <c r="A176" s="81" t="s">
        <v>196</v>
      </c>
      <c r="B176" s="118" t="s">
        <v>169</v>
      </c>
      <c r="C176" s="45" t="s">
        <v>197</v>
      </c>
      <c r="D176" s="70" t="s">
        <v>98</v>
      </c>
      <c r="E176" s="72" t="s">
        <v>19</v>
      </c>
      <c r="F176" s="70">
        <v>1000</v>
      </c>
      <c r="G176" s="70"/>
      <c r="H176" s="70"/>
      <c r="I176" s="70"/>
      <c r="J176" s="76">
        <f t="shared" si="4"/>
        <v>1000</v>
      </c>
      <c r="K176" s="154" t="s">
        <v>83</v>
      </c>
      <c r="L176" s="63"/>
      <c r="M176" s="65">
        <v>1000</v>
      </c>
      <c r="N176" s="158"/>
      <c r="O176" s="95"/>
      <c r="P176" s="18">
        <v>5.0000000000000001E-3</v>
      </c>
      <c r="Q176" s="18">
        <v>5.6599999999999998E-2</v>
      </c>
      <c r="R176" s="18">
        <v>0.13</v>
      </c>
      <c r="S176" s="18"/>
      <c r="T176" s="26"/>
    </row>
    <row r="177" spans="1:20" x14ac:dyDescent="0.25">
      <c r="A177" s="81" t="s">
        <v>196</v>
      </c>
      <c r="B177" s="118" t="s">
        <v>169</v>
      </c>
      <c r="C177" s="45" t="s">
        <v>197</v>
      </c>
      <c r="D177" s="70" t="s">
        <v>98</v>
      </c>
      <c r="E177" s="72" t="s">
        <v>19</v>
      </c>
      <c r="F177" s="70">
        <v>1000</v>
      </c>
      <c r="G177" s="70"/>
      <c r="H177" s="70"/>
      <c r="I177" s="70"/>
      <c r="J177" s="76">
        <f t="shared" si="4"/>
        <v>1000</v>
      </c>
      <c r="K177" s="154" t="s">
        <v>190</v>
      </c>
      <c r="L177" s="63"/>
      <c r="M177" s="65">
        <v>1000</v>
      </c>
      <c r="N177" s="158"/>
      <c r="O177" s="95"/>
      <c r="P177" s="18">
        <v>7.0000000000000001E-3</v>
      </c>
      <c r="Q177" s="18">
        <v>0.05</v>
      </c>
      <c r="R177" s="18">
        <v>0.17660000000000001</v>
      </c>
      <c r="S177" s="18"/>
      <c r="T177" s="26"/>
    </row>
    <row r="178" spans="1:20" x14ac:dyDescent="0.25">
      <c r="A178" s="81" t="s">
        <v>198</v>
      </c>
      <c r="B178" s="118" t="s">
        <v>169</v>
      </c>
      <c r="C178" s="45" t="s">
        <v>197</v>
      </c>
      <c r="D178" s="70" t="s">
        <v>98</v>
      </c>
      <c r="E178" s="72" t="s">
        <v>19</v>
      </c>
      <c r="F178" s="70">
        <v>1000</v>
      </c>
      <c r="G178" s="70"/>
      <c r="H178" s="70"/>
      <c r="I178" s="70"/>
      <c r="J178" s="76">
        <f t="shared" si="4"/>
        <v>1000</v>
      </c>
      <c r="K178" s="154" t="s">
        <v>84</v>
      </c>
      <c r="L178" s="63"/>
      <c r="M178" s="65">
        <v>1000</v>
      </c>
      <c r="N178" s="158"/>
      <c r="O178" s="95"/>
      <c r="P178" s="18">
        <v>0.01</v>
      </c>
      <c r="Q178" s="18">
        <v>5.33E-2</v>
      </c>
      <c r="R178" s="18">
        <v>0.15329999999999999</v>
      </c>
      <c r="S178" s="18"/>
      <c r="T178" s="26"/>
    </row>
    <row r="179" spans="1:20" x14ac:dyDescent="0.25">
      <c r="A179" s="81" t="s">
        <v>198</v>
      </c>
      <c r="B179" s="118" t="s">
        <v>169</v>
      </c>
      <c r="C179" s="45" t="s">
        <v>197</v>
      </c>
      <c r="D179" s="70" t="s">
        <v>98</v>
      </c>
      <c r="E179" s="72" t="s">
        <v>19</v>
      </c>
      <c r="F179" s="70">
        <v>1000</v>
      </c>
      <c r="G179" s="70"/>
      <c r="H179" s="70"/>
      <c r="I179" s="70"/>
      <c r="J179" s="76">
        <f t="shared" si="4"/>
        <v>1000</v>
      </c>
      <c r="K179" s="154" t="s">
        <v>85</v>
      </c>
      <c r="L179" s="63"/>
      <c r="M179" s="65">
        <v>1000</v>
      </c>
      <c r="N179" s="158"/>
      <c r="O179" s="95"/>
      <c r="P179" s="18">
        <v>5.0000000000000001E-3</v>
      </c>
      <c r="Q179" s="18">
        <v>7.3300000000000004E-2</v>
      </c>
      <c r="R179" s="18">
        <v>0.15659999999999999</v>
      </c>
      <c r="S179" s="18"/>
      <c r="T179" s="26"/>
    </row>
    <row r="180" spans="1:20" x14ac:dyDescent="0.25">
      <c r="A180" s="81" t="s">
        <v>198</v>
      </c>
      <c r="B180" s="118" t="s">
        <v>169</v>
      </c>
      <c r="C180" s="45" t="s">
        <v>197</v>
      </c>
      <c r="D180" s="70" t="s">
        <v>98</v>
      </c>
      <c r="E180" s="72" t="s">
        <v>19</v>
      </c>
      <c r="F180" s="70">
        <v>1000</v>
      </c>
      <c r="G180" s="70"/>
      <c r="H180" s="70"/>
      <c r="I180" s="70"/>
      <c r="J180" s="76">
        <f t="shared" si="4"/>
        <v>1000</v>
      </c>
      <c r="K180" s="154" t="s">
        <v>86</v>
      </c>
      <c r="L180" s="63"/>
      <c r="M180" s="65">
        <v>1000</v>
      </c>
      <c r="N180" s="158"/>
      <c r="O180" s="95"/>
      <c r="P180" s="18">
        <v>0.01</v>
      </c>
      <c r="Q180" s="18">
        <v>6.6600000000000006E-2</v>
      </c>
      <c r="R180" s="18">
        <v>0.13</v>
      </c>
      <c r="S180" s="18"/>
      <c r="T180" s="26"/>
    </row>
    <row r="181" spans="1:20" x14ac:dyDescent="0.25">
      <c r="A181" s="81" t="s">
        <v>198</v>
      </c>
      <c r="B181" s="118" t="s">
        <v>169</v>
      </c>
      <c r="C181" s="45" t="s">
        <v>197</v>
      </c>
      <c r="D181" s="70" t="s">
        <v>98</v>
      </c>
      <c r="E181" s="72" t="s">
        <v>19</v>
      </c>
      <c r="F181" s="70">
        <v>1000</v>
      </c>
      <c r="G181" s="70"/>
      <c r="H181" s="70"/>
      <c r="I181" s="70"/>
      <c r="J181" s="76">
        <f t="shared" si="4"/>
        <v>1000</v>
      </c>
      <c r="K181" s="154" t="s">
        <v>87</v>
      </c>
      <c r="L181" s="63"/>
      <c r="M181" s="65">
        <v>1000</v>
      </c>
      <c r="N181" s="158"/>
      <c r="O181" s="95"/>
      <c r="P181" s="18">
        <v>8.9999999999999993E-3</v>
      </c>
      <c r="Q181" s="18">
        <v>7.3300000000000004E-2</v>
      </c>
      <c r="R181" s="18">
        <v>0.15</v>
      </c>
      <c r="S181" s="18"/>
      <c r="T181" s="26"/>
    </row>
    <row r="182" spans="1:20" x14ac:dyDescent="0.25">
      <c r="A182" s="81" t="s">
        <v>217</v>
      </c>
      <c r="B182" s="118" t="s">
        <v>169</v>
      </c>
      <c r="C182" s="45" t="s">
        <v>197</v>
      </c>
      <c r="D182" s="70" t="s">
        <v>98</v>
      </c>
      <c r="E182" s="72" t="s">
        <v>19</v>
      </c>
      <c r="F182" s="70">
        <v>1000</v>
      </c>
      <c r="G182" s="70"/>
      <c r="H182" s="70"/>
      <c r="I182" s="70"/>
      <c r="J182" s="76">
        <f>F182-G182</f>
        <v>1000</v>
      </c>
      <c r="K182" s="154" t="s">
        <v>88</v>
      </c>
      <c r="L182" s="63"/>
      <c r="M182" s="65">
        <v>1000</v>
      </c>
      <c r="N182" s="158"/>
      <c r="O182" s="95"/>
      <c r="P182" s="18">
        <v>1.7000000000000001E-2</v>
      </c>
      <c r="Q182" s="18">
        <v>6.6600000000000006E-2</v>
      </c>
      <c r="R182" s="18">
        <v>0.1966</v>
      </c>
      <c r="S182" s="18"/>
      <c r="T182" s="26"/>
    </row>
    <row r="183" spans="1:20" x14ac:dyDescent="0.25">
      <c r="A183" s="81" t="s">
        <v>217</v>
      </c>
      <c r="B183" s="118" t="s">
        <v>169</v>
      </c>
      <c r="C183" s="45" t="s">
        <v>197</v>
      </c>
      <c r="D183" s="70" t="s">
        <v>98</v>
      </c>
      <c r="E183" s="72" t="s">
        <v>19</v>
      </c>
      <c r="F183" s="70">
        <v>1000</v>
      </c>
      <c r="G183" s="70"/>
      <c r="H183" s="70"/>
      <c r="I183" s="70"/>
      <c r="J183" s="76">
        <f t="shared" ref="J183:J199" si="5">F183-G183</f>
        <v>1000</v>
      </c>
      <c r="K183" s="154" t="s">
        <v>218</v>
      </c>
      <c r="L183" s="63"/>
      <c r="M183" s="65">
        <v>1000</v>
      </c>
      <c r="N183" s="158"/>
      <c r="O183" s="95"/>
      <c r="P183" s="18">
        <v>1.0999999999999999E-2</v>
      </c>
      <c r="Q183" s="18">
        <v>7.0000000000000007E-2</v>
      </c>
      <c r="R183" s="18">
        <v>0.1333</v>
      </c>
      <c r="S183" s="18"/>
      <c r="T183" s="26"/>
    </row>
    <row r="184" spans="1:20" x14ac:dyDescent="0.25">
      <c r="A184" s="81" t="s">
        <v>217</v>
      </c>
      <c r="B184" s="118" t="s">
        <v>169</v>
      </c>
      <c r="C184" s="45" t="s">
        <v>197</v>
      </c>
      <c r="D184" s="70" t="s">
        <v>98</v>
      </c>
      <c r="E184" s="72" t="s">
        <v>19</v>
      </c>
      <c r="F184" s="70">
        <v>1000</v>
      </c>
      <c r="G184" s="70"/>
      <c r="H184" s="70"/>
      <c r="I184" s="70"/>
      <c r="J184" s="76">
        <f t="shared" si="5"/>
        <v>1000</v>
      </c>
      <c r="K184" s="154" t="s">
        <v>89</v>
      </c>
      <c r="L184" s="63"/>
      <c r="M184" s="65">
        <v>1000</v>
      </c>
      <c r="N184" s="158"/>
      <c r="O184" s="95"/>
      <c r="P184" s="18">
        <v>1.2E-2</v>
      </c>
      <c r="Q184" s="18">
        <v>7.3300000000000004E-2</v>
      </c>
      <c r="R184" s="18">
        <v>8.6599999999999996E-2</v>
      </c>
      <c r="S184" s="18"/>
      <c r="T184" s="26"/>
    </row>
    <row r="185" spans="1:20" x14ac:dyDescent="0.25">
      <c r="A185" s="81" t="s">
        <v>217</v>
      </c>
      <c r="B185" s="118" t="s">
        <v>169</v>
      </c>
      <c r="C185" s="45" t="s">
        <v>197</v>
      </c>
      <c r="D185" s="70" t="s">
        <v>98</v>
      </c>
      <c r="E185" s="72" t="s">
        <v>19</v>
      </c>
      <c r="F185" s="70">
        <v>1000</v>
      </c>
      <c r="G185" s="70"/>
      <c r="H185" s="70"/>
      <c r="I185" s="70"/>
      <c r="J185" s="76">
        <f t="shared" si="5"/>
        <v>1000</v>
      </c>
      <c r="K185" s="154" t="s">
        <v>90</v>
      </c>
      <c r="L185" s="63"/>
      <c r="M185" s="65">
        <v>1000</v>
      </c>
      <c r="N185" s="158"/>
      <c r="O185" s="95"/>
      <c r="P185" s="18">
        <v>1.4999999999999999E-2</v>
      </c>
      <c r="Q185" s="18">
        <v>0.08</v>
      </c>
      <c r="R185" s="18">
        <v>7.3300000000000004E-2</v>
      </c>
      <c r="S185" s="18"/>
      <c r="T185" s="26"/>
    </row>
    <row r="186" spans="1:20" x14ac:dyDescent="0.25">
      <c r="A186" s="81" t="s">
        <v>217</v>
      </c>
      <c r="B186" s="118" t="s">
        <v>169</v>
      </c>
      <c r="C186" s="45" t="s">
        <v>197</v>
      </c>
      <c r="D186" s="70" t="s">
        <v>98</v>
      </c>
      <c r="E186" s="72" t="s">
        <v>19</v>
      </c>
      <c r="F186" s="70">
        <v>1000</v>
      </c>
      <c r="G186" s="70"/>
      <c r="H186" s="70"/>
      <c r="I186" s="70"/>
      <c r="J186" s="76">
        <f t="shared" si="5"/>
        <v>1000</v>
      </c>
      <c r="K186" s="154" t="s">
        <v>91</v>
      </c>
      <c r="L186" s="63"/>
      <c r="M186" s="65">
        <v>1000</v>
      </c>
      <c r="N186" s="158"/>
      <c r="O186" s="95"/>
      <c r="P186" s="18">
        <v>1.2999999999999999E-2</v>
      </c>
      <c r="Q186" s="18">
        <v>6.6600000000000006E-2</v>
      </c>
      <c r="R186" s="18">
        <v>8.3299999999999999E-2</v>
      </c>
      <c r="S186" s="18"/>
      <c r="T186" s="26"/>
    </row>
    <row r="187" spans="1:20" x14ac:dyDescent="0.25">
      <c r="A187" s="81" t="s">
        <v>217</v>
      </c>
      <c r="B187" s="118" t="s">
        <v>169</v>
      </c>
      <c r="C187" s="45" t="s">
        <v>197</v>
      </c>
      <c r="D187" s="70" t="s">
        <v>98</v>
      </c>
      <c r="E187" s="72" t="s">
        <v>19</v>
      </c>
      <c r="F187" s="70">
        <v>1000</v>
      </c>
      <c r="G187" s="70"/>
      <c r="H187" s="70"/>
      <c r="I187" s="70"/>
      <c r="J187" s="76">
        <f t="shared" si="5"/>
        <v>1000</v>
      </c>
      <c r="K187" s="154" t="s">
        <v>107</v>
      </c>
      <c r="L187" s="63"/>
      <c r="M187" s="65">
        <v>1000</v>
      </c>
      <c r="N187" s="158"/>
      <c r="O187" s="95"/>
      <c r="P187" s="18">
        <v>8.9999999999999993E-3</v>
      </c>
      <c r="Q187" s="18">
        <v>4.6600000000000003E-2</v>
      </c>
      <c r="R187" s="18">
        <v>0.15329999999999999</v>
      </c>
      <c r="S187" s="18"/>
      <c r="T187" s="26"/>
    </row>
    <row r="188" spans="1:20" x14ac:dyDescent="0.25">
      <c r="A188" s="81" t="s">
        <v>217</v>
      </c>
      <c r="B188" s="118" t="s">
        <v>169</v>
      </c>
      <c r="C188" s="45" t="s">
        <v>197</v>
      </c>
      <c r="D188" s="70" t="s">
        <v>98</v>
      </c>
      <c r="E188" s="72" t="s">
        <v>19</v>
      </c>
      <c r="F188" s="70">
        <v>1000</v>
      </c>
      <c r="G188" s="70"/>
      <c r="H188" s="70"/>
      <c r="I188" s="70"/>
      <c r="J188" s="76">
        <f t="shared" si="5"/>
        <v>1000</v>
      </c>
      <c r="K188" s="154" t="s">
        <v>108</v>
      </c>
      <c r="L188" s="63"/>
      <c r="M188" s="65">
        <v>1000</v>
      </c>
      <c r="N188" s="158"/>
      <c r="O188" s="95"/>
      <c r="P188" s="18">
        <v>6.0000000000000001E-3</v>
      </c>
      <c r="Q188" s="18">
        <v>5.6599999999999998E-2</v>
      </c>
      <c r="R188" s="18">
        <v>0.1133</v>
      </c>
      <c r="S188" s="18"/>
      <c r="T188" s="26"/>
    </row>
    <row r="189" spans="1:20" x14ac:dyDescent="0.25">
      <c r="A189" s="81" t="s">
        <v>217</v>
      </c>
      <c r="B189" s="118" t="s">
        <v>169</v>
      </c>
      <c r="C189" s="45" t="s">
        <v>197</v>
      </c>
      <c r="D189" s="70" t="s">
        <v>98</v>
      </c>
      <c r="E189" s="72" t="s">
        <v>19</v>
      </c>
      <c r="F189" s="70">
        <v>1000</v>
      </c>
      <c r="G189" s="70"/>
      <c r="H189" s="70"/>
      <c r="I189" s="70"/>
      <c r="J189" s="76">
        <f t="shared" si="5"/>
        <v>1000</v>
      </c>
      <c r="K189" s="154" t="s">
        <v>220</v>
      </c>
      <c r="L189" s="63"/>
      <c r="M189" s="65">
        <v>1000</v>
      </c>
      <c r="N189" s="158"/>
      <c r="O189" s="95"/>
      <c r="P189" s="18">
        <v>4.0000000000000001E-3</v>
      </c>
      <c r="Q189" s="18">
        <v>3.6600000000000001E-2</v>
      </c>
      <c r="R189" s="18">
        <v>9.6600000000000005E-2</v>
      </c>
      <c r="S189" s="18"/>
      <c r="T189" s="26"/>
    </row>
    <row r="190" spans="1:20" x14ac:dyDescent="0.25">
      <c r="A190" s="81" t="s">
        <v>217</v>
      </c>
      <c r="B190" s="118" t="s">
        <v>169</v>
      </c>
      <c r="C190" s="45" t="s">
        <v>197</v>
      </c>
      <c r="D190" s="70" t="s">
        <v>98</v>
      </c>
      <c r="E190" s="72" t="s">
        <v>19</v>
      </c>
      <c r="F190" s="70">
        <v>1000</v>
      </c>
      <c r="G190" s="70"/>
      <c r="H190" s="70"/>
      <c r="I190" s="70"/>
      <c r="J190" s="76">
        <f t="shared" si="5"/>
        <v>1000</v>
      </c>
      <c r="K190" s="154" t="s">
        <v>109</v>
      </c>
      <c r="L190" s="63"/>
      <c r="M190" s="65">
        <v>1000</v>
      </c>
      <c r="N190" s="158"/>
      <c r="O190" s="95"/>
      <c r="P190" s="18">
        <v>8.9999999999999993E-3</v>
      </c>
      <c r="Q190" s="18">
        <v>6.3299999999999995E-2</v>
      </c>
      <c r="R190" s="18">
        <v>8.6599999999999996E-2</v>
      </c>
      <c r="S190" s="18"/>
      <c r="T190" s="26"/>
    </row>
    <row r="191" spans="1:20" x14ac:dyDescent="0.25">
      <c r="A191" s="81" t="s">
        <v>222</v>
      </c>
      <c r="B191" s="118" t="s">
        <v>169</v>
      </c>
      <c r="C191" s="45" t="s">
        <v>197</v>
      </c>
      <c r="D191" s="70" t="s">
        <v>98</v>
      </c>
      <c r="E191" s="72" t="s">
        <v>19</v>
      </c>
      <c r="F191" s="70">
        <v>1000</v>
      </c>
      <c r="G191" s="70"/>
      <c r="H191" s="70"/>
      <c r="I191" s="70"/>
      <c r="J191" s="76">
        <f t="shared" si="5"/>
        <v>1000</v>
      </c>
      <c r="K191" s="154" t="s">
        <v>110</v>
      </c>
      <c r="L191" s="63"/>
      <c r="M191" s="65">
        <v>1000</v>
      </c>
      <c r="N191" s="158"/>
      <c r="O191" s="95"/>
      <c r="P191" s="18">
        <v>0.01</v>
      </c>
      <c r="Q191" s="18">
        <v>5.6599999999999998E-2</v>
      </c>
      <c r="R191" s="18">
        <v>0.09</v>
      </c>
      <c r="S191" s="18"/>
      <c r="T191" s="26"/>
    </row>
    <row r="192" spans="1:20" x14ac:dyDescent="0.25">
      <c r="A192" s="81" t="s">
        <v>222</v>
      </c>
      <c r="B192" s="118" t="s">
        <v>169</v>
      </c>
      <c r="C192" s="45" t="s">
        <v>197</v>
      </c>
      <c r="D192" s="70" t="s">
        <v>98</v>
      </c>
      <c r="E192" s="72" t="s">
        <v>19</v>
      </c>
      <c r="F192" s="70">
        <v>1000</v>
      </c>
      <c r="G192" s="70"/>
      <c r="H192" s="70"/>
      <c r="I192" s="70"/>
      <c r="J192" s="76">
        <f t="shared" si="5"/>
        <v>1000</v>
      </c>
      <c r="K192" s="154" t="s">
        <v>156</v>
      </c>
      <c r="L192" s="63"/>
      <c r="M192" s="65">
        <v>1000</v>
      </c>
      <c r="N192" s="158"/>
      <c r="O192" s="95"/>
      <c r="P192" s="18">
        <v>8.0000000000000002E-3</v>
      </c>
      <c r="Q192" s="18">
        <v>6.6600000000000006E-2</v>
      </c>
      <c r="R192" s="18">
        <v>8.6599999999999996E-2</v>
      </c>
      <c r="S192" s="18"/>
      <c r="T192" s="26"/>
    </row>
    <row r="193" spans="1:20" x14ac:dyDescent="0.25">
      <c r="A193" s="81" t="s">
        <v>222</v>
      </c>
      <c r="B193" s="118" t="s">
        <v>169</v>
      </c>
      <c r="C193" s="45" t="s">
        <v>197</v>
      </c>
      <c r="D193" s="70" t="s">
        <v>98</v>
      </c>
      <c r="E193" s="72" t="s">
        <v>19</v>
      </c>
      <c r="F193" s="70">
        <v>1000</v>
      </c>
      <c r="G193" s="70"/>
      <c r="H193" s="70"/>
      <c r="I193" s="70"/>
      <c r="J193" s="76">
        <f t="shared" si="5"/>
        <v>1000</v>
      </c>
      <c r="K193" s="154" t="s">
        <v>111</v>
      </c>
      <c r="L193" s="63">
        <v>1000</v>
      </c>
      <c r="M193" s="65"/>
      <c r="N193" s="158"/>
      <c r="O193" s="95"/>
      <c r="P193" s="18">
        <v>8.0000000000000002E-3</v>
      </c>
      <c r="Q193" s="18">
        <v>5.6599999999999998E-2</v>
      </c>
      <c r="R193" s="18">
        <v>0.1133</v>
      </c>
      <c r="S193" s="18"/>
      <c r="T193" s="26"/>
    </row>
    <row r="194" spans="1:20" x14ac:dyDescent="0.25">
      <c r="A194" s="81" t="s">
        <v>222</v>
      </c>
      <c r="B194" s="118" t="s">
        <v>169</v>
      </c>
      <c r="C194" s="45" t="s">
        <v>197</v>
      </c>
      <c r="D194" s="70" t="s">
        <v>98</v>
      </c>
      <c r="E194" s="72" t="s">
        <v>19</v>
      </c>
      <c r="F194" s="70">
        <v>1000</v>
      </c>
      <c r="G194" s="70"/>
      <c r="H194" s="70"/>
      <c r="I194" s="70"/>
      <c r="J194" s="76">
        <f t="shared" si="5"/>
        <v>1000</v>
      </c>
      <c r="K194" s="154" t="s">
        <v>112</v>
      </c>
      <c r="L194" s="63">
        <v>1000</v>
      </c>
      <c r="M194" s="65"/>
      <c r="N194" s="158"/>
      <c r="O194" s="95"/>
      <c r="P194" s="18">
        <v>7.0000000000000001E-3</v>
      </c>
      <c r="Q194" s="18">
        <v>5.33E-2</v>
      </c>
      <c r="R194" s="18">
        <v>0.12330000000000001</v>
      </c>
      <c r="S194" s="18"/>
      <c r="T194" s="26"/>
    </row>
    <row r="195" spans="1:20" x14ac:dyDescent="0.25">
      <c r="A195" s="81" t="s">
        <v>222</v>
      </c>
      <c r="B195" s="118" t="s">
        <v>169</v>
      </c>
      <c r="C195" s="45" t="s">
        <v>197</v>
      </c>
      <c r="D195" s="70" t="s">
        <v>98</v>
      </c>
      <c r="E195" s="72" t="s">
        <v>19</v>
      </c>
      <c r="F195" s="70">
        <v>1000</v>
      </c>
      <c r="G195" s="70"/>
      <c r="H195" s="70"/>
      <c r="I195" s="70"/>
      <c r="J195" s="76">
        <f t="shared" si="5"/>
        <v>1000</v>
      </c>
      <c r="K195" s="154" t="s">
        <v>193</v>
      </c>
      <c r="L195" s="63">
        <v>1000</v>
      </c>
      <c r="M195" s="65"/>
      <c r="N195" s="158"/>
      <c r="O195" s="95"/>
      <c r="P195" s="18">
        <v>1.6E-2</v>
      </c>
      <c r="Q195" s="18">
        <v>0.08</v>
      </c>
      <c r="R195" s="18">
        <v>0.17330000000000001</v>
      </c>
      <c r="S195" s="18"/>
      <c r="T195" s="26"/>
    </row>
    <row r="196" spans="1:20" x14ac:dyDescent="0.25">
      <c r="A196" s="81" t="s">
        <v>222</v>
      </c>
      <c r="B196" s="118" t="s">
        <v>169</v>
      </c>
      <c r="C196" s="45" t="s">
        <v>197</v>
      </c>
      <c r="D196" s="70" t="s">
        <v>98</v>
      </c>
      <c r="E196" s="72" t="s">
        <v>19</v>
      </c>
      <c r="F196" s="70">
        <v>1000</v>
      </c>
      <c r="G196" s="70"/>
      <c r="H196" s="70"/>
      <c r="I196" s="70"/>
      <c r="J196" s="76">
        <f t="shared" si="5"/>
        <v>1000</v>
      </c>
      <c r="K196" s="154" t="s">
        <v>194</v>
      </c>
      <c r="L196" s="63">
        <v>1000</v>
      </c>
      <c r="M196" s="65"/>
      <c r="N196" s="158"/>
      <c r="O196" s="95"/>
      <c r="P196" s="18">
        <v>1.4E-2</v>
      </c>
      <c r="Q196" s="18">
        <v>6.6600000000000006E-2</v>
      </c>
      <c r="R196" s="18">
        <v>0.1366</v>
      </c>
      <c r="S196" s="18"/>
      <c r="T196" s="26"/>
    </row>
    <row r="197" spans="1:20" x14ac:dyDescent="0.25">
      <c r="A197" s="81" t="s">
        <v>222</v>
      </c>
      <c r="B197" s="118" t="s">
        <v>169</v>
      </c>
      <c r="C197" s="45" t="s">
        <v>197</v>
      </c>
      <c r="D197" s="70" t="s">
        <v>98</v>
      </c>
      <c r="E197" s="72" t="s">
        <v>19</v>
      </c>
      <c r="F197" s="70">
        <v>1000</v>
      </c>
      <c r="G197" s="70"/>
      <c r="H197" s="70"/>
      <c r="I197" s="70"/>
      <c r="J197" s="76">
        <f t="shared" si="5"/>
        <v>1000</v>
      </c>
      <c r="K197" s="154" t="s">
        <v>122</v>
      </c>
      <c r="L197" s="63">
        <v>1000</v>
      </c>
      <c r="M197" s="65"/>
      <c r="N197" s="158"/>
      <c r="O197" s="95"/>
      <c r="P197" s="18">
        <v>1.2E-2</v>
      </c>
      <c r="Q197" s="18">
        <v>0.08</v>
      </c>
      <c r="R197" s="18">
        <v>0.15659999999999999</v>
      </c>
      <c r="S197" s="18"/>
      <c r="T197" s="26"/>
    </row>
    <row r="198" spans="1:20" x14ac:dyDescent="0.25">
      <c r="A198" s="81" t="s">
        <v>222</v>
      </c>
      <c r="B198" s="118" t="s">
        <v>169</v>
      </c>
      <c r="C198" s="45" t="s">
        <v>197</v>
      </c>
      <c r="D198" s="70" t="s">
        <v>98</v>
      </c>
      <c r="E198" s="72" t="s">
        <v>19</v>
      </c>
      <c r="F198" s="70">
        <v>1000</v>
      </c>
      <c r="G198" s="70"/>
      <c r="H198" s="70"/>
      <c r="I198" s="70"/>
      <c r="J198" s="76">
        <f t="shared" si="5"/>
        <v>1000</v>
      </c>
      <c r="K198" s="154" t="s">
        <v>195</v>
      </c>
      <c r="L198" s="63">
        <v>1000</v>
      </c>
      <c r="M198" s="65"/>
      <c r="N198" s="158"/>
      <c r="O198" s="95"/>
      <c r="P198" s="18">
        <v>0.01</v>
      </c>
      <c r="Q198" s="18">
        <v>7.3300000000000004E-2</v>
      </c>
      <c r="R198" s="18">
        <v>0.12330000000000001</v>
      </c>
      <c r="S198" s="18"/>
      <c r="T198" s="26"/>
    </row>
    <row r="199" spans="1:20" x14ac:dyDescent="0.25">
      <c r="A199" s="81" t="s">
        <v>222</v>
      </c>
      <c r="B199" s="118" t="s">
        <v>169</v>
      </c>
      <c r="C199" s="45" t="s">
        <v>197</v>
      </c>
      <c r="D199" s="70" t="s">
        <v>98</v>
      </c>
      <c r="E199" s="72" t="s">
        <v>19</v>
      </c>
      <c r="F199" s="70">
        <v>1000</v>
      </c>
      <c r="G199" s="70"/>
      <c r="H199" s="70"/>
      <c r="I199" s="70"/>
      <c r="J199" s="76">
        <f t="shared" si="5"/>
        <v>1000</v>
      </c>
      <c r="K199" s="154" t="s">
        <v>203</v>
      </c>
      <c r="L199" s="63">
        <v>1000</v>
      </c>
      <c r="M199" s="65"/>
      <c r="N199" s="158"/>
      <c r="O199" s="95"/>
      <c r="P199" s="18">
        <v>1.0999999999999999E-2</v>
      </c>
      <c r="Q199" s="18">
        <v>7.6689999999999994E-2</v>
      </c>
      <c r="R199" s="18">
        <v>0.1366</v>
      </c>
      <c r="S199" s="18"/>
      <c r="T199" s="26"/>
    </row>
    <row r="200" spans="1:20" x14ac:dyDescent="0.25">
      <c r="A200" s="81"/>
      <c r="B200" s="118"/>
      <c r="C200" s="45"/>
      <c r="D200" s="70"/>
      <c r="E200" s="93"/>
      <c r="F200" s="70"/>
      <c r="G200" s="70"/>
      <c r="H200" s="70"/>
      <c r="I200" s="70"/>
      <c r="J200" s="76">
        <f t="shared" si="4"/>
        <v>0</v>
      </c>
      <c r="K200" s="154"/>
      <c r="L200" s="63"/>
      <c r="M200" s="65"/>
      <c r="N200" s="158"/>
      <c r="O200" s="95"/>
      <c r="P200" s="18"/>
      <c r="Q200" s="18"/>
      <c r="R200" s="18"/>
      <c r="S200" s="18"/>
      <c r="T200" s="26"/>
    </row>
    <row r="201" spans="1:20" x14ac:dyDescent="0.25">
      <c r="A201" s="34"/>
      <c r="B201" s="35"/>
      <c r="C201" s="35"/>
      <c r="D201" s="36" t="s">
        <v>41</v>
      </c>
      <c r="E201" s="37"/>
      <c r="F201" s="147"/>
      <c r="G201" s="147"/>
      <c r="H201" s="147"/>
      <c r="I201" s="147"/>
      <c r="J201" s="106"/>
      <c r="K201" s="38"/>
      <c r="L201" s="63"/>
      <c r="M201" s="65"/>
      <c r="N201" s="66"/>
      <c r="O201" s="95"/>
      <c r="P201" s="18"/>
      <c r="Q201" s="18"/>
      <c r="R201" s="18"/>
      <c r="S201" s="18"/>
      <c r="T201" s="26"/>
    </row>
    <row r="202" spans="1:20" x14ac:dyDescent="0.25">
      <c r="A202" s="34"/>
      <c r="B202" s="35"/>
      <c r="C202" s="35"/>
      <c r="D202" s="36"/>
      <c r="E202" s="37"/>
      <c r="F202" s="147"/>
      <c r="G202" s="147"/>
      <c r="H202" s="147"/>
      <c r="I202" s="147"/>
      <c r="J202" s="106"/>
      <c r="K202" s="38"/>
      <c r="L202" s="27"/>
      <c r="M202" s="28"/>
      <c r="N202" s="103"/>
      <c r="O202" s="95"/>
      <c r="P202" s="18"/>
      <c r="Q202" s="29"/>
      <c r="R202" s="29"/>
      <c r="S202" s="29"/>
      <c r="T202" s="26"/>
    </row>
    <row r="203" spans="1:20" x14ac:dyDescent="0.25">
      <c r="A203" s="34"/>
      <c r="B203" s="35"/>
      <c r="C203" s="35"/>
      <c r="D203" s="36" t="s">
        <v>102</v>
      </c>
      <c r="E203" s="37"/>
      <c r="F203" s="147"/>
      <c r="G203" s="147"/>
      <c r="H203" s="147"/>
      <c r="I203" s="147"/>
      <c r="J203" s="106"/>
      <c r="K203" s="38"/>
      <c r="L203" s="27"/>
      <c r="M203" s="28"/>
      <c r="N203" s="103"/>
      <c r="O203" s="95"/>
      <c r="P203" s="18"/>
      <c r="Q203" s="29"/>
      <c r="R203" s="29"/>
      <c r="S203" s="29"/>
      <c r="T203" s="26"/>
    </row>
    <row r="204" spans="1:20" x14ac:dyDescent="0.25">
      <c r="A204" s="34"/>
      <c r="B204" s="35"/>
      <c r="C204" s="35"/>
      <c r="D204" s="36" t="s">
        <v>103</v>
      </c>
      <c r="E204" s="37"/>
      <c r="F204" s="147"/>
      <c r="G204" s="147"/>
      <c r="H204" s="147"/>
      <c r="I204" s="147"/>
      <c r="J204" s="106"/>
      <c r="K204" s="38"/>
      <c r="L204" s="27"/>
      <c r="M204" s="28"/>
      <c r="N204" s="103"/>
      <c r="O204" s="95"/>
      <c r="P204" s="18"/>
      <c r="Q204" s="29"/>
      <c r="R204" s="29"/>
      <c r="S204" s="29"/>
      <c r="T204" s="26"/>
    </row>
    <row r="205" spans="1:20" x14ac:dyDescent="0.25">
      <c r="A205" s="34"/>
      <c r="B205" s="35"/>
      <c r="C205" s="35"/>
      <c r="D205" s="36" t="s">
        <v>102</v>
      </c>
      <c r="E205" s="37"/>
      <c r="F205" s="147"/>
      <c r="G205" s="147"/>
      <c r="H205" s="147" t="s">
        <v>113</v>
      </c>
      <c r="I205" s="147"/>
      <c r="J205" s="106"/>
      <c r="K205" s="38"/>
      <c r="L205" s="27"/>
      <c r="M205" s="28"/>
      <c r="N205" s="103"/>
      <c r="O205" s="95"/>
      <c r="P205" s="18"/>
      <c r="Q205" s="29"/>
      <c r="R205" s="29"/>
      <c r="S205" s="29"/>
      <c r="T205" s="26"/>
    </row>
    <row r="206" spans="1:20" x14ac:dyDescent="0.25">
      <c r="A206" s="34"/>
      <c r="B206" s="35"/>
      <c r="C206" s="35"/>
      <c r="D206" s="36" t="s">
        <v>117</v>
      </c>
      <c r="E206" s="37"/>
      <c r="F206" s="147"/>
      <c r="G206" s="147"/>
      <c r="H206" s="147" t="s">
        <v>158</v>
      </c>
      <c r="I206" s="147"/>
      <c r="J206" s="106"/>
      <c r="K206" s="38"/>
      <c r="L206" s="27"/>
      <c r="M206" s="28"/>
      <c r="N206" s="103"/>
      <c r="O206" s="95"/>
      <c r="P206" s="18"/>
      <c r="Q206" s="29"/>
      <c r="R206" s="29"/>
      <c r="S206" s="29"/>
      <c r="T206" s="26"/>
    </row>
    <row r="207" spans="1:20" x14ac:dyDescent="0.25">
      <c r="A207" s="34"/>
      <c r="B207" s="35"/>
      <c r="C207" s="35"/>
      <c r="D207" s="36"/>
      <c r="E207" s="37"/>
      <c r="F207" s="147"/>
      <c r="G207" s="147"/>
      <c r="H207" s="147"/>
      <c r="I207" s="147"/>
      <c r="J207" s="106"/>
      <c r="K207" s="38"/>
      <c r="L207" s="27"/>
      <c r="M207" s="28"/>
      <c r="N207" s="103"/>
      <c r="O207" s="95"/>
      <c r="P207" s="18"/>
      <c r="Q207" s="29"/>
      <c r="R207" s="29"/>
      <c r="S207" s="29"/>
      <c r="T207" s="26"/>
    </row>
    <row r="208" spans="1:20" x14ac:dyDescent="0.25">
      <c r="A208" s="70"/>
      <c r="B208" s="131"/>
      <c r="C208" s="70"/>
      <c r="D208" s="23" t="s">
        <v>15</v>
      </c>
      <c r="E208" s="24" t="s">
        <v>19</v>
      </c>
      <c r="F208" s="23">
        <f>SUM(F103:F200)</f>
        <v>85954</v>
      </c>
      <c r="G208" s="23">
        <f>SUM(G103:G207)</f>
        <v>0</v>
      </c>
      <c r="H208" s="23"/>
      <c r="I208" s="23"/>
      <c r="J208" s="23">
        <f>F208-G208</f>
        <v>85954</v>
      </c>
      <c r="K208" s="24" t="s">
        <v>16</v>
      </c>
      <c r="L208" s="25">
        <f>SUM(L103:L207)</f>
        <v>7000</v>
      </c>
      <c r="M208" s="25">
        <f>SUM(M103:M207)</f>
        <v>78954</v>
      </c>
      <c r="N208" s="25">
        <f>SUM(N103:N207)</f>
        <v>0</v>
      </c>
      <c r="O208" s="25">
        <f>SUM(O103:O207)</f>
        <v>0</v>
      </c>
      <c r="P208" s="26"/>
      <c r="Q208" s="26"/>
      <c r="R208" s="26"/>
      <c r="S208" s="26"/>
      <c r="T208" s="26"/>
    </row>
    <row r="209" spans="1:20" x14ac:dyDescent="0.25">
      <c r="A209" s="81"/>
      <c r="B209" s="118"/>
      <c r="C209" s="45"/>
      <c r="D209" s="70"/>
      <c r="E209" s="68"/>
      <c r="F209" s="58"/>
      <c r="G209" s="47"/>
      <c r="H209" s="76"/>
      <c r="I209" s="47"/>
      <c r="J209" s="76">
        <f t="shared" ref="J209:J236" si="6">F209-G209</f>
        <v>0</v>
      </c>
      <c r="K209" s="68"/>
      <c r="L209" s="63"/>
      <c r="M209" s="65"/>
      <c r="N209" s="66"/>
      <c r="O209" s="137"/>
      <c r="P209" s="18"/>
      <c r="Q209" s="18"/>
      <c r="R209" s="18"/>
      <c r="S209" s="18"/>
      <c r="T209" s="94"/>
    </row>
    <row r="210" spans="1:20" x14ac:dyDescent="0.25">
      <c r="A210" s="81"/>
      <c r="B210" s="118"/>
      <c r="C210" s="45"/>
      <c r="D210" s="70"/>
      <c r="E210" s="68"/>
      <c r="F210" s="58"/>
      <c r="G210" s="47"/>
      <c r="H210" s="76"/>
      <c r="I210" s="47"/>
      <c r="J210" s="76">
        <f t="shared" si="6"/>
        <v>0</v>
      </c>
      <c r="K210" s="68"/>
      <c r="L210" s="63"/>
      <c r="M210" s="65"/>
      <c r="N210" s="66"/>
      <c r="O210" s="137"/>
      <c r="P210" s="18"/>
      <c r="Q210" s="18"/>
      <c r="R210" s="18"/>
      <c r="S210" s="18"/>
      <c r="T210" s="94"/>
    </row>
    <row r="211" spans="1:20" x14ac:dyDescent="0.25">
      <c r="A211" s="81"/>
      <c r="B211" s="118"/>
      <c r="C211" s="45"/>
      <c r="D211" s="70"/>
      <c r="E211" s="68"/>
      <c r="F211" s="58"/>
      <c r="G211" s="47"/>
      <c r="H211" s="76"/>
      <c r="I211" s="47"/>
      <c r="J211" s="76">
        <f t="shared" si="6"/>
        <v>0</v>
      </c>
      <c r="K211" s="68"/>
      <c r="L211" s="63"/>
      <c r="M211" s="65"/>
      <c r="N211" s="66"/>
      <c r="O211" s="137"/>
      <c r="P211" s="18"/>
      <c r="Q211" s="18"/>
      <c r="R211" s="18"/>
      <c r="S211" s="18"/>
      <c r="T211" s="94"/>
    </row>
    <row r="212" spans="1:20" x14ac:dyDescent="0.25">
      <c r="A212" s="81" t="s">
        <v>164</v>
      </c>
      <c r="B212" s="118" t="s">
        <v>97</v>
      </c>
      <c r="C212" s="45" t="s">
        <v>114</v>
      </c>
      <c r="D212" s="70" t="s">
        <v>163</v>
      </c>
      <c r="E212" s="68" t="s">
        <v>22</v>
      </c>
      <c r="F212" s="58">
        <v>1000</v>
      </c>
      <c r="G212" s="47"/>
      <c r="H212" s="76"/>
      <c r="I212" s="47"/>
      <c r="J212" s="76">
        <f t="shared" si="6"/>
        <v>1000</v>
      </c>
      <c r="K212" s="68" t="s">
        <v>63</v>
      </c>
      <c r="L212" s="63"/>
      <c r="M212" s="65">
        <v>1000</v>
      </c>
      <c r="N212" s="66"/>
      <c r="O212" s="137"/>
      <c r="P212" s="18">
        <v>0.05</v>
      </c>
      <c r="Q212" s="18">
        <v>0</v>
      </c>
      <c r="R212" s="18">
        <v>0</v>
      </c>
      <c r="S212" s="18">
        <v>0</v>
      </c>
      <c r="T212" s="94">
        <v>0.01</v>
      </c>
    </row>
    <row r="213" spans="1:20" x14ac:dyDescent="0.25">
      <c r="A213" s="81" t="s">
        <v>164</v>
      </c>
      <c r="B213" s="118" t="s">
        <v>97</v>
      </c>
      <c r="C213" s="45" t="s">
        <v>114</v>
      </c>
      <c r="D213" s="70" t="s">
        <v>163</v>
      </c>
      <c r="E213" s="68" t="s">
        <v>22</v>
      </c>
      <c r="F213" s="58">
        <v>1000</v>
      </c>
      <c r="G213" s="47"/>
      <c r="H213" s="76"/>
      <c r="I213" s="47"/>
      <c r="J213" s="76">
        <f t="shared" si="6"/>
        <v>1000</v>
      </c>
      <c r="K213" s="68" t="s">
        <v>64</v>
      </c>
      <c r="L213" s="63"/>
      <c r="M213" s="65">
        <v>1000</v>
      </c>
      <c r="N213" s="66"/>
      <c r="O213" s="137"/>
      <c r="P213" s="18">
        <v>5.2999999999999999E-2</v>
      </c>
      <c r="Q213" s="18">
        <v>0</v>
      </c>
      <c r="R213" s="18">
        <v>0</v>
      </c>
      <c r="S213" s="18">
        <v>0</v>
      </c>
      <c r="T213" s="94">
        <v>7.0000000000000001E-3</v>
      </c>
    </row>
    <row r="214" spans="1:20" x14ac:dyDescent="0.25">
      <c r="A214" s="81" t="s">
        <v>164</v>
      </c>
      <c r="B214" s="118" t="s">
        <v>97</v>
      </c>
      <c r="C214" s="45" t="s">
        <v>114</v>
      </c>
      <c r="D214" s="70" t="s">
        <v>163</v>
      </c>
      <c r="E214" s="68" t="s">
        <v>22</v>
      </c>
      <c r="F214" s="58">
        <v>567</v>
      </c>
      <c r="G214" s="47"/>
      <c r="H214" s="76"/>
      <c r="I214" s="47"/>
      <c r="J214" s="76">
        <f t="shared" si="6"/>
        <v>567</v>
      </c>
      <c r="K214" s="68" t="s">
        <v>68</v>
      </c>
      <c r="L214" s="63"/>
      <c r="M214" s="65">
        <v>567</v>
      </c>
      <c r="N214" s="66"/>
      <c r="O214" s="137"/>
      <c r="P214" s="18">
        <v>3.4000000000000002E-2</v>
      </c>
      <c r="Q214" s="18">
        <v>0</v>
      </c>
      <c r="R214" s="18">
        <v>0</v>
      </c>
      <c r="S214" s="18">
        <v>0</v>
      </c>
      <c r="T214" s="94">
        <v>5.0000000000000001E-3</v>
      </c>
    </row>
    <row r="215" spans="1:20" x14ac:dyDescent="0.25">
      <c r="A215" s="81" t="s">
        <v>161</v>
      </c>
      <c r="B215" s="118" t="s">
        <v>97</v>
      </c>
      <c r="C215" s="45" t="s">
        <v>162</v>
      </c>
      <c r="D215" s="70" t="s">
        <v>184</v>
      </c>
      <c r="E215" s="68" t="s">
        <v>22</v>
      </c>
      <c r="F215" s="58">
        <v>333</v>
      </c>
      <c r="G215" s="47"/>
      <c r="H215" s="187"/>
      <c r="I215" s="157"/>
      <c r="J215" s="76">
        <f t="shared" si="6"/>
        <v>333</v>
      </c>
      <c r="K215" s="68" t="s">
        <v>85</v>
      </c>
      <c r="L215" s="63"/>
      <c r="M215" s="65">
        <v>333</v>
      </c>
      <c r="N215" s="66"/>
      <c r="O215" s="137"/>
      <c r="P215" s="18">
        <v>0.34799999999999998</v>
      </c>
      <c r="Q215" s="18"/>
      <c r="R215" s="18"/>
      <c r="S215" s="18"/>
      <c r="T215" s="94">
        <v>6.0000000000000001E-3</v>
      </c>
    </row>
    <row r="216" spans="1:20" x14ac:dyDescent="0.25">
      <c r="A216" s="81"/>
      <c r="B216" s="118"/>
      <c r="C216" s="45"/>
      <c r="D216" s="70"/>
      <c r="E216" s="68"/>
      <c r="F216" s="58"/>
      <c r="G216" s="47"/>
      <c r="H216" s="187"/>
      <c r="I216" s="157"/>
      <c r="J216" s="76"/>
      <c r="K216" s="68"/>
      <c r="L216" s="63"/>
      <c r="M216" s="65"/>
      <c r="N216" s="66"/>
      <c r="O216" s="137"/>
      <c r="P216" s="18"/>
      <c r="Q216" s="18"/>
      <c r="R216" s="18"/>
      <c r="S216" s="18"/>
      <c r="T216" s="94"/>
    </row>
    <row r="217" spans="1:20" x14ac:dyDescent="0.25">
      <c r="A217" s="81" t="s">
        <v>196</v>
      </c>
      <c r="B217" s="118" t="s">
        <v>169</v>
      </c>
      <c r="C217" s="45" t="s">
        <v>191</v>
      </c>
      <c r="D217" s="70" t="s">
        <v>192</v>
      </c>
      <c r="E217" s="68" t="s">
        <v>22</v>
      </c>
      <c r="F217" s="58">
        <v>994</v>
      </c>
      <c r="G217" s="47"/>
      <c r="H217" s="187"/>
      <c r="I217" s="157"/>
      <c r="J217" s="76">
        <f t="shared" si="6"/>
        <v>994</v>
      </c>
      <c r="K217" s="68" t="s">
        <v>188</v>
      </c>
      <c r="L217" s="63"/>
      <c r="M217" s="65">
        <v>994</v>
      </c>
      <c r="N217" s="66"/>
      <c r="O217" s="137"/>
      <c r="P217" s="18"/>
      <c r="Q217" s="18"/>
      <c r="R217" s="18"/>
      <c r="S217" s="18"/>
      <c r="T217" s="94"/>
    </row>
    <row r="218" spans="1:20" x14ac:dyDescent="0.25">
      <c r="A218" s="81" t="s">
        <v>196</v>
      </c>
      <c r="B218" s="118" t="s">
        <v>169</v>
      </c>
      <c r="C218" s="45" t="s">
        <v>191</v>
      </c>
      <c r="D218" s="70" t="s">
        <v>192</v>
      </c>
      <c r="E218" s="68" t="s">
        <v>22</v>
      </c>
      <c r="F218" s="58">
        <v>829</v>
      </c>
      <c r="G218" s="47"/>
      <c r="H218" s="187"/>
      <c r="I218" s="157"/>
      <c r="J218" s="76">
        <f t="shared" si="6"/>
        <v>829</v>
      </c>
      <c r="K218" s="68" t="s">
        <v>189</v>
      </c>
      <c r="L218" s="63"/>
      <c r="M218" s="65">
        <v>829</v>
      </c>
      <c r="N218" s="66"/>
      <c r="O218" s="137"/>
      <c r="P218" s="18"/>
      <c r="Q218" s="18"/>
      <c r="R218" s="18"/>
      <c r="S218" s="18"/>
      <c r="T218" s="94"/>
    </row>
    <row r="219" spans="1:20" x14ac:dyDescent="0.25">
      <c r="A219" s="81" t="s">
        <v>196</v>
      </c>
      <c r="B219" s="118" t="s">
        <v>169</v>
      </c>
      <c r="C219" s="45" t="s">
        <v>191</v>
      </c>
      <c r="D219" s="70" t="s">
        <v>192</v>
      </c>
      <c r="E219" s="68" t="s">
        <v>22</v>
      </c>
      <c r="F219" s="58">
        <v>802</v>
      </c>
      <c r="G219" s="47"/>
      <c r="H219" s="187"/>
      <c r="I219" s="157"/>
      <c r="J219" s="76">
        <f t="shared" si="6"/>
        <v>802</v>
      </c>
      <c r="K219" s="68" t="s">
        <v>83</v>
      </c>
      <c r="L219" s="63"/>
      <c r="M219" s="65">
        <v>802</v>
      </c>
      <c r="N219" s="66"/>
      <c r="O219" s="137"/>
      <c r="P219" s="18"/>
      <c r="Q219" s="18"/>
      <c r="R219" s="18"/>
      <c r="S219" s="18"/>
      <c r="T219" s="94"/>
    </row>
    <row r="220" spans="1:20" x14ac:dyDescent="0.25">
      <c r="A220" s="81"/>
      <c r="B220" s="118"/>
      <c r="C220" s="45"/>
      <c r="D220" s="70"/>
      <c r="E220" s="68"/>
      <c r="F220" s="58"/>
      <c r="G220" s="47"/>
      <c r="H220" s="187"/>
      <c r="I220" s="157"/>
      <c r="J220" s="76"/>
      <c r="K220" s="68"/>
      <c r="L220" s="63"/>
      <c r="M220" s="65"/>
      <c r="N220" s="66"/>
      <c r="O220" s="137"/>
      <c r="P220" s="18"/>
      <c r="Q220" s="18"/>
      <c r="R220" s="18"/>
      <c r="S220" s="18"/>
      <c r="T220" s="94"/>
    </row>
    <row r="221" spans="1:20" x14ac:dyDescent="0.25">
      <c r="A221" s="81" t="s">
        <v>198</v>
      </c>
      <c r="B221" s="118" t="s">
        <v>169</v>
      </c>
      <c r="C221" s="45" t="s">
        <v>197</v>
      </c>
      <c r="D221" s="70" t="s">
        <v>192</v>
      </c>
      <c r="E221" s="68" t="s">
        <v>22</v>
      </c>
      <c r="F221" s="58">
        <v>954</v>
      </c>
      <c r="G221" s="47"/>
      <c r="H221" s="187"/>
      <c r="I221" s="157"/>
      <c r="J221" s="76">
        <f t="shared" si="6"/>
        <v>954</v>
      </c>
      <c r="K221" s="68" t="s">
        <v>188</v>
      </c>
      <c r="L221" s="63"/>
      <c r="M221" s="65">
        <v>954</v>
      </c>
      <c r="N221" s="66"/>
      <c r="O221" s="137"/>
      <c r="P221" s="18">
        <v>0.253</v>
      </c>
      <c r="Q221" s="18">
        <v>0</v>
      </c>
      <c r="R221" s="18">
        <v>0</v>
      </c>
      <c r="S221" s="18">
        <v>0</v>
      </c>
      <c r="T221" s="94">
        <v>0.16900000000000001</v>
      </c>
    </row>
    <row r="222" spans="1:20" x14ac:dyDescent="0.25">
      <c r="A222" s="81" t="s">
        <v>217</v>
      </c>
      <c r="B222" s="118" t="s">
        <v>169</v>
      </c>
      <c r="C222" s="45" t="s">
        <v>197</v>
      </c>
      <c r="D222" s="70" t="s">
        <v>192</v>
      </c>
      <c r="E222" s="68" t="s">
        <v>22</v>
      </c>
      <c r="F222" s="58">
        <v>943</v>
      </c>
      <c r="G222" s="47"/>
      <c r="H222" s="187"/>
      <c r="I222" s="157"/>
      <c r="J222" s="76">
        <f t="shared" si="6"/>
        <v>943</v>
      </c>
      <c r="K222" s="68" t="s">
        <v>189</v>
      </c>
      <c r="L222" s="63"/>
      <c r="M222" s="65">
        <v>943</v>
      </c>
      <c r="N222" s="66"/>
      <c r="O222" s="137"/>
      <c r="P222" s="18">
        <v>0.253</v>
      </c>
      <c r="Q222" s="18">
        <v>0</v>
      </c>
      <c r="R222" s="18">
        <v>0</v>
      </c>
      <c r="S222" s="18">
        <v>0</v>
      </c>
      <c r="T222" s="94">
        <v>0.16900000000000001</v>
      </c>
    </row>
    <row r="223" spans="1:20" x14ac:dyDescent="0.25">
      <c r="A223" s="81" t="s">
        <v>217</v>
      </c>
      <c r="B223" s="118" t="s">
        <v>169</v>
      </c>
      <c r="C223" s="45" t="s">
        <v>197</v>
      </c>
      <c r="D223" s="70" t="s">
        <v>192</v>
      </c>
      <c r="E223" s="68" t="s">
        <v>22</v>
      </c>
      <c r="F223" s="58">
        <v>906</v>
      </c>
      <c r="G223" s="47"/>
      <c r="H223" s="187"/>
      <c r="I223" s="157"/>
      <c r="J223" s="76">
        <f t="shared" si="6"/>
        <v>906</v>
      </c>
      <c r="K223" s="68" t="s">
        <v>83</v>
      </c>
      <c r="L223" s="63"/>
      <c r="M223" s="65">
        <v>906</v>
      </c>
      <c r="N223" s="66"/>
      <c r="O223" s="137"/>
      <c r="P223" s="18">
        <v>0.253</v>
      </c>
      <c r="Q223" s="18">
        <v>0</v>
      </c>
      <c r="R223" s="18">
        <v>0</v>
      </c>
      <c r="S223" s="18">
        <v>0</v>
      </c>
      <c r="T223" s="94">
        <v>0.16900000000000001</v>
      </c>
    </row>
    <row r="224" spans="1:20" x14ac:dyDescent="0.25">
      <c r="A224" s="81" t="s">
        <v>217</v>
      </c>
      <c r="B224" s="118" t="s">
        <v>169</v>
      </c>
      <c r="C224" s="45" t="s">
        <v>197</v>
      </c>
      <c r="D224" s="70" t="s">
        <v>192</v>
      </c>
      <c r="E224" s="68" t="s">
        <v>22</v>
      </c>
      <c r="F224" s="58">
        <v>900</v>
      </c>
      <c r="G224" s="47"/>
      <c r="H224" s="187"/>
      <c r="I224" s="157"/>
      <c r="J224" s="76">
        <f t="shared" si="6"/>
        <v>900</v>
      </c>
      <c r="K224" s="68" t="s">
        <v>190</v>
      </c>
      <c r="L224" s="63"/>
      <c r="M224" s="65">
        <v>900</v>
      </c>
      <c r="N224" s="66"/>
      <c r="O224" s="137"/>
      <c r="P224" s="18">
        <v>0.28599999999999998</v>
      </c>
      <c r="Q224" s="18">
        <v>0</v>
      </c>
      <c r="R224" s="18">
        <v>0</v>
      </c>
      <c r="S224" s="18">
        <v>0</v>
      </c>
      <c r="T224" s="94">
        <v>0.23100000000000001</v>
      </c>
    </row>
    <row r="225" spans="1:20" x14ac:dyDescent="0.25">
      <c r="A225" s="81" t="s">
        <v>222</v>
      </c>
      <c r="B225" s="118" t="s">
        <v>169</v>
      </c>
      <c r="C225" s="45" t="s">
        <v>197</v>
      </c>
      <c r="D225" s="70" t="s">
        <v>192</v>
      </c>
      <c r="E225" s="68" t="s">
        <v>22</v>
      </c>
      <c r="F225" s="58">
        <v>939</v>
      </c>
      <c r="G225" s="47"/>
      <c r="H225" s="187"/>
      <c r="I225" s="157"/>
      <c r="J225" s="76">
        <f t="shared" si="6"/>
        <v>939</v>
      </c>
      <c r="K225" s="68" t="s">
        <v>84</v>
      </c>
      <c r="L225" s="63">
        <v>939</v>
      </c>
      <c r="M225" s="65"/>
      <c r="N225" s="66"/>
      <c r="O225" s="137"/>
      <c r="P225" s="18">
        <v>0.33500000000000002</v>
      </c>
      <c r="Q225" s="18">
        <v>0</v>
      </c>
      <c r="R225" s="18">
        <v>0</v>
      </c>
      <c r="S225" s="18">
        <v>0</v>
      </c>
      <c r="T225" s="94">
        <v>0.192</v>
      </c>
    </row>
    <row r="226" spans="1:20" x14ac:dyDescent="0.25">
      <c r="A226" s="81" t="s">
        <v>222</v>
      </c>
      <c r="B226" s="118" t="s">
        <v>169</v>
      </c>
      <c r="C226" s="45" t="s">
        <v>197</v>
      </c>
      <c r="D226" s="70" t="s">
        <v>192</v>
      </c>
      <c r="E226" s="68" t="s">
        <v>22</v>
      </c>
      <c r="F226" s="58">
        <v>900</v>
      </c>
      <c r="G226" s="47"/>
      <c r="H226" s="187"/>
      <c r="I226" s="157"/>
      <c r="J226" s="76">
        <f t="shared" si="6"/>
        <v>900</v>
      </c>
      <c r="K226" s="68" t="s">
        <v>85</v>
      </c>
      <c r="L226" s="63">
        <v>900</v>
      </c>
      <c r="M226" s="65"/>
      <c r="N226" s="66"/>
      <c r="O226" s="137"/>
      <c r="P226" s="18">
        <v>0.29599999999999999</v>
      </c>
      <c r="Q226" s="18">
        <v>0</v>
      </c>
      <c r="R226" s="18">
        <v>0</v>
      </c>
      <c r="S226" s="18">
        <v>0</v>
      </c>
      <c r="T226" s="94">
        <v>7.5999999999999998E-2</v>
      </c>
    </row>
    <row r="227" spans="1:20" x14ac:dyDescent="0.25">
      <c r="A227" s="81" t="s">
        <v>222</v>
      </c>
      <c r="B227" s="118" t="s">
        <v>169</v>
      </c>
      <c r="C227" s="45" t="s">
        <v>197</v>
      </c>
      <c r="D227" s="70" t="s">
        <v>192</v>
      </c>
      <c r="E227" s="68" t="s">
        <v>22</v>
      </c>
      <c r="F227" s="58">
        <v>561</v>
      </c>
      <c r="G227" s="47"/>
      <c r="H227" s="187"/>
      <c r="I227" s="157"/>
      <c r="J227" s="76">
        <f t="shared" si="6"/>
        <v>561</v>
      </c>
      <c r="K227" s="68" t="s">
        <v>86</v>
      </c>
      <c r="L227" s="63">
        <v>561</v>
      </c>
      <c r="M227" s="65"/>
      <c r="N227" s="66"/>
      <c r="O227" s="137"/>
      <c r="P227" s="18">
        <v>0.30599999999999999</v>
      </c>
      <c r="Q227" s="18">
        <v>0</v>
      </c>
      <c r="R227" s="18">
        <v>0</v>
      </c>
      <c r="S227" s="18">
        <v>0</v>
      </c>
      <c r="T227" s="94">
        <v>1.2999999999999999E-2</v>
      </c>
    </row>
    <row r="228" spans="1:20" x14ac:dyDescent="0.25">
      <c r="A228" s="81"/>
      <c r="B228" s="118"/>
      <c r="C228" s="45"/>
      <c r="D228" s="70"/>
      <c r="E228" s="68"/>
      <c r="F228" s="58"/>
      <c r="G228" s="47"/>
      <c r="H228" s="187"/>
      <c r="I228" s="157"/>
      <c r="J228" s="76"/>
      <c r="K228" s="68"/>
      <c r="L228" s="63"/>
      <c r="M228" s="65"/>
      <c r="N228" s="66"/>
      <c r="O228" s="137"/>
      <c r="P228" s="18"/>
      <c r="Q228" s="18"/>
      <c r="R228" s="18"/>
      <c r="S228" s="18"/>
      <c r="T228" s="94"/>
    </row>
    <row r="229" spans="1:20" x14ac:dyDescent="0.25">
      <c r="A229" s="81" t="s">
        <v>198</v>
      </c>
      <c r="B229" s="118"/>
      <c r="C229" s="45" t="s">
        <v>186</v>
      </c>
      <c r="D229" s="70" t="s">
        <v>200</v>
      </c>
      <c r="E229" s="68" t="s">
        <v>201</v>
      </c>
      <c r="F229" s="58">
        <v>887</v>
      </c>
      <c r="G229" s="47"/>
      <c r="H229" s="187"/>
      <c r="I229" s="157"/>
      <c r="J229" s="76">
        <f t="shared" si="6"/>
        <v>887</v>
      </c>
      <c r="K229" s="68"/>
      <c r="L229" s="63"/>
      <c r="M229" s="65">
        <v>887</v>
      </c>
      <c r="N229" s="66"/>
      <c r="O229" s="137"/>
      <c r="P229" s="18">
        <v>0.19500000000000001</v>
      </c>
      <c r="Q229" s="18"/>
      <c r="R229" s="18"/>
      <c r="S229" s="18">
        <v>0.71799999999999997</v>
      </c>
      <c r="T229" s="94">
        <v>8.6999999999999994E-2</v>
      </c>
    </row>
    <row r="230" spans="1:20" x14ac:dyDescent="0.25">
      <c r="A230" s="81" t="s">
        <v>198</v>
      </c>
      <c r="B230" s="118"/>
      <c r="C230" s="45" t="s">
        <v>186</v>
      </c>
      <c r="D230" s="70" t="s">
        <v>200</v>
      </c>
      <c r="E230" s="68" t="s">
        <v>201</v>
      </c>
      <c r="F230" s="58">
        <v>720</v>
      </c>
      <c r="G230" s="47"/>
      <c r="H230" s="187"/>
      <c r="I230" s="157"/>
      <c r="J230" s="76">
        <f t="shared" si="6"/>
        <v>720</v>
      </c>
      <c r="K230" s="68"/>
      <c r="L230" s="63"/>
      <c r="M230" s="65">
        <v>720</v>
      </c>
      <c r="N230" s="66"/>
      <c r="O230" s="137"/>
      <c r="P230" s="18">
        <v>0.193</v>
      </c>
      <c r="Q230" s="18"/>
      <c r="R230" s="18"/>
      <c r="S230" s="18">
        <v>0.78500000000000003</v>
      </c>
      <c r="T230" s="94">
        <v>2.1999999999999999E-2</v>
      </c>
    </row>
    <row r="231" spans="1:20" x14ac:dyDescent="0.25">
      <c r="A231" s="81" t="s">
        <v>198</v>
      </c>
      <c r="B231" s="118"/>
      <c r="C231" s="45" t="s">
        <v>186</v>
      </c>
      <c r="D231" s="70" t="s">
        <v>202</v>
      </c>
      <c r="E231" s="68" t="s">
        <v>201</v>
      </c>
      <c r="F231" s="58">
        <v>928</v>
      </c>
      <c r="G231" s="47"/>
      <c r="H231" s="187"/>
      <c r="I231" s="157"/>
      <c r="J231" s="76">
        <f t="shared" si="6"/>
        <v>928</v>
      </c>
      <c r="K231" s="68"/>
      <c r="L231" s="63"/>
      <c r="M231" s="65">
        <v>928</v>
      </c>
      <c r="N231" s="66"/>
      <c r="O231" s="137"/>
      <c r="P231" s="18">
        <v>0.30199999999999999</v>
      </c>
      <c r="Q231" s="18"/>
      <c r="R231" s="18"/>
      <c r="S231" s="18">
        <v>0.68600000000000005</v>
      </c>
      <c r="T231" s="94">
        <v>1.2E-2</v>
      </c>
    </row>
    <row r="232" spans="1:20" x14ac:dyDescent="0.25">
      <c r="A232" s="81" t="s">
        <v>222</v>
      </c>
      <c r="B232" s="118"/>
      <c r="C232" s="45" t="s">
        <v>223</v>
      </c>
      <c r="D232" s="70" t="s">
        <v>202</v>
      </c>
      <c r="E232" s="68" t="s">
        <v>201</v>
      </c>
      <c r="F232" s="58">
        <v>1104</v>
      </c>
      <c r="G232" s="47"/>
      <c r="H232" s="187"/>
      <c r="I232" s="157"/>
      <c r="J232" s="76">
        <f t="shared" si="6"/>
        <v>1104</v>
      </c>
      <c r="K232" s="68"/>
      <c r="L232" s="63"/>
      <c r="M232" s="65">
        <v>1104</v>
      </c>
      <c r="N232" s="66"/>
      <c r="O232" s="137"/>
      <c r="P232" s="18">
        <v>0.21</v>
      </c>
      <c r="Q232" s="18"/>
      <c r="R232" s="18"/>
      <c r="S232" s="18">
        <v>0.72799999999999998</v>
      </c>
      <c r="T232" s="94"/>
    </row>
    <row r="233" spans="1:20" x14ac:dyDescent="0.25">
      <c r="A233" s="81" t="s">
        <v>222</v>
      </c>
      <c r="B233" s="118"/>
      <c r="C233" s="45" t="s">
        <v>223</v>
      </c>
      <c r="D233" s="70" t="s">
        <v>202</v>
      </c>
      <c r="E233" s="68" t="s">
        <v>201</v>
      </c>
      <c r="F233" s="58">
        <v>1084</v>
      </c>
      <c r="G233" s="47"/>
      <c r="H233" s="187"/>
      <c r="I233" s="157"/>
      <c r="J233" s="76">
        <f t="shared" si="6"/>
        <v>1084</v>
      </c>
      <c r="K233" s="68"/>
      <c r="L233" s="63"/>
      <c r="M233" s="65">
        <v>1084</v>
      </c>
      <c r="N233" s="66"/>
      <c r="O233" s="137"/>
      <c r="P233" s="18">
        <v>0.16</v>
      </c>
      <c r="Q233" s="18"/>
      <c r="R233" s="18"/>
      <c r="S233" s="18">
        <v>0.72</v>
      </c>
      <c r="T233" s="94"/>
    </row>
    <row r="234" spans="1:20" x14ac:dyDescent="0.25">
      <c r="A234" s="81" t="s">
        <v>222</v>
      </c>
      <c r="B234" s="118"/>
      <c r="C234" s="45" t="s">
        <v>223</v>
      </c>
      <c r="D234" s="70" t="s">
        <v>202</v>
      </c>
      <c r="E234" s="68" t="s">
        <v>201</v>
      </c>
      <c r="F234" s="58">
        <v>996</v>
      </c>
      <c r="G234" s="47"/>
      <c r="H234" s="187"/>
      <c r="I234" s="157"/>
      <c r="J234" s="76">
        <f t="shared" si="6"/>
        <v>996</v>
      </c>
      <c r="K234" s="68"/>
      <c r="L234" s="63"/>
      <c r="M234" s="65">
        <v>996</v>
      </c>
      <c r="N234" s="66"/>
      <c r="O234" s="137"/>
      <c r="P234" s="18">
        <v>0.126</v>
      </c>
      <c r="Q234" s="18"/>
      <c r="R234" s="18"/>
      <c r="S234" s="18">
        <v>0.86</v>
      </c>
      <c r="T234" s="94"/>
    </row>
    <row r="235" spans="1:20" x14ac:dyDescent="0.25">
      <c r="A235" s="81"/>
      <c r="B235" s="118"/>
      <c r="C235" s="45"/>
      <c r="D235" s="70"/>
      <c r="E235" s="68"/>
      <c r="F235" s="58"/>
      <c r="G235" s="47"/>
      <c r="H235" s="187"/>
      <c r="I235" s="157"/>
      <c r="J235" s="76"/>
      <c r="K235" s="68"/>
      <c r="L235" s="63"/>
      <c r="M235" s="65"/>
      <c r="N235" s="66"/>
      <c r="O235" s="137"/>
      <c r="P235" s="18"/>
      <c r="Q235" s="18"/>
      <c r="R235" s="18"/>
      <c r="S235" s="18"/>
      <c r="T235" s="94"/>
    </row>
    <row r="236" spans="1:20" x14ac:dyDescent="0.25">
      <c r="A236" s="81"/>
      <c r="B236" s="118"/>
      <c r="C236" s="45"/>
      <c r="D236" s="70"/>
      <c r="E236" s="68"/>
      <c r="F236" s="58"/>
      <c r="G236" s="47"/>
      <c r="H236" s="47"/>
      <c r="I236" s="47"/>
      <c r="J236" s="76">
        <f t="shared" si="6"/>
        <v>0</v>
      </c>
      <c r="K236" s="68"/>
      <c r="L236" s="63"/>
      <c r="M236" s="65"/>
      <c r="N236" s="66"/>
      <c r="O236" s="137"/>
      <c r="P236" s="18"/>
      <c r="Q236" s="18"/>
      <c r="R236" s="18"/>
      <c r="S236" s="18"/>
      <c r="T236" s="94"/>
    </row>
    <row r="237" spans="1:20" x14ac:dyDescent="0.25">
      <c r="A237" s="124"/>
      <c r="B237" s="133"/>
      <c r="C237" s="125"/>
      <c r="D237" s="126"/>
      <c r="E237" s="87"/>
      <c r="F237" s="88"/>
      <c r="G237" s="89"/>
      <c r="H237" s="89"/>
      <c r="I237" s="89"/>
      <c r="J237" s="127"/>
      <c r="K237" s="90"/>
      <c r="L237" s="63"/>
      <c r="M237" s="64"/>
      <c r="N237" s="107"/>
      <c r="O237" s="115"/>
      <c r="P237" s="18"/>
      <c r="Q237" s="18"/>
      <c r="R237" s="18"/>
      <c r="S237" s="18"/>
      <c r="T237" s="18"/>
    </row>
    <row r="238" spans="1:20" x14ac:dyDescent="0.25">
      <c r="A238" s="124"/>
      <c r="B238" s="133"/>
      <c r="C238" s="125"/>
      <c r="D238" s="126"/>
      <c r="E238" s="87"/>
      <c r="F238" s="88"/>
      <c r="G238" s="89"/>
      <c r="H238" s="89"/>
      <c r="I238" s="89"/>
      <c r="J238" s="127"/>
      <c r="K238" s="90"/>
      <c r="L238" s="63"/>
      <c r="M238" s="65"/>
      <c r="N238" s="107"/>
      <c r="O238" s="115"/>
      <c r="P238" s="18"/>
      <c r="Q238" s="18"/>
      <c r="R238" s="18"/>
      <c r="S238" s="18"/>
      <c r="T238" s="18"/>
    </row>
    <row r="239" spans="1:20" ht="15.75" x14ac:dyDescent="0.25">
      <c r="A239" s="124"/>
      <c r="B239" s="133"/>
      <c r="C239" s="125"/>
      <c r="D239" s="126"/>
      <c r="E239" s="184"/>
      <c r="F239" s="88"/>
      <c r="G239" s="89"/>
      <c r="H239" s="89"/>
      <c r="I239" s="89"/>
      <c r="J239" s="127"/>
      <c r="K239" s="168"/>
      <c r="L239" s="63"/>
      <c r="M239" s="65"/>
      <c r="N239" s="107"/>
      <c r="O239" s="115"/>
      <c r="P239" s="18"/>
      <c r="Q239" s="18"/>
      <c r="R239" s="18"/>
      <c r="S239" s="18"/>
      <c r="T239" s="18"/>
    </row>
    <row r="240" spans="1:20" ht="15.75" x14ac:dyDescent="0.25">
      <c r="A240" s="124"/>
      <c r="B240" s="133"/>
      <c r="C240" s="125"/>
      <c r="D240" s="126" t="s">
        <v>151</v>
      </c>
      <c r="E240" s="184" t="s">
        <v>152</v>
      </c>
      <c r="F240" s="88"/>
      <c r="G240" s="89">
        <v>950</v>
      </c>
      <c r="H240" s="89"/>
      <c r="I240" s="89"/>
      <c r="J240" s="127"/>
      <c r="K240" s="90"/>
      <c r="L240" s="63"/>
      <c r="M240" s="65"/>
      <c r="N240" s="107"/>
      <c r="O240" s="115"/>
      <c r="P240" s="18"/>
      <c r="Q240" s="18"/>
      <c r="R240" s="18"/>
      <c r="S240" s="18"/>
      <c r="T240" s="18"/>
    </row>
    <row r="241" spans="1:20" x14ac:dyDescent="0.25">
      <c r="A241" s="124"/>
      <c r="B241" s="133"/>
      <c r="C241" s="125"/>
      <c r="D241" s="126"/>
      <c r="E241" s="87"/>
      <c r="F241" s="88"/>
      <c r="G241" s="89"/>
      <c r="H241" s="89"/>
      <c r="I241" s="89"/>
      <c r="J241" s="127"/>
      <c r="K241" s="90"/>
      <c r="L241" s="63"/>
      <c r="M241" s="65"/>
      <c r="N241" s="107"/>
      <c r="O241" s="115"/>
      <c r="P241" s="18"/>
      <c r="Q241" s="18"/>
      <c r="R241" s="18"/>
      <c r="S241" s="18"/>
      <c r="T241" s="18"/>
    </row>
    <row r="242" spans="1:20" x14ac:dyDescent="0.25">
      <c r="A242" s="124"/>
      <c r="B242" s="133"/>
      <c r="C242" s="125"/>
      <c r="D242" s="127"/>
      <c r="E242" s="87"/>
      <c r="F242" s="88"/>
      <c r="G242" s="91"/>
      <c r="H242" s="91"/>
      <c r="I242" s="91"/>
      <c r="J242" s="127"/>
      <c r="K242" s="144"/>
      <c r="L242" s="63"/>
      <c r="M242" s="65"/>
      <c r="N242" s="107"/>
      <c r="O242" s="115"/>
      <c r="P242" s="18"/>
      <c r="Q242" s="18"/>
      <c r="R242" s="18"/>
      <c r="S242" s="18"/>
      <c r="T242" s="18"/>
    </row>
    <row r="243" spans="1:20" x14ac:dyDescent="0.25">
      <c r="A243" s="127"/>
      <c r="B243" s="134"/>
      <c r="C243" s="125"/>
      <c r="D243" s="127"/>
      <c r="E243" s="87"/>
      <c r="F243" s="88"/>
      <c r="G243" s="91"/>
      <c r="H243" s="91"/>
      <c r="I243" s="91"/>
      <c r="J243" s="127"/>
      <c r="K243" s="90"/>
      <c r="L243" s="56"/>
      <c r="M243" s="65"/>
      <c r="N243" s="107"/>
      <c r="O243" s="115"/>
      <c r="P243" s="18"/>
      <c r="Q243" s="18"/>
      <c r="R243" s="18"/>
      <c r="S243" s="18"/>
      <c r="T243" s="18"/>
    </row>
    <row r="244" spans="1:20" x14ac:dyDescent="0.25">
      <c r="A244" s="128"/>
      <c r="B244" s="135"/>
      <c r="C244" s="129"/>
      <c r="D244" s="23" t="s">
        <v>15</v>
      </c>
      <c r="E244" s="52" t="s">
        <v>22</v>
      </c>
      <c r="F244" s="23">
        <f>SUM(F209:F243)</f>
        <v>17347</v>
      </c>
      <c r="G244" s="23">
        <f>SUM(G209:G243)</f>
        <v>950</v>
      </c>
      <c r="H244" s="23"/>
      <c r="I244" s="23"/>
      <c r="J244" s="23">
        <f>F244-G244</f>
        <v>16397</v>
      </c>
      <c r="K244" s="24" t="s">
        <v>16</v>
      </c>
      <c r="L244" s="25">
        <f>SUM(L209:L236)</f>
        <v>2400</v>
      </c>
      <c r="M244" s="25">
        <f>SUM(M209:M236)</f>
        <v>14947</v>
      </c>
      <c r="N244" s="25">
        <f>SUM(N209:N243)</f>
        <v>0</v>
      </c>
      <c r="O244" s="25">
        <f>SUM(O209:O243)</f>
        <v>0</v>
      </c>
      <c r="P244" s="18"/>
      <c r="Q244" s="18"/>
      <c r="R244" s="18"/>
      <c r="S244" s="18"/>
      <c r="T244" s="18"/>
    </row>
    <row r="245" spans="1:20" x14ac:dyDescent="0.25">
      <c r="A245" s="128" t="s">
        <v>198</v>
      </c>
      <c r="B245" s="135" t="s">
        <v>169</v>
      </c>
      <c r="C245" s="129" t="s">
        <v>197</v>
      </c>
      <c r="D245" s="69" t="s">
        <v>199</v>
      </c>
      <c r="E245" s="72" t="s">
        <v>17</v>
      </c>
      <c r="F245" s="69">
        <v>967</v>
      </c>
      <c r="G245" s="69"/>
      <c r="H245" s="69"/>
      <c r="I245" s="69"/>
      <c r="J245" s="76">
        <f t="shared" ref="J245:J248" si="7">F245-G245</f>
        <v>967</v>
      </c>
      <c r="K245" s="68"/>
      <c r="L245" s="56"/>
      <c r="M245" s="65">
        <v>967</v>
      </c>
      <c r="N245" s="107"/>
      <c r="O245" s="115"/>
      <c r="P245" s="18"/>
      <c r="Q245" s="18"/>
      <c r="R245" s="18"/>
      <c r="S245" s="18"/>
      <c r="T245" s="18"/>
    </row>
    <row r="246" spans="1:20" x14ac:dyDescent="0.25">
      <c r="A246" s="128" t="s">
        <v>198</v>
      </c>
      <c r="B246" s="135" t="s">
        <v>169</v>
      </c>
      <c r="C246" s="129" t="s">
        <v>197</v>
      </c>
      <c r="D246" s="69" t="s">
        <v>199</v>
      </c>
      <c r="E246" s="72" t="s">
        <v>19</v>
      </c>
      <c r="F246" s="69">
        <v>972</v>
      </c>
      <c r="G246" s="46"/>
      <c r="H246" s="46"/>
      <c r="I246" s="46"/>
      <c r="J246" s="76">
        <f t="shared" si="7"/>
        <v>972</v>
      </c>
      <c r="K246" s="145"/>
      <c r="L246" s="63"/>
      <c r="M246" s="65">
        <v>972</v>
      </c>
      <c r="N246" s="107"/>
      <c r="O246" s="115"/>
      <c r="P246" s="18"/>
      <c r="Q246" s="18"/>
      <c r="R246" s="18"/>
      <c r="S246" s="18"/>
      <c r="T246" s="18"/>
    </row>
    <row r="247" spans="1:20" x14ac:dyDescent="0.25">
      <c r="A247" s="128" t="s">
        <v>222</v>
      </c>
      <c r="B247" s="135" t="s">
        <v>169</v>
      </c>
      <c r="C247" s="129" t="s">
        <v>197</v>
      </c>
      <c r="D247" s="69" t="s">
        <v>232</v>
      </c>
      <c r="E247" s="72" t="s">
        <v>19</v>
      </c>
      <c r="F247" s="69">
        <v>920</v>
      </c>
      <c r="G247" s="46"/>
      <c r="H247" s="46"/>
      <c r="I247" s="46"/>
      <c r="J247" s="76">
        <f t="shared" si="7"/>
        <v>920</v>
      </c>
      <c r="K247" s="145"/>
      <c r="L247" s="63">
        <v>920</v>
      </c>
      <c r="M247" s="65"/>
      <c r="N247" s="107"/>
      <c r="O247" s="115"/>
      <c r="P247" s="18">
        <v>0.45800000000000002</v>
      </c>
      <c r="Q247" s="18">
        <v>0.20499999999999999</v>
      </c>
      <c r="R247" s="18">
        <v>0.315</v>
      </c>
      <c r="S247" s="18"/>
      <c r="T247" s="18">
        <v>2.9000000000000001E-2</v>
      </c>
    </row>
    <row r="248" spans="1:20" x14ac:dyDescent="0.25">
      <c r="A248" s="128" t="s">
        <v>222</v>
      </c>
      <c r="B248" s="135" t="s">
        <v>169</v>
      </c>
      <c r="C248" s="129" t="s">
        <v>197</v>
      </c>
      <c r="D248" s="69" t="s">
        <v>232</v>
      </c>
      <c r="E248" s="72" t="s">
        <v>17</v>
      </c>
      <c r="F248" s="69">
        <v>730</v>
      </c>
      <c r="G248" s="46"/>
      <c r="H248" s="46"/>
      <c r="I248" s="46"/>
      <c r="J248" s="76">
        <f t="shared" si="7"/>
        <v>730</v>
      </c>
      <c r="K248" s="145"/>
      <c r="L248" s="63">
        <v>730</v>
      </c>
      <c r="M248" s="65"/>
      <c r="N248" s="107"/>
      <c r="O248" s="115"/>
      <c r="P248" s="18">
        <v>0.50600000000000001</v>
      </c>
      <c r="Q248" s="18">
        <v>0.26</v>
      </c>
      <c r="R248" s="18">
        <v>0.22</v>
      </c>
      <c r="S248" s="18"/>
      <c r="T248" s="18">
        <v>3.0000000000000001E-3</v>
      </c>
    </row>
    <row r="249" spans="1:20" x14ac:dyDescent="0.25">
      <c r="A249" s="128"/>
      <c r="B249" s="135"/>
      <c r="C249" s="129"/>
      <c r="D249" s="46"/>
      <c r="E249" s="146"/>
      <c r="F249" s="46"/>
      <c r="G249" s="46"/>
      <c r="H249" s="46"/>
      <c r="I249" s="46"/>
      <c r="J249" s="70">
        <f t="shared" ref="J249" si="8">F249-G249</f>
        <v>0</v>
      </c>
      <c r="K249" s="145"/>
      <c r="L249" s="63"/>
      <c r="M249" s="65"/>
      <c r="N249" s="107"/>
      <c r="O249" s="115"/>
      <c r="P249" s="18"/>
      <c r="Q249" s="18"/>
      <c r="R249" s="18"/>
      <c r="S249" s="18"/>
      <c r="T249" s="18"/>
    </row>
    <row r="250" spans="1:20" x14ac:dyDescent="0.25">
      <c r="A250" s="70"/>
      <c r="B250" s="131"/>
      <c r="C250" s="70"/>
      <c r="D250" s="23" t="s">
        <v>15</v>
      </c>
      <c r="E250" s="52" t="s">
        <v>39</v>
      </c>
      <c r="F250" s="25">
        <f>SUM(F245:F249)</f>
        <v>3589</v>
      </c>
      <c r="G250" s="25">
        <f>SUM(G249:G249)</f>
        <v>0</v>
      </c>
      <c r="H250" s="23"/>
      <c r="I250" s="23"/>
      <c r="J250" s="25">
        <f>F250-G250</f>
        <v>3589</v>
      </c>
      <c r="K250" s="24" t="s">
        <v>16</v>
      </c>
      <c r="L250" s="25">
        <f>SUM(L245:L249)</f>
        <v>1650</v>
      </c>
      <c r="M250" s="25">
        <f>SUM(M245:M249)</f>
        <v>1939</v>
      </c>
      <c r="N250" s="25">
        <f>SUM(N249:N249)</f>
        <v>0</v>
      </c>
      <c r="O250" s="25">
        <f>SUM(O209:O249)</f>
        <v>0</v>
      </c>
      <c r="P250" s="26"/>
      <c r="Q250" s="26"/>
      <c r="R250" s="26"/>
      <c r="S250" s="26"/>
      <c r="T250" s="26"/>
    </row>
    <row r="251" spans="1:20" x14ac:dyDescent="0.25">
      <c r="A251" s="70"/>
      <c r="B251" s="131"/>
      <c r="C251" s="81"/>
      <c r="D251" s="70"/>
      <c r="E251" s="108"/>
      <c r="F251" s="70"/>
      <c r="G251" s="70"/>
      <c r="H251" s="70"/>
      <c r="I251" s="70"/>
      <c r="J251" s="70"/>
      <c r="K251" s="70"/>
      <c r="L251" s="101"/>
      <c r="M251" s="109"/>
      <c r="N251" s="107"/>
      <c r="O251" s="115"/>
      <c r="P251" s="26"/>
      <c r="Q251" s="26"/>
      <c r="R251" s="26"/>
      <c r="S251" s="26"/>
      <c r="T251" s="26"/>
    </row>
    <row r="252" spans="1:20" x14ac:dyDescent="0.25">
      <c r="A252" s="70"/>
      <c r="B252" s="131"/>
      <c r="C252" s="70"/>
      <c r="D252" s="70"/>
      <c r="E252" s="70"/>
      <c r="F252" s="70"/>
      <c r="G252" s="70"/>
      <c r="H252" s="70"/>
      <c r="I252" s="70"/>
      <c r="J252" s="70"/>
      <c r="K252" s="70"/>
      <c r="L252" s="101"/>
      <c r="M252" s="109"/>
      <c r="N252" s="107"/>
      <c r="O252" s="115"/>
      <c r="P252" s="26"/>
      <c r="Q252" s="26"/>
      <c r="R252" s="26"/>
      <c r="S252" s="26"/>
      <c r="T252" s="70"/>
    </row>
    <row r="253" spans="1:20" x14ac:dyDescent="0.25">
      <c r="A253" s="70"/>
      <c r="B253" s="131"/>
      <c r="C253" s="70"/>
      <c r="D253" s="199" t="s">
        <v>49</v>
      </c>
      <c r="E253" s="200"/>
      <c r="F253" s="39">
        <f>SUM(F18,F102,F208,F244,F250)</f>
        <v>181709</v>
      </c>
      <c r="G253" s="39">
        <f>SUM(G18,G102,G208,G244,G250)</f>
        <v>950</v>
      </c>
      <c r="H253" s="39"/>
      <c r="I253" s="39"/>
      <c r="J253" s="39">
        <f>SUM(F253-G253)</f>
        <v>180759</v>
      </c>
      <c r="K253" s="40" t="s">
        <v>16</v>
      </c>
      <c r="L253" s="39">
        <f>SUM(L18,L102,L208,L244,L250)</f>
        <v>16105</v>
      </c>
      <c r="M253" s="39">
        <f>SUM(M18,M102,M208,M244,M250)</f>
        <v>165604</v>
      </c>
      <c r="N253" s="39">
        <f>SUM(N18,N102,N208,N244,N250)</f>
        <v>0</v>
      </c>
      <c r="O253" s="39">
        <f>SUM(O18,O102,O208,O244,O250)</f>
        <v>0</v>
      </c>
      <c r="P253" s="26"/>
      <c r="Q253" s="26"/>
      <c r="R253" s="26"/>
      <c r="S253" s="26"/>
      <c r="T253" s="70"/>
    </row>
    <row r="254" spans="1:20" x14ac:dyDescent="0.25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6"/>
      <c r="Q254" s="116"/>
      <c r="R254" s="116"/>
      <c r="S254" s="116"/>
      <c r="T254" s="111"/>
    </row>
    <row r="255" spans="1:20" ht="18" x14ac:dyDescent="0.25">
      <c r="A255" s="111"/>
      <c r="B255" s="111"/>
      <c r="C255" s="111"/>
      <c r="D255" s="41"/>
      <c r="E255" s="111"/>
      <c r="F255" s="111"/>
      <c r="G255" s="111"/>
      <c r="H255" s="111"/>
      <c r="I255" s="111"/>
      <c r="J255" s="111"/>
      <c r="K255" s="42" t="s">
        <v>20</v>
      </c>
      <c r="L255" s="42">
        <f>F253-L253-M253-N253-O253</f>
        <v>0</v>
      </c>
      <c r="M255" s="111"/>
      <c r="N255" s="111"/>
      <c r="O255" s="111"/>
      <c r="P255" s="111"/>
      <c r="Q255" s="111"/>
      <c r="R255" s="111"/>
      <c r="S255" s="111"/>
      <c r="T255" s="111"/>
    </row>
  </sheetData>
  <mergeCells count="4">
    <mergeCell ref="A1:C1"/>
    <mergeCell ref="G1:J1"/>
    <mergeCell ref="K1:L1"/>
    <mergeCell ref="D253:E253"/>
  </mergeCells>
  <phoneticPr fontId="15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20C82-34A3-4FB4-A98E-B79CCA462071}">
  <sheetPr codeName="Foglio5"/>
  <dimension ref="A1:U64"/>
  <sheetViews>
    <sheetView zoomScaleNormal="100" workbookViewId="0">
      <selection activeCell="D20" sqref="D20"/>
    </sheetView>
  </sheetViews>
  <sheetFormatPr defaultRowHeight="15" x14ac:dyDescent="0.25"/>
  <cols>
    <col min="1" max="1" width="9.7109375" customWidth="1"/>
    <col min="2" max="2" width="12.42578125" customWidth="1"/>
    <col min="3" max="3" width="16.42578125" customWidth="1"/>
    <col min="4" max="4" width="33" customWidth="1"/>
    <col min="5" max="5" width="16.5703125" customWidth="1"/>
    <col min="6" max="6" width="11.5703125" customWidth="1"/>
    <col min="7" max="8" width="14.42578125" customWidth="1"/>
    <col min="9" max="9" width="13.140625" customWidth="1"/>
    <col min="10" max="10" width="12.85546875" customWidth="1"/>
    <col min="11" max="11" width="17.7109375" customWidth="1"/>
    <col min="12" max="12" width="10" customWidth="1"/>
    <col min="13" max="13" width="10.42578125" customWidth="1"/>
    <col min="14" max="14" width="10.5703125" customWidth="1"/>
    <col min="15" max="15" width="9.85546875" customWidth="1"/>
  </cols>
  <sheetData>
    <row r="1" spans="1:21" ht="27" thickBot="1" x14ac:dyDescent="0.45">
      <c r="A1" s="193" t="s">
        <v>0</v>
      </c>
      <c r="B1" s="193"/>
      <c r="C1" s="193"/>
      <c r="D1" s="1">
        <v>46161</v>
      </c>
      <c r="E1" s="2"/>
      <c r="F1" s="3"/>
      <c r="G1" s="227" t="s">
        <v>131</v>
      </c>
      <c r="H1" s="228"/>
      <c r="I1" s="228"/>
      <c r="J1" s="228"/>
      <c r="K1" s="228"/>
      <c r="L1" s="228"/>
      <c r="M1" s="228"/>
      <c r="N1" s="228"/>
    </row>
    <row r="2" spans="1:21" ht="15.75" thickTop="1" x14ac:dyDescent="0.25">
      <c r="A2" s="4"/>
      <c r="B2" s="4"/>
      <c r="C2" s="4"/>
      <c r="D2" s="4"/>
      <c r="E2" s="5"/>
    </row>
    <row r="3" spans="1:21" ht="38.25" x14ac:dyDescent="0.25">
      <c r="A3" s="6" t="s">
        <v>2</v>
      </c>
      <c r="B3" s="73" t="s">
        <v>38</v>
      </c>
      <c r="C3" s="7" t="s">
        <v>37</v>
      </c>
      <c r="D3" s="8" t="s">
        <v>3</v>
      </c>
      <c r="E3" s="8" t="s">
        <v>4</v>
      </c>
      <c r="F3" s="9" t="s">
        <v>30</v>
      </c>
      <c r="G3" s="8" t="s">
        <v>5</v>
      </c>
      <c r="H3" s="8" t="s">
        <v>6</v>
      </c>
      <c r="I3" s="8" t="s">
        <v>7</v>
      </c>
      <c r="J3" s="9" t="s">
        <v>8</v>
      </c>
      <c r="K3" s="8" t="s">
        <v>23</v>
      </c>
      <c r="L3" s="10" t="s">
        <v>9</v>
      </c>
      <c r="M3" s="152" t="s">
        <v>31</v>
      </c>
      <c r="N3" s="136" t="s">
        <v>32</v>
      </c>
      <c r="O3" s="54" t="s">
        <v>40</v>
      </c>
      <c r="P3" s="12" t="s">
        <v>10</v>
      </c>
      <c r="Q3" s="12" t="s">
        <v>11</v>
      </c>
      <c r="R3" s="12" t="s">
        <v>12</v>
      </c>
      <c r="S3" s="12" t="s">
        <v>13</v>
      </c>
      <c r="T3" s="67" t="s">
        <v>36</v>
      </c>
      <c r="U3" s="138"/>
    </row>
    <row r="4" spans="1:21" x14ac:dyDescent="0.25">
      <c r="A4" s="188" t="s">
        <v>171</v>
      </c>
      <c r="B4" s="92" t="s">
        <v>169</v>
      </c>
      <c r="C4" s="161" t="s">
        <v>57</v>
      </c>
      <c r="D4" s="72" t="s">
        <v>172</v>
      </c>
      <c r="E4" s="72" t="s">
        <v>14</v>
      </c>
      <c r="F4" s="163">
        <v>1000</v>
      </c>
      <c r="G4" s="76"/>
      <c r="H4" s="76"/>
      <c r="I4" s="76"/>
      <c r="J4" s="76">
        <f t="shared" ref="J4:J5" si="0">F4-G4</f>
        <v>1000</v>
      </c>
      <c r="K4" s="72" t="s">
        <v>60</v>
      </c>
      <c r="L4" s="63"/>
      <c r="M4" s="141"/>
      <c r="N4" s="165">
        <v>1000</v>
      </c>
      <c r="O4" s="142"/>
      <c r="P4" s="16">
        <v>0</v>
      </c>
      <c r="Q4" s="18">
        <v>1.3299999999999999E-2</v>
      </c>
      <c r="R4" s="18">
        <v>3.6600000000000001E-2</v>
      </c>
      <c r="S4" s="16">
        <v>0</v>
      </c>
      <c r="T4" s="13">
        <v>0</v>
      </c>
      <c r="U4" s="119"/>
    </row>
    <row r="5" spans="1:21" x14ac:dyDescent="0.25">
      <c r="A5" s="188" t="s">
        <v>171</v>
      </c>
      <c r="B5" s="92" t="s">
        <v>169</v>
      </c>
      <c r="C5" s="161" t="s">
        <v>57</v>
      </c>
      <c r="D5" s="72" t="s">
        <v>172</v>
      </c>
      <c r="E5" s="72" t="s">
        <v>14</v>
      </c>
      <c r="F5" s="163">
        <v>669</v>
      </c>
      <c r="G5" s="76"/>
      <c r="H5" s="76"/>
      <c r="I5" s="76"/>
      <c r="J5" s="76">
        <f t="shared" si="0"/>
        <v>669</v>
      </c>
      <c r="K5" s="72" t="s">
        <v>62</v>
      </c>
      <c r="L5" s="63"/>
      <c r="M5" s="141"/>
      <c r="N5" s="165">
        <v>669</v>
      </c>
      <c r="O5" s="142"/>
      <c r="P5" s="16">
        <v>1E-3</v>
      </c>
      <c r="Q5" s="18">
        <v>0.02</v>
      </c>
      <c r="R5" s="18">
        <v>0.05</v>
      </c>
      <c r="S5" s="16">
        <v>0</v>
      </c>
      <c r="T5" s="13">
        <v>0</v>
      </c>
      <c r="U5" s="119"/>
    </row>
    <row r="6" spans="1:21" x14ac:dyDescent="0.25">
      <c r="A6" s="19"/>
      <c r="B6" s="74"/>
      <c r="C6" s="96"/>
      <c r="D6" s="20"/>
      <c r="E6" s="97"/>
      <c r="F6" s="98"/>
      <c r="G6" s="98"/>
      <c r="H6" s="98"/>
      <c r="I6" s="98"/>
      <c r="J6" s="98"/>
      <c r="K6" s="21"/>
      <c r="L6" s="14"/>
      <c r="M6" s="143"/>
      <c r="N6" s="15"/>
      <c r="O6" s="53"/>
      <c r="P6" s="16"/>
      <c r="Q6" s="17"/>
      <c r="R6" s="17"/>
      <c r="S6" s="17"/>
      <c r="T6" s="13"/>
      <c r="U6" s="119"/>
    </row>
    <row r="7" spans="1:21" x14ac:dyDescent="0.25">
      <c r="A7" s="19"/>
      <c r="B7" s="74"/>
      <c r="C7" s="96"/>
      <c r="D7" s="20"/>
      <c r="E7" s="97"/>
      <c r="F7" s="98"/>
      <c r="G7" s="98"/>
      <c r="H7" s="98"/>
      <c r="I7" s="98"/>
      <c r="J7" s="98"/>
      <c r="K7" s="21"/>
      <c r="L7" s="14"/>
      <c r="M7" s="143"/>
      <c r="N7" s="15"/>
      <c r="O7" s="53"/>
      <c r="P7" s="16"/>
      <c r="Q7" s="17"/>
      <c r="R7" s="17"/>
      <c r="S7" s="17"/>
      <c r="T7" s="13"/>
      <c r="U7" s="119"/>
    </row>
    <row r="8" spans="1:21" x14ac:dyDescent="0.25">
      <c r="A8" s="112"/>
      <c r="B8" s="96"/>
      <c r="C8" s="99"/>
      <c r="D8" s="100"/>
      <c r="E8" s="120"/>
      <c r="F8" s="98"/>
      <c r="G8" s="98"/>
      <c r="H8" s="98"/>
      <c r="I8" s="98"/>
      <c r="J8" s="98"/>
      <c r="K8" s="21"/>
      <c r="L8" s="22"/>
      <c r="M8" s="143"/>
      <c r="N8" s="15"/>
      <c r="O8" s="53"/>
      <c r="P8" s="13"/>
      <c r="Q8" s="13"/>
      <c r="R8" s="13"/>
      <c r="S8" s="13"/>
      <c r="T8" s="13"/>
      <c r="U8" s="119"/>
    </row>
    <row r="9" spans="1:21" x14ac:dyDescent="0.25">
      <c r="A9" s="112"/>
      <c r="B9" s="112"/>
      <c r="C9" s="99"/>
      <c r="D9" s="100"/>
      <c r="E9" s="97"/>
      <c r="F9" s="98"/>
      <c r="G9" s="98"/>
      <c r="H9" s="98"/>
      <c r="I9" s="98"/>
      <c r="J9" s="98"/>
      <c r="K9" s="21"/>
      <c r="L9" s="22"/>
      <c r="M9" s="143"/>
      <c r="N9" s="15"/>
      <c r="O9" s="53"/>
      <c r="P9" s="13"/>
      <c r="Q9" s="13"/>
      <c r="R9" s="13"/>
      <c r="S9" s="13"/>
      <c r="T9" s="13"/>
      <c r="U9" s="119"/>
    </row>
    <row r="10" spans="1:21" x14ac:dyDescent="0.25">
      <c r="A10" s="112"/>
      <c r="B10" s="112"/>
      <c r="C10" s="99"/>
      <c r="D10" s="100"/>
      <c r="E10" s="97"/>
      <c r="F10" s="98"/>
      <c r="G10" s="98"/>
      <c r="H10" s="98"/>
      <c r="I10" s="98"/>
      <c r="J10" s="98"/>
      <c r="K10" s="21"/>
      <c r="L10" s="22"/>
      <c r="M10" s="143"/>
      <c r="N10" s="15"/>
      <c r="O10" s="53"/>
      <c r="P10" s="13"/>
      <c r="Q10" s="13"/>
      <c r="R10" s="13"/>
      <c r="S10" s="13"/>
      <c r="T10" s="13"/>
      <c r="U10" s="119"/>
    </row>
    <row r="11" spans="1:21" x14ac:dyDescent="0.25">
      <c r="A11" s="160"/>
      <c r="B11" s="116"/>
      <c r="C11" s="92"/>
      <c r="D11" s="23" t="s">
        <v>15</v>
      </c>
      <c r="E11" s="51" t="s">
        <v>14</v>
      </c>
      <c r="F11" s="23">
        <f>SUM(F4:F10)</f>
        <v>1669</v>
      </c>
      <c r="G11" s="23">
        <f>SUM(G4:G10)</f>
        <v>0</v>
      </c>
      <c r="H11" s="23"/>
      <c r="I11" s="23"/>
      <c r="J11" s="23">
        <f>F11-G11</f>
        <v>1669</v>
      </c>
      <c r="K11" s="24" t="s">
        <v>16</v>
      </c>
      <c r="L11" s="25">
        <f>SUM(L4:L5)</f>
        <v>0</v>
      </c>
      <c r="M11" s="25">
        <f>SUM(M4:M5)</f>
        <v>0</v>
      </c>
      <c r="N11" s="25">
        <f>SUM(N4:N8)</f>
        <v>1669</v>
      </c>
      <c r="O11" s="25">
        <f>SUM(O4:O5)</f>
        <v>0</v>
      </c>
      <c r="P11" s="26"/>
      <c r="Q11" s="26"/>
      <c r="R11" s="26"/>
      <c r="S11" s="26"/>
      <c r="T11" s="26"/>
      <c r="U11" s="119"/>
    </row>
    <row r="12" spans="1:21" x14ac:dyDescent="0.25">
      <c r="A12" s="188" t="s">
        <v>171</v>
      </c>
      <c r="B12" s="92" t="s">
        <v>169</v>
      </c>
      <c r="C12" s="161" t="s">
        <v>57</v>
      </c>
      <c r="D12" s="72" t="s">
        <v>172</v>
      </c>
      <c r="E12" s="72" t="s">
        <v>17</v>
      </c>
      <c r="F12" s="70">
        <v>1000</v>
      </c>
      <c r="G12" s="72"/>
      <c r="H12" s="72"/>
      <c r="I12" s="72"/>
      <c r="J12" s="76">
        <f t="shared" ref="J12:J13" si="1">F12-G12</f>
        <v>1000</v>
      </c>
      <c r="K12" s="72" t="s">
        <v>60</v>
      </c>
      <c r="L12" s="159"/>
      <c r="M12" s="143"/>
      <c r="N12" s="165">
        <v>1000</v>
      </c>
      <c r="O12" s="53"/>
      <c r="P12" s="18">
        <v>0</v>
      </c>
      <c r="Q12" s="18">
        <v>0.01</v>
      </c>
      <c r="R12" s="18">
        <v>0.04</v>
      </c>
      <c r="S12" s="18">
        <v>0</v>
      </c>
      <c r="T12" s="26">
        <v>0</v>
      </c>
      <c r="U12" s="119"/>
    </row>
    <row r="13" spans="1:21" x14ac:dyDescent="0.25">
      <c r="A13" s="188" t="s">
        <v>171</v>
      </c>
      <c r="B13" s="92" t="s">
        <v>169</v>
      </c>
      <c r="C13" s="161" t="s">
        <v>57</v>
      </c>
      <c r="D13" s="72" t="s">
        <v>172</v>
      </c>
      <c r="E13" s="72" t="s">
        <v>17</v>
      </c>
      <c r="F13" s="70">
        <v>1000</v>
      </c>
      <c r="G13" s="70"/>
      <c r="H13" s="70"/>
      <c r="I13" s="70"/>
      <c r="J13" s="76">
        <f t="shared" si="1"/>
        <v>1000</v>
      </c>
      <c r="K13" s="72" t="s">
        <v>62</v>
      </c>
      <c r="L13" s="159"/>
      <c r="M13" s="140"/>
      <c r="N13" s="165">
        <v>1000</v>
      </c>
      <c r="O13" s="95"/>
      <c r="P13" s="18">
        <v>0</v>
      </c>
      <c r="Q13" s="18">
        <v>0.01</v>
      </c>
      <c r="R13" s="18">
        <v>3.3300000000000003E-2</v>
      </c>
      <c r="S13" s="18">
        <v>0</v>
      </c>
      <c r="T13" s="26">
        <v>0</v>
      </c>
      <c r="U13" s="119"/>
    </row>
    <row r="14" spans="1:21" x14ac:dyDescent="0.25">
      <c r="A14" s="188" t="s">
        <v>171</v>
      </c>
      <c r="B14" s="92" t="s">
        <v>169</v>
      </c>
      <c r="C14" s="161" t="s">
        <v>57</v>
      </c>
      <c r="D14" s="72" t="s">
        <v>172</v>
      </c>
      <c r="E14" s="72" t="s">
        <v>17</v>
      </c>
      <c r="F14" s="70">
        <v>1000</v>
      </c>
      <c r="G14" s="70"/>
      <c r="H14" s="70"/>
      <c r="I14" s="70"/>
      <c r="J14" s="76">
        <f t="shared" ref="J14:J20" si="2">F14-G14</f>
        <v>1000</v>
      </c>
      <c r="K14" s="72" t="s">
        <v>65</v>
      </c>
      <c r="L14" s="159"/>
      <c r="M14" s="140"/>
      <c r="N14" s="165">
        <v>1000</v>
      </c>
      <c r="O14" s="95"/>
      <c r="P14" s="18">
        <v>0</v>
      </c>
      <c r="Q14" s="18">
        <v>1.3299999999999999E-2</v>
      </c>
      <c r="R14" s="18">
        <v>4.3299999999999998E-2</v>
      </c>
      <c r="S14" s="18">
        <v>0</v>
      </c>
      <c r="T14" s="26">
        <v>0</v>
      </c>
      <c r="U14" s="119"/>
    </row>
    <row r="15" spans="1:21" x14ac:dyDescent="0.25">
      <c r="A15" s="188" t="s">
        <v>171</v>
      </c>
      <c r="B15" s="92" t="s">
        <v>169</v>
      </c>
      <c r="C15" s="161" t="s">
        <v>57</v>
      </c>
      <c r="D15" s="72" t="s">
        <v>172</v>
      </c>
      <c r="E15" s="72" t="s">
        <v>17</v>
      </c>
      <c r="F15" s="70">
        <v>1000</v>
      </c>
      <c r="G15" s="70"/>
      <c r="H15" s="70"/>
      <c r="I15" s="70"/>
      <c r="J15" s="76">
        <f t="shared" si="2"/>
        <v>1000</v>
      </c>
      <c r="K15" s="72" t="s">
        <v>173</v>
      </c>
      <c r="L15" s="159"/>
      <c r="M15" s="140"/>
      <c r="N15" s="165">
        <v>1000</v>
      </c>
      <c r="O15" s="95"/>
      <c r="P15" s="18">
        <v>0</v>
      </c>
      <c r="Q15" s="18">
        <v>0.02</v>
      </c>
      <c r="R15" s="18">
        <v>4.3299999999999998E-2</v>
      </c>
      <c r="S15" s="18">
        <v>0</v>
      </c>
      <c r="T15" s="26">
        <v>0</v>
      </c>
      <c r="U15" s="119"/>
    </row>
    <row r="16" spans="1:21" x14ac:dyDescent="0.25">
      <c r="A16" s="188" t="s">
        <v>171</v>
      </c>
      <c r="B16" s="92" t="s">
        <v>169</v>
      </c>
      <c r="C16" s="161" t="s">
        <v>57</v>
      </c>
      <c r="D16" s="72" t="s">
        <v>172</v>
      </c>
      <c r="E16" s="72" t="s">
        <v>17</v>
      </c>
      <c r="F16" s="70">
        <v>1000</v>
      </c>
      <c r="G16" s="70"/>
      <c r="H16" s="70"/>
      <c r="I16" s="70"/>
      <c r="J16" s="76">
        <f t="shared" si="2"/>
        <v>1000</v>
      </c>
      <c r="K16" s="72" t="s">
        <v>67</v>
      </c>
      <c r="L16" s="159"/>
      <c r="M16" s="140"/>
      <c r="N16" s="165">
        <v>1000</v>
      </c>
      <c r="O16" s="95"/>
      <c r="P16" s="18">
        <v>0</v>
      </c>
      <c r="Q16" s="18">
        <v>0.01</v>
      </c>
      <c r="R16" s="18">
        <v>5.33E-2</v>
      </c>
      <c r="S16" s="18">
        <v>0</v>
      </c>
      <c r="T16" s="26">
        <v>0</v>
      </c>
      <c r="U16" s="119"/>
    </row>
    <row r="17" spans="1:21" x14ac:dyDescent="0.25">
      <c r="A17" s="188" t="s">
        <v>171</v>
      </c>
      <c r="B17" s="92" t="s">
        <v>169</v>
      </c>
      <c r="C17" s="161" t="s">
        <v>57</v>
      </c>
      <c r="D17" s="72" t="s">
        <v>172</v>
      </c>
      <c r="E17" s="72" t="s">
        <v>17</v>
      </c>
      <c r="F17" s="70">
        <v>1000</v>
      </c>
      <c r="G17" s="70"/>
      <c r="H17" s="70"/>
      <c r="I17" s="70"/>
      <c r="J17" s="76">
        <f t="shared" si="2"/>
        <v>1000</v>
      </c>
      <c r="K17" s="72" t="s">
        <v>174</v>
      </c>
      <c r="L17" s="159"/>
      <c r="M17" s="140"/>
      <c r="N17" s="165">
        <v>1000</v>
      </c>
      <c r="O17" s="95"/>
      <c r="P17" s="18">
        <v>0</v>
      </c>
      <c r="Q17" s="18">
        <v>3.3E-3</v>
      </c>
      <c r="R17" s="18">
        <v>0.06</v>
      </c>
      <c r="S17" s="18">
        <v>0</v>
      </c>
      <c r="T17" s="26">
        <v>0</v>
      </c>
      <c r="U17" s="119"/>
    </row>
    <row r="18" spans="1:21" x14ac:dyDescent="0.25">
      <c r="A18" s="188" t="s">
        <v>171</v>
      </c>
      <c r="B18" s="92" t="s">
        <v>169</v>
      </c>
      <c r="C18" s="161" t="s">
        <v>57</v>
      </c>
      <c r="D18" s="72" t="s">
        <v>172</v>
      </c>
      <c r="E18" s="72" t="s">
        <v>17</v>
      </c>
      <c r="F18" s="70">
        <v>1000</v>
      </c>
      <c r="G18" s="70"/>
      <c r="H18" s="70"/>
      <c r="I18" s="70"/>
      <c r="J18" s="76">
        <f t="shared" si="2"/>
        <v>1000</v>
      </c>
      <c r="K18" s="72" t="s">
        <v>175</v>
      </c>
      <c r="L18" s="159"/>
      <c r="M18" s="140"/>
      <c r="N18" s="165">
        <v>1000</v>
      </c>
      <c r="O18" s="95"/>
      <c r="P18" s="18">
        <v>0</v>
      </c>
      <c r="Q18" s="18">
        <v>3.3E-3</v>
      </c>
      <c r="R18" s="18">
        <v>3.3300000000000003E-2</v>
      </c>
      <c r="S18" s="18">
        <v>0</v>
      </c>
      <c r="T18" s="26">
        <v>0</v>
      </c>
      <c r="U18" s="119"/>
    </row>
    <row r="19" spans="1:21" x14ac:dyDescent="0.25">
      <c r="A19" s="188" t="s">
        <v>171</v>
      </c>
      <c r="B19" s="92" t="s">
        <v>169</v>
      </c>
      <c r="C19" s="161" t="s">
        <v>57</v>
      </c>
      <c r="D19" s="72" t="s">
        <v>172</v>
      </c>
      <c r="E19" s="72" t="s">
        <v>17</v>
      </c>
      <c r="F19" s="70">
        <v>1000</v>
      </c>
      <c r="G19" s="70"/>
      <c r="H19" s="70"/>
      <c r="I19" s="70"/>
      <c r="J19" s="76">
        <f t="shared" si="2"/>
        <v>1000</v>
      </c>
      <c r="K19" s="72" t="s">
        <v>176</v>
      </c>
      <c r="L19" s="159"/>
      <c r="M19" s="140"/>
      <c r="N19" s="165">
        <v>1000</v>
      </c>
      <c r="O19" s="95"/>
      <c r="P19" s="18">
        <v>0</v>
      </c>
      <c r="Q19" s="18">
        <v>1.66E-2</v>
      </c>
      <c r="R19" s="18">
        <v>0.06</v>
      </c>
      <c r="S19" s="18">
        <v>0</v>
      </c>
      <c r="T19" s="26">
        <v>0</v>
      </c>
      <c r="U19" s="119"/>
    </row>
    <row r="20" spans="1:21" x14ac:dyDescent="0.25">
      <c r="A20" s="188" t="s">
        <v>171</v>
      </c>
      <c r="B20" s="92" t="s">
        <v>169</v>
      </c>
      <c r="C20" s="161" t="s">
        <v>57</v>
      </c>
      <c r="D20" s="72" t="s">
        <v>172</v>
      </c>
      <c r="E20" s="72" t="s">
        <v>17</v>
      </c>
      <c r="F20" s="70">
        <v>653</v>
      </c>
      <c r="G20" s="70"/>
      <c r="H20" s="70"/>
      <c r="I20" s="70"/>
      <c r="J20" s="76">
        <f t="shared" si="2"/>
        <v>653</v>
      </c>
      <c r="K20" s="72" t="s">
        <v>177</v>
      </c>
      <c r="L20" s="159"/>
      <c r="M20" s="140"/>
      <c r="N20" s="165">
        <v>653</v>
      </c>
      <c r="O20" s="95"/>
      <c r="P20" s="18">
        <v>1E-3</v>
      </c>
      <c r="Q20" s="18">
        <v>2.3300000000000001E-2</v>
      </c>
      <c r="R20" s="18">
        <v>7.3300000000000004E-2</v>
      </c>
      <c r="S20" s="18">
        <v>0</v>
      </c>
      <c r="T20" s="26">
        <v>0</v>
      </c>
      <c r="U20" s="119"/>
    </row>
    <row r="21" spans="1:21" x14ac:dyDescent="0.25">
      <c r="A21" s="114"/>
      <c r="B21" s="78"/>
      <c r="C21" s="30"/>
      <c r="D21" s="31"/>
      <c r="E21" s="32"/>
      <c r="F21" s="104"/>
      <c r="G21" s="104"/>
      <c r="H21" s="104"/>
      <c r="I21" s="104"/>
      <c r="J21" s="104"/>
      <c r="K21" s="33"/>
      <c r="L21" s="27"/>
      <c r="M21" s="140"/>
      <c r="N21" s="103"/>
      <c r="O21" s="95"/>
      <c r="P21" s="18"/>
      <c r="Q21" s="18"/>
      <c r="R21" s="18"/>
      <c r="S21" s="18"/>
      <c r="T21" s="26"/>
      <c r="U21" s="119"/>
    </row>
    <row r="22" spans="1:21" x14ac:dyDescent="0.25">
      <c r="A22" s="114"/>
      <c r="B22" s="78"/>
      <c r="C22" s="78"/>
      <c r="D22" s="121"/>
      <c r="E22" s="83"/>
      <c r="F22" s="104"/>
      <c r="G22" s="104"/>
      <c r="H22" s="110"/>
      <c r="I22" s="105"/>
      <c r="J22" s="104"/>
      <c r="K22" s="33"/>
      <c r="L22" s="27"/>
      <c r="M22" s="140"/>
      <c r="N22" s="103"/>
      <c r="O22" s="95"/>
      <c r="P22" s="18"/>
      <c r="Q22" s="18"/>
      <c r="R22" s="18"/>
      <c r="S22" s="18"/>
      <c r="T22" s="26"/>
      <c r="U22" s="119"/>
    </row>
    <row r="23" spans="1:21" x14ac:dyDescent="0.25">
      <c r="A23" s="70"/>
      <c r="B23" s="79"/>
      <c r="C23" s="79"/>
      <c r="D23" s="23" t="s">
        <v>15</v>
      </c>
      <c r="E23" s="51" t="s">
        <v>17</v>
      </c>
      <c r="F23" s="23">
        <f>SUM(F12:F21)</f>
        <v>8653</v>
      </c>
      <c r="G23" s="23">
        <f>SUM(G13:G22)</f>
        <v>0</v>
      </c>
      <c r="H23" s="23"/>
      <c r="I23" s="23"/>
      <c r="J23" s="23">
        <f>F23-G23</f>
        <v>8653</v>
      </c>
      <c r="K23" s="24" t="s">
        <v>16</v>
      </c>
      <c r="L23" s="25">
        <f>SUM(L12:L20)</f>
        <v>0</v>
      </c>
      <c r="M23" s="25">
        <f>SUM(M13:M20)</f>
        <v>0</v>
      </c>
      <c r="N23" s="25">
        <f>SUM(N12:N20)</f>
        <v>8653</v>
      </c>
      <c r="O23" s="25">
        <f>SUM(O13:O20)</f>
        <v>0</v>
      </c>
      <c r="P23" s="26"/>
      <c r="Q23" s="26"/>
      <c r="R23" s="26"/>
      <c r="S23" s="26"/>
      <c r="T23" s="26"/>
      <c r="U23" s="119"/>
    </row>
    <row r="24" spans="1:21" x14ac:dyDescent="0.25">
      <c r="A24" s="188" t="s">
        <v>171</v>
      </c>
      <c r="B24" s="92" t="s">
        <v>169</v>
      </c>
      <c r="C24" s="161" t="s">
        <v>57</v>
      </c>
      <c r="D24" s="72" t="s">
        <v>172</v>
      </c>
      <c r="E24" s="72" t="s">
        <v>19</v>
      </c>
      <c r="F24" s="157">
        <v>1000</v>
      </c>
      <c r="G24" s="47"/>
      <c r="H24" s="47"/>
      <c r="I24" s="47"/>
      <c r="J24" s="70">
        <f t="shared" ref="J24" si="3">F24-G24</f>
        <v>1000</v>
      </c>
      <c r="K24" s="72" t="s">
        <v>60</v>
      </c>
      <c r="L24" s="166"/>
      <c r="M24" s="140"/>
      <c r="N24" s="164">
        <v>1000</v>
      </c>
      <c r="O24" s="95"/>
      <c r="P24" s="18">
        <v>0</v>
      </c>
      <c r="Q24" s="18">
        <v>3.3E-3</v>
      </c>
      <c r="R24" s="18">
        <v>3.6600000000000001E-2</v>
      </c>
      <c r="S24" s="18">
        <v>0</v>
      </c>
      <c r="T24" s="26">
        <v>0</v>
      </c>
      <c r="U24" s="119"/>
    </row>
    <row r="25" spans="1:21" x14ac:dyDescent="0.25">
      <c r="A25" s="188" t="s">
        <v>171</v>
      </c>
      <c r="B25" s="92" t="s">
        <v>169</v>
      </c>
      <c r="C25" s="161" t="s">
        <v>57</v>
      </c>
      <c r="D25" s="72" t="s">
        <v>172</v>
      </c>
      <c r="E25" s="72" t="s">
        <v>19</v>
      </c>
      <c r="F25" s="162">
        <v>1000</v>
      </c>
      <c r="G25" s="70"/>
      <c r="H25" s="70"/>
      <c r="I25" s="70"/>
      <c r="J25" s="70">
        <f t="shared" ref="J25:J33" si="4">F25-G25</f>
        <v>1000</v>
      </c>
      <c r="K25" s="72" t="s">
        <v>62</v>
      </c>
      <c r="L25" s="159"/>
      <c r="M25" s="28"/>
      <c r="N25" s="164">
        <v>1000</v>
      </c>
      <c r="O25" s="95"/>
      <c r="P25" s="18">
        <v>0</v>
      </c>
      <c r="Q25" s="18">
        <v>6.6E-3</v>
      </c>
      <c r="R25" s="18">
        <v>2.6599999999999999E-2</v>
      </c>
      <c r="S25" s="18">
        <v>0</v>
      </c>
      <c r="T25" s="26">
        <v>0</v>
      </c>
      <c r="U25" s="119"/>
    </row>
    <row r="26" spans="1:21" x14ac:dyDescent="0.25">
      <c r="A26" s="188" t="s">
        <v>171</v>
      </c>
      <c r="B26" s="92" t="s">
        <v>169</v>
      </c>
      <c r="C26" s="161" t="s">
        <v>57</v>
      </c>
      <c r="D26" s="72" t="s">
        <v>172</v>
      </c>
      <c r="E26" s="72" t="s">
        <v>19</v>
      </c>
      <c r="F26" s="157">
        <v>1000</v>
      </c>
      <c r="G26" s="70"/>
      <c r="H26" s="70"/>
      <c r="I26" s="70"/>
      <c r="J26" s="70">
        <f t="shared" si="4"/>
        <v>1000</v>
      </c>
      <c r="K26" s="72" t="s">
        <v>65</v>
      </c>
      <c r="L26" s="159"/>
      <c r="M26" s="65"/>
      <c r="N26" s="164">
        <v>1000</v>
      </c>
      <c r="O26" s="95"/>
      <c r="P26" s="18">
        <v>0</v>
      </c>
      <c r="Q26" s="18">
        <v>1.3299999999999999E-2</v>
      </c>
      <c r="R26" s="18">
        <v>5.6599999999999998E-2</v>
      </c>
      <c r="S26" s="18">
        <v>0</v>
      </c>
      <c r="T26" s="26">
        <v>0</v>
      </c>
      <c r="U26" s="119"/>
    </row>
    <row r="27" spans="1:21" x14ac:dyDescent="0.25">
      <c r="A27" s="188" t="s">
        <v>171</v>
      </c>
      <c r="B27" s="92" t="s">
        <v>169</v>
      </c>
      <c r="C27" s="161" t="s">
        <v>57</v>
      </c>
      <c r="D27" s="72" t="s">
        <v>172</v>
      </c>
      <c r="E27" s="72" t="s">
        <v>19</v>
      </c>
      <c r="F27" s="157">
        <v>1000</v>
      </c>
      <c r="G27" s="70"/>
      <c r="H27" s="70"/>
      <c r="I27" s="70"/>
      <c r="J27" s="70">
        <f t="shared" si="4"/>
        <v>1000</v>
      </c>
      <c r="K27" s="72" t="s">
        <v>173</v>
      </c>
      <c r="L27" s="159"/>
      <c r="M27" s="65"/>
      <c r="N27" s="164">
        <v>1000</v>
      </c>
      <c r="O27" s="95"/>
      <c r="P27" s="18">
        <v>1E-3</v>
      </c>
      <c r="Q27" s="18">
        <v>0.02</v>
      </c>
      <c r="R27" s="18">
        <v>0.06</v>
      </c>
      <c r="S27" s="18">
        <v>0</v>
      </c>
      <c r="T27" s="26">
        <v>0</v>
      </c>
      <c r="U27" s="119"/>
    </row>
    <row r="28" spans="1:21" x14ac:dyDescent="0.25">
      <c r="A28" s="188" t="s">
        <v>171</v>
      </c>
      <c r="B28" s="92" t="s">
        <v>169</v>
      </c>
      <c r="C28" s="161" t="s">
        <v>57</v>
      </c>
      <c r="D28" s="72" t="s">
        <v>172</v>
      </c>
      <c r="E28" s="72" t="s">
        <v>19</v>
      </c>
      <c r="F28" s="157">
        <v>1000</v>
      </c>
      <c r="G28" s="70"/>
      <c r="H28" s="70"/>
      <c r="I28" s="70"/>
      <c r="J28" s="70">
        <f t="shared" si="4"/>
        <v>1000</v>
      </c>
      <c r="K28" s="72" t="s">
        <v>67</v>
      </c>
      <c r="L28" s="159"/>
      <c r="M28" s="65"/>
      <c r="N28" s="164">
        <v>1000</v>
      </c>
      <c r="O28" s="95"/>
      <c r="P28" s="18">
        <v>0</v>
      </c>
      <c r="Q28" s="18">
        <v>0.01</v>
      </c>
      <c r="R28" s="18">
        <v>6.6600000000000006E-2</v>
      </c>
      <c r="S28" s="18">
        <v>0</v>
      </c>
      <c r="T28" s="26">
        <v>0</v>
      </c>
      <c r="U28" s="119"/>
    </row>
    <row r="29" spans="1:21" x14ac:dyDescent="0.25">
      <c r="A29" s="188" t="s">
        <v>171</v>
      </c>
      <c r="B29" s="92" t="s">
        <v>169</v>
      </c>
      <c r="C29" s="161" t="s">
        <v>57</v>
      </c>
      <c r="D29" s="72" t="s">
        <v>172</v>
      </c>
      <c r="E29" s="72" t="s">
        <v>19</v>
      </c>
      <c r="F29" s="157">
        <v>1000</v>
      </c>
      <c r="G29" s="70"/>
      <c r="H29" s="70"/>
      <c r="I29" s="70"/>
      <c r="J29" s="70">
        <f t="shared" si="4"/>
        <v>1000</v>
      </c>
      <c r="K29" s="72" t="s">
        <v>174</v>
      </c>
      <c r="L29" s="159"/>
      <c r="M29" s="65"/>
      <c r="N29" s="164">
        <v>1000</v>
      </c>
      <c r="O29" s="95"/>
      <c r="P29" s="18">
        <v>0</v>
      </c>
      <c r="Q29" s="18">
        <v>6.6E-3</v>
      </c>
      <c r="R29" s="18">
        <v>0.08</v>
      </c>
      <c r="S29" s="18">
        <v>0</v>
      </c>
      <c r="T29" s="26">
        <v>0</v>
      </c>
      <c r="U29" s="119"/>
    </row>
    <row r="30" spans="1:21" x14ac:dyDescent="0.25">
      <c r="A30" s="188" t="s">
        <v>171</v>
      </c>
      <c r="B30" s="92" t="s">
        <v>169</v>
      </c>
      <c r="C30" s="161" t="s">
        <v>57</v>
      </c>
      <c r="D30" s="72" t="s">
        <v>172</v>
      </c>
      <c r="E30" s="72" t="s">
        <v>19</v>
      </c>
      <c r="F30" s="157">
        <v>1000</v>
      </c>
      <c r="G30" s="70"/>
      <c r="H30" s="70"/>
      <c r="I30" s="70"/>
      <c r="J30" s="70">
        <f t="shared" si="4"/>
        <v>1000</v>
      </c>
      <c r="K30" s="72" t="s">
        <v>175</v>
      </c>
      <c r="L30" s="159"/>
      <c r="M30" s="65"/>
      <c r="N30" s="164">
        <v>1000</v>
      </c>
      <c r="O30" s="95"/>
      <c r="P30" s="18">
        <v>0</v>
      </c>
      <c r="Q30" s="18">
        <v>1.3299999999999999E-2</v>
      </c>
      <c r="R30" s="18">
        <v>7.6600000000000001E-2</v>
      </c>
      <c r="S30" s="18">
        <v>0</v>
      </c>
      <c r="T30" s="26">
        <v>0</v>
      </c>
      <c r="U30" s="119"/>
    </row>
    <row r="31" spans="1:21" x14ac:dyDescent="0.25">
      <c r="A31" s="188" t="s">
        <v>171</v>
      </c>
      <c r="B31" s="92" t="s">
        <v>169</v>
      </c>
      <c r="C31" s="161" t="s">
        <v>57</v>
      </c>
      <c r="D31" s="72" t="s">
        <v>172</v>
      </c>
      <c r="E31" s="72" t="s">
        <v>19</v>
      </c>
      <c r="F31" s="157">
        <v>1000</v>
      </c>
      <c r="G31" s="70"/>
      <c r="H31" s="70"/>
      <c r="I31" s="70"/>
      <c r="J31" s="70">
        <f t="shared" si="4"/>
        <v>1000</v>
      </c>
      <c r="K31" s="72" t="s">
        <v>176</v>
      </c>
      <c r="L31" s="159"/>
      <c r="M31" s="65"/>
      <c r="N31" s="164">
        <v>1000</v>
      </c>
      <c r="O31" s="95"/>
      <c r="P31" s="18">
        <v>0</v>
      </c>
      <c r="Q31" s="18">
        <v>0.01</v>
      </c>
      <c r="R31" s="18">
        <v>5.6599999999999998E-2</v>
      </c>
      <c r="S31" s="18">
        <v>0</v>
      </c>
      <c r="T31" s="26">
        <v>0</v>
      </c>
      <c r="U31" s="119"/>
    </row>
    <row r="32" spans="1:21" x14ac:dyDescent="0.25">
      <c r="A32" s="188" t="s">
        <v>171</v>
      </c>
      <c r="B32" s="92" t="s">
        <v>169</v>
      </c>
      <c r="C32" s="161" t="s">
        <v>57</v>
      </c>
      <c r="D32" s="72" t="s">
        <v>172</v>
      </c>
      <c r="E32" s="72" t="s">
        <v>19</v>
      </c>
      <c r="F32" s="157">
        <v>1000</v>
      </c>
      <c r="G32" s="70"/>
      <c r="H32" s="70"/>
      <c r="I32" s="70"/>
      <c r="J32" s="70">
        <f t="shared" si="4"/>
        <v>1000</v>
      </c>
      <c r="K32" s="72" t="s">
        <v>177</v>
      </c>
      <c r="L32" s="159"/>
      <c r="M32" s="65"/>
      <c r="N32" s="164">
        <v>1000</v>
      </c>
      <c r="O32" s="95"/>
      <c r="P32" s="18">
        <v>0</v>
      </c>
      <c r="Q32" s="18">
        <v>1.3299999999999999E-2</v>
      </c>
      <c r="R32" s="18">
        <v>7.3300000000000004E-2</v>
      </c>
      <c r="S32" s="18">
        <v>0</v>
      </c>
      <c r="T32" s="26">
        <v>0</v>
      </c>
      <c r="U32" s="119"/>
    </row>
    <row r="33" spans="1:21" x14ac:dyDescent="0.25">
      <c r="A33" s="188" t="s">
        <v>171</v>
      </c>
      <c r="B33" s="92" t="s">
        <v>169</v>
      </c>
      <c r="C33" s="161" t="s">
        <v>57</v>
      </c>
      <c r="D33" s="72" t="s">
        <v>172</v>
      </c>
      <c r="E33" s="72" t="s">
        <v>19</v>
      </c>
      <c r="F33" s="162">
        <v>1092</v>
      </c>
      <c r="G33" s="70"/>
      <c r="H33" s="70"/>
      <c r="I33" s="70"/>
      <c r="J33" s="70">
        <f t="shared" si="4"/>
        <v>1092</v>
      </c>
      <c r="K33" s="72" t="s">
        <v>178</v>
      </c>
      <c r="L33" s="63"/>
      <c r="M33" s="65"/>
      <c r="N33" s="66">
        <v>1092</v>
      </c>
      <c r="O33" s="95"/>
      <c r="P33" s="18">
        <v>1E-3</v>
      </c>
      <c r="Q33" s="18">
        <v>0.02</v>
      </c>
      <c r="R33" s="18">
        <v>8.6599999999999996E-2</v>
      </c>
      <c r="S33" s="18">
        <v>0</v>
      </c>
      <c r="T33" s="26">
        <v>0</v>
      </c>
      <c r="U33" s="119"/>
    </row>
    <row r="34" spans="1:21" x14ac:dyDescent="0.25">
      <c r="A34" s="34"/>
      <c r="B34" s="35"/>
      <c r="C34" s="35"/>
      <c r="D34" s="36"/>
      <c r="E34" s="37"/>
      <c r="F34" s="147"/>
      <c r="G34" s="147"/>
      <c r="H34" s="147"/>
      <c r="I34" s="147"/>
      <c r="J34" s="106"/>
      <c r="K34" s="38"/>
      <c r="L34" s="63"/>
      <c r="M34" s="65"/>
      <c r="N34" s="66"/>
      <c r="O34" s="95"/>
      <c r="P34" s="18"/>
      <c r="Q34" s="18"/>
      <c r="R34" s="18"/>
      <c r="S34" s="18"/>
      <c r="T34" s="26"/>
      <c r="U34" s="119"/>
    </row>
    <row r="35" spans="1:21" x14ac:dyDescent="0.25">
      <c r="A35" s="34"/>
      <c r="B35" s="35"/>
      <c r="C35" s="35"/>
      <c r="D35" s="36"/>
      <c r="E35" s="37"/>
      <c r="F35" s="147"/>
      <c r="G35" s="147"/>
      <c r="H35" s="147"/>
      <c r="I35" s="147"/>
      <c r="J35" s="106"/>
      <c r="K35" s="38"/>
      <c r="L35" s="27"/>
      <c r="M35" s="28"/>
      <c r="N35" s="103"/>
      <c r="O35" s="95"/>
      <c r="P35" s="18"/>
      <c r="Q35" s="29"/>
      <c r="R35" s="29"/>
      <c r="S35" s="29"/>
      <c r="T35" s="26"/>
      <c r="U35" s="119"/>
    </row>
    <row r="36" spans="1:21" x14ac:dyDescent="0.25">
      <c r="A36" s="34"/>
      <c r="B36" s="35"/>
      <c r="C36" s="80"/>
      <c r="D36" s="36"/>
      <c r="E36" s="37"/>
      <c r="F36" s="147"/>
      <c r="G36" s="147"/>
      <c r="H36" s="147"/>
      <c r="I36" s="147"/>
      <c r="J36" s="106"/>
      <c r="K36" s="38"/>
      <c r="L36" s="101"/>
      <c r="M36" s="102"/>
      <c r="N36" s="103"/>
      <c r="O36" s="95"/>
      <c r="P36" s="26"/>
      <c r="Q36" s="26"/>
      <c r="R36" s="26"/>
      <c r="S36" s="26"/>
      <c r="T36" s="26"/>
      <c r="U36" s="119"/>
    </row>
    <row r="37" spans="1:21" x14ac:dyDescent="0.25">
      <c r="A37" s="70"/>
      <c r="B37" s="131"/>
      <c r="C37" s="70"/>
      <c r="D37" s="23" t="s">
        <v>15</v>
      </c>
      <c r="E37" s="24" t="s">
        <v>19</v>
      </c>
      <c r="F37" s="23">
        <f>SUM(F24:F33)</f>
        <v>10092</v>
      </c>
      <c r="G37" s="23">
        <f>SUM(G25:G36)</f>
        <v>0</v>
      </c>
      <c r="H37" s="23"/>
      <c r="I37" s="23"/>
      <c r="J37" s="23">
        <f>F37-G37</f>
        <v>10092</v>
      </c>
      <c r="K37" s="24" t="s">
        <v>16</v>
      </c>
      <c r="L37" s="25">
        <f>SUM(L24:L33)</f>
        <v>0</v>
      </c>
      <c r="M37" s="25">
        <f>SUM(M25:M33)</f>
        <v>0</v>
      </c>
      <c r="N37" s="25">
        <f>SUM(N24:N33)</f>
        <v>10092</v>
      </c>
      <c r="O37" s="25">
        <f>SUM(O25:O33)</f>
        <v>0</v>
      </c>
      <c r="P37" s="26"/>
      <c r="Q37" s="26"/>
      <c r="R37" s="26"/>
      <c r="S37" s="26"/>
      <c r="T37" s="26"/>
      <c r="U37" s="119"/>
    </row>
    <row r="38" spans="1:21" x14ac:dyDescent="0.25">
      <c r="A38" s="188" t="s">
        <v>171</v>
      </c>
      <c r="B38" s="92" t="s">
        <v>169</v>
      </c>
      <c r="C38" s="161" t="s">
        <v>57</v>
      </c>
      <c r="D38" s="68" t="s">
        <v>181</v>
      </c>
      <c r="E38" s="68" t="s">
        <v>22</v>
      </c>
      <c r="F38" s="69"/>
      <c r="G38" s="47"/>
      <c r="H38" s="192" t="s">
        <v>166</v>
      </c>
      <c r="I38" s="47"/>
      <c r="J38" s="70">
        <f t="shared" ref="J38:J39" si="5">F38-G38</f>
        <v>0</v>
      </c>
      <c r="K38" s="68" t="s">
        <v>78</v>
      </c>
      <c r="L38" s="63"/>
      <c r="M38" s="65"/>
      <c r="N38" s="66"/>
      <c r="O38" s="137"/>
      <c r="P38" s="18">
        <v>2E-3</v>
      </c>
      <c r="Q38" s="18">
        <v>0</v>
      </c>
      <c r="R38" s="18">
        <v>0</v>
      </c>
      <c r="S38" s="18">
        <v>0</v>
      </c>
      <c r="T38" s="94">
        <v>0</v>
      </c>
      <c r="U38" s="123"/>
    </row>
    <row r="39" spans="1:21" x14ac:dyDescent="0.25">
      <c r="A39" s="188" t="s">
        <v>171</v>
      </c>
      <c r="B39" s="92" t="s">
        <v>169</v>
      </c>
      <c r="C39" s="161" t="s">
        <v>57</v>
      </c>
      <c r="D39" s="68" t="s">
        <v>181</v>
      </c>
      <c r="E39" s="68" t="s">
        <v>22</v>
      </c>
      <c r="F39" s="58"/>
      <c r="G39" s="47"/>
      <c r="H39" s="192" t="s">
        <v>166</v>
      </c>
      <c r="I39" s="47"/>
      <c r="J39" s="70">
        <f t="shared" si="5"/>
        <v>0</v>
      </c>
      <c r="K39" s="68" t="s">
        <v>78</v>
      </c>
      <c r="L39" s="63"/>
      <c r="M39" s="65"/>
      <c r="N39" s="107"/>
      <c r="O39" s="115"/>
      <c r="P39" s="18">
        <v>3.0000000000000001E-3</v>
      </c>
      <c r="Q39" s="18">
        <v>0</v>
      </c>
      <c r="R39" s="18">
        <v>0</v>
      </c>
      <c r="S39" s="18">
        <v>0</v>
      </c>
      <c r="T39" s="94">
        <v>0</v>
      </c>
      <c r="U39" s="123"/>
    </row>
    <row r="40" spans="1:21" x14ac:dyDescent="0.25">
      <c r="A40" s="124"/>
      <c r="B40" s="133"/>
      <c r="C40" s="125"/>
      <c r="D40" s="126"/>
      <c r="E40" s="87"/>
      <c r="F40" s="88"/>
      <c r="G40" s="89"/>
      <c r="H40" s="186"/>
      <c r="I40" s="89"/>
      <c r="J40" s="127"/>
      <c r="K40" s="90"/>
      <c r="L40" s="63"/>
      <c r="M40" s="64"/>
      <c r="N40" s="107"/>
      <c r="O40" s="115"/>
      <c r="P40" s="18"/>
      <c r="Q40" s="18"/>
      <c r="R40" s="18"/>
      <c r="S40" s="18"/>
      <c r="T40" s="18"/>
      <c r="U40" s="122"/>
    </row>
    <row r="41" spans="1:21" x14ac:dyDescent="0.25">
      <c r="A41" s="124"/>
      <c r="B41" s="133"/>
      <c r="C41" s="125"/>
      <c r="D41" s="127"/>
      <c r="E41" s="87"/>
      <c r="F41" s="88"/>
      <c r="G41" s="91"/>
      <c r="H41" s="91"/>
      <c r="I41" s="91"/>
      <c r="J41" s="127"/>
      <c r="K41" s="144"/>
      <c r="L41" s="63"/>
      <c r="M41" s="65"/>
      <c r="N41" s="107"/>
      <c r="O41" s="115"/>
      <c r="P41" s="18"/>
      <c r="Q41" s="18"/>
      <c r="R41" s="18"/>
      <c r="S41" s="18"/>
      <c r="T41" s="18"/>
      <c r="U41" s="122"/>
    </row>
    <row r="42" spans="1:21" x14ac:dyDescent="0.25">
      <c r="A42" s="127"/>
      <c r="B42" s="134"/>
      <c r="C42" s="125"/>
      <c r="D42" s="127"/>
      <c r="E42" s="87"/>
      <c r="F42" s="88"/>
      <c r="G42" s="91"/>
      <c r="H42" s="91"/>
      <c r="I42" s="91"/>
      <c r="J42" s="127"/>
      <c r="K42" s="90"/>
      <c r="L42" s="56"/>
      <c r="M42" s="65"/>
      <c r="N42" s="107"/>
      <c r="O42" s="115"/>
      <c r="P42" s="18"/>
      <c r="Q42" s="18"/>
      <c r="R42" s="18"/>
      <c r="S42" s="18"/>
      <c r="T42" s="18"/>
      <c r="U42" s="123"/>
    </row>
    <row r="43" spans="1:21" x14ac:dyDescent="0.25">
      <c r="A43" s="128"/>
      <c r="B43" s="135"/>
      <c r="C43" s="129"/>
      <c r="D43" s="23" t="s">
        <v>15</v>
      </c>
      <c r="E43" s="52" t="s">
        <v>22</v>
      </c>
      <c r="F43" s="23">
        <f>SUM(F38:F42)</f>
        <v>0</v>
      </c>
      <c r="G43" s="23">
        <f>SUM(G38:G42)</f>
        <v>0</v>
      </c>
      <c r="H43" s="23"/>
      <c r="I43" s="23"/>
      <c r="J43" s="23">
        <f>F43-G43</f>
        <v>0</v>
      </c>
      <c r="K43" s="24" t="s">
        <v>16</v>
      </c>
      <c r="L43" s="25">
        <f>SUM(L38:L39)</f>
        <v>0</v>
      </c>
      <c r="M43" s="25">
        <f>SUM(M38:M39)</f>
        <v>0</v>
      </c>
      <c r="N43" s="25">
        <f>SUM(N38:N42)</f>
        <v>0</v>
      </c>
      <c r="O43" s="25">
        <f>SUM(O38:O42)</f>
        <v>0</v>
      </c>
      <c r="P43" s="18"/>
      <c r="Q43" s="18"/>
      <c r="R43" s="18"/>
      <c r="S43" s="18"/>
      <c r="T43" s="18"/>
      <c r="U43" s="123"/>
    </row>
    <row r="44" spans="1:21" x14ac:dyDescent="0.25">
      <c r="A44" s="70"/>
      <c r="B44" s="131"/>
      <c r="C44" s="70"/>
      <c r="D44" s="70"/>
      <c r="E44" s="70"/>
      <c r="F44" s="70"/>
      <c r="G44" s="70"/>
      <c r="H44" s="70"/>
      <c r="I44" s="70"/>
      <c r="J44" s="70"/>
      <c r="K44" s="70"/>
      <c r="L44" s="101"/>
      <c r="M44" s="109"/>
      <c r="N44" s="107"/>
      <c r="O44" s="115"/>
      <c r="P44" s="26"/>
      <c r="Q44" s="26"/>
      <c r="R44" s="26"/>
      <c r="S44" s="26"/>
      <c r="T44" s="70"/>
      <c r="U44" s="111"/>
    </row>
    <row r="45" spans="1:21" x14ac:dyDescent="0.25">
      <c r="A45" s="70"/>
      <c r="B45" s="131"/>
      <c r="C45" s="70"/>
      <c r="D45" s="199" t="s">
        <v>24</v>
      </c>
      <c r="E45" s="200"/>
      <c r="F45" s="39">
        <f>SUM(F11,F23,F37,F43,)</f>
        <v>20414</v>
      </c>
      <c r="G45" s="39">
        <f>SUM(G11,G23,G37,G43,)</f>
        <v>0</v>
      </c>
      <c r="H45" s="39"/>
      <c r="I45" s="39"/>
      <c r="J45" s="39">
        <f>SUM(F45-G45)</f>
        <v>20414</v>
      </c>
      <c r="K45" s="40" t="s">
        <v>16</v>
      </c>
      <c r="L45" s="39">
        <f>SUM(L11,L23,L37,L43,)</f>
        <v>0</v>
      </c>
      <c r="M45" s="39">
        <f>SUM(M11,M23,M37,M43,)</f>
        <v>0</v>
      </c>
      <c r="N45" s="39">
        <f>SUM(N11,N23,N37,N43,)</f>
        <v>20414</v>
      </c>
      <c r="O45" s="39">
        <f>SUM(O11,O23,O37,O43,)</f>
        <v>0</v>
      </c>
      <c r="P45" s="26"/>
      <c r="Q45" s="26"/>
      <c r="R45" s="26"/>
      <c r="S45" s="26"/>
      <c r="T45" s="70"/>
      <c r="U45" s="111"/>
    </row>
    <row r="46" spans="1:21" x14ac:dyDescent="0.25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6"/>
      <c r="Q46" s="116"/>
      <c r="R46" s="116"/>
      <c r="S46" s="116"/>
      <c r="T46" s="111"/>
      <c r="U46" s="111"/>
    </row>
    <row r="47" spans="1:21" ht="18" x14ac:dyDescent="0.25">
      <c r="A47" s="111"/>
      <c r="B47" s="111"/>
      <c r="C47" s="111"/>
      <c r="D47" s="41"/>
      <c r="E47" s="111"/>
      <c r="F47" s="111"/>
      <c r="G47" s="111"/>
      <c r="H47" s="111"/>
      <c r="I47" s="111"/>
      <c r="J47" s="111"/>
      <c r="K47" s="42" t="s">
        <v>20</v>
      </c>
      <c r="L47" s="42">
        <f>F45-L45-M45-N45-O45</f>
        <v>0</v>
      </c>
      <c r="M47" s="111"/>
      <c r="N47" s="111"/>
      <c r="O47" s="111"/>
      <c r="P47" s="111"/>
      <c r="Q47" s="111"/>
      <c r="R47" s="111"/>
      <c r="S47" s="111"/>
      <c r="T47" s="111"/>
      <c r="U47" s="111"/>
    </row>
    <row r="48" spans="1:21" x14ac:dyDescent="0.25">
      <c r="A48" s="111"/>
      <c r="B48" s="111"/>
      <c r="C48" s="111"/>
      <c r="D48" s="43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</row>
    <row r="49" spans="1:21" x14ac:dyDescent="0.25">
      <c r="A49" s="111"/>
      <c r="B49" s="111"/>
      <c r="C49" s="111"/>
      <c r="D49" s="43"/>
      <c r="E49" s="111"/>
      <c r="F49" s="111"/>
      <c r="G49" s="48"/>
      <c r="H49" s="48"/>
      <c r="I49" s="48"/>
      <c r="J49" s="48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</row>
    <row r="50" spans="1:21" x14ac:dyDescent="0.25">
      <c r="A50" s="111"/>
      <c r="B50" s="111"/>
      <c r="C50" s="111"/>
      <c r="D50" s="43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</row>
    <row r="51" spans="1:21" x14ac:dyDescent="0.25">
      <c r="A51" s="111"/>
      <c r="B51" s="111"/>
      <c r="C51" s="111"/>
      <c r="D51" s="43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</row>
    <row r="52" spans="1:21" x14ac:dyDescent="0.25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</row>
    <row r="53" spans="1:21" x14ac:dyDescent="0.25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</row>
    <row r="54" spans="1:21" ht="33" x14ac:dyDescent="0.45">
      <c r="A54" s="111"/>
      <c r="B54" s="111"/>
      <c r="C54" s="111"/>
      <c r="D54" s="213" t="s">
        <v>42</v>
      </c>
      <c r="E54" s="214"/>
      <c r="F54" s="214"/>
      <c r="G54" s="214"/>
      <c r="H54" s="214"/>
      <c r="I54" s="214"/>
      <c r="J54" s="214"/>
      <c r="K54" s="214"/>
      <c r="L54" s="214"/>
      <c r="M54" s="215"/>
      <c r="N54" s="111"/>
      <c r="O54" s="111"/>
      <c r="P54" s="111"/>
      <c r="Q54" s="111"/>
      <c r="R54" s="111"/>
      <c r="S54" s="111"/>
      <c r="T54" s="111"/>
      <c r="U54" s="111"/>
    </row>
    <row r="55" spans="1:21" x14ac:dyDescent="0.25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</row>
    <row r="56" spans="1:21" x14ac:dyDescent="0.25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</row>
    <row r="57" spans="1:21" x14ac:dyDescent="0.25">
      <c r="A57" s="208" t="s">
        <v>25</v>
      </c>
      <c r="B57" s="209"/>
      <c r="C57" s="210"/>
      <c r="D57" s="44" t="s">
        <v>26</v>
      </c>
      <c r="E57" s="59" t="s">
        <v>45</v>
      </c>
      <c r="F57" s="61" t="s">
        <v>33</v>
      </c>
      <c r="G57" s="208" t="s">
        <v>27</v>
      </c>
      <c r="H57" s="210"/>
      <c r="I57" s="208" t="s">
        <v>28</v>
      </c>
      <c r="J57" s="210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</row>
    <row r="58" spans="1:21" x14ac:dyDescent="0.25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211" t="s">
        <v>35</v>
      </c>
      <c r="M58" s="212"/>
      <c r="N58" s="212"/>
      <c r="O58" s="212"/>
      <c r="P58" s="212"/>
      <c r="Q58" s="212"/>
      <c r="R58" s="212"/>
      <c r="S58" s="212"/>
      <c r="T58" s="212"/>
      <c r="U58" s="212"/>
    </row>
    <row r="59" spans="1:21" x14ac:dyDescent="0.25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30"/>
      <c r="M59" s="130"/>
      <c r="N59" s="130"/>
      <c r="O59" s="130"/>
      <c r="P59" s="130"/>
      <c r="Q59" s="130"/>
      <c r="R59" s="130"/>
      <c r="S59" s="130"/>
      <c r="T59" s="130"/>
      <c r="U59" s="130"/>
    </row>
    <row r="60" spans="1:21" x14ac:dyDescent="0.25">
      <c r="A60" s="201" t="s">
        <v>57</v>
      </c>
      <c r="B60" s="202"/>
      <c r="C60" s="203"/>
      <c r="D60" s="49"/>
      <c r="E60" s="84">
        <v>48520</v>
      </c>
      <c r="F60" s="71">
        <v>0.318</v>
      </c>
      <c r="G60" s="204">
        <f>E60*0.318</f>
        <v>15429.36</v>
      </c>
      <c r="H60" s="205"/>
      <c r="I60" s="206">
        <v>15</v>
      </c>
      <c r="J60" s="207"/>
      <c r="K60" s="111"/>
      <c r="L60" s="70"/>
      <c r="M60" s="70"/>
      <c r="N60" s="70"/>
      <c r="O60" s="70"/>
      <c r="P60" s="70"/>
      <c r="Q60" s="70"/>
      <c r="R60" s="70"/>
      <c r="S60" s="70"/>
      <c r="T60" s="70"/>
      <c r="U60" s="70"/>
    </row>
    <row r="61" spans="1:21" x14ac:dyDescent="0.25">
      <c r="A61" s="201"/>
      <c r="B61" s="202"/>
      <c r="C61" s="203"/>
      <c r="D61" s="49"/>
      <c r="E61" s="84">
        <v>20110</v>
      </c>
      <c r="F61" s="71">
        <v>0.318</v>
      </c>
      <c r="G61" s="204">
        <f>E61*0.318</f>
        <v>6394.9800000000005</v>
      </c>
      <c r="H61" s="205"/>
      <c r="I61" s="206">
        <v>6</v>
      </c>
      <c r="J61" s="207"/>
      <c r="K61" s="111"/>
      <c r="L61" s="70"/>
      <c r="M61" s="70"/>
      <c r="N61" s="70"/>
      <c r="O61" s="70"/>
      <c r="P61" s="70"/>
      <c r="Q61" s="70"/>
      <c r="R61" s="70"/>
      <c r="S61" s="70"/>
      <c r="T61" s="70"/>
      <c r="U61" s="70"/>
    </row>
    <row r="62" spans="1:21" x14ac:dyDescent="0.25">
      <c r="A62" s="201"/>
      <c r="B62" s="202"/>
      <c r="C62" s="203"/>
      <c r="D62" s="117"/>
      <c r="E62" s="85"/>
      <c r="F62" s="71"/>
      <c r="G62" s="204">
        <f>E62*0</f>
        <v>0</v>
      </c>
      <c r="H62" s="205"/>
      <c r="I62" s="206"/>
      <c r="J62" s="207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</row>
    <row r="63" spans="1:21" x14ac:dyDescent="0.25">
      <c r="A63" s="201"/>
      <c r="B63" s="202"/>
      <c r="C63" s="203"/>
      <c r="D63" s="117"/>
      <c r="E63" s="85"/>
      <c r="F63" s="62"/>
      <c r="G63" s="204">
        <f>E63*0</f>
        <v>0</v>
      </c>
      <c r="H63" s="205"/>
      <c r="I63" s="225"/>
      <c r="J63" s="226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</row>
    <row r="64" spans="1:21" x14ac:dyDescent="0.25">
      <c r="A64" s="218" t="s">
        <v>29</v>
      </c>
      <c r="B64" s="219"/>
      <c r="C64" s="220"/>
      <c r="D64" s="50">
        <f>SUM(D60:D63)</f>
        <v>0</v>
      </c>
      <c r="E64" s="86">
        <f>SUM(E60:E63)</f>
        <v>68630</v>
      </c>
      <c r="F64" s="60"/>
      <c r="G64" s="221">
        <f>SUM(G60:G63)</f>
        <v>21824.34</v>
      </c>
      <c r="H64" s="222"/>
      <c r="I64" s="218">
        <f>SUM(I60:I63)</f>
        <v>21</v>
      </c>
      <c r="J64" s="220"/>
    </row>
  </sheetData>
  <mergeCells count="23">
    <mergeCell ref="A1:C1"/>
    <mergeCell ref="G1:N1"/>
    <mergeCell ref="D45:E45"/>
    <mergeCell ref="D54:M54"/>
    <mergeCell ref="A57:C57"/>
    <mergeCell ref="G57:H57"/>
    <mergeCell ref="I57:J57"/>
    <mergeCell ref="L58:U58"/>
    <mergeCell ref="A60:C60"/>
    <mergeCell ref="G60:H60"/>
    <mergeCell ref="I60:J60"/>
    <mergeCell ref="A61:C61"/>
    <mergeCell ref="G61:H61"/>
    <mergeCell ref="I61:J61"/>
    <mergeCell ref="A64:C64"/>
    <mergeCell ref="G64:H64"/>
    <mergeCell ref="I64:J64"/>
    <mergeCell ref="A62:C62"/>
    <mergeCell ref="G62:H62"/>
    <mergeCell ref="I62:J62"/>
    <mergeCell ref="A63:C63"/>
    <mergeCell ref="G63:H63"/>
    <mergeCell ref="I63:J63"/>
  </mergeCells>
  <phoneticPr fontId="1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BIOLOGICO</vt:lpstr>
      <vt:lpstr>BIO FAIR FOR LIFE</vt:lpstr>
      <vt:lpstr>CONVENZIONALE</vt:lpstr>
      <vt:lpstr>BIO BIOSUISSE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</dc:creator>
  <cp:lastModifiedBy>Asso Frutti</cp:lastModifiedBy>
  <cp:lastPrinted>2026-03-31T06:54:15Z</cp:lastPrinted>
  <dcterms:created xsi:type="dcterms:W3CDTF">2021-10-12T15:39:50Z</dcterms:created>
  <dcterms:modified xsi:type="dcterms:W3CDTF">2026-05-19T07:14:16Z</dcterms:modified>
</cp:coreProperties>
</file>