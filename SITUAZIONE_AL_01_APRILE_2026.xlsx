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\\192.168.0.10\Assofrutti\MAGAZZINO\RACCOLTO 2025 2026\"/>
    </mc:Choice>
  </mc:AlternateContent>
  <xr:revisionPtr revIDLastSave="0" documentId="13_ncr:1_{B09A05CD-9EBA-4A93-AEE9-7E483C421D83}" xr6:coauthVersionLast="47" xr6:coauthVersionMax="47" xr10:uidLastSave="{00000000-0000-0000-0000-000000000000}"/>
  <bookViews>
    <workbookView xWindow="-120" yWindow="-120" windowWidth="29040" windowHeight="15720" tabRatio="471" xr2:uid="{00000000-000D-0000-FFFF-FFFF00000000}"/>
  </bookViews>
  <sheets>
    <sheet name="BIOLOGICO" sheetId="3" r:id="rId1"/>
    <sheet name="BIO FAIR FOR LIFE" sheetId="5" r:id="rId2"/>
    <sheet name="CONVENZIONALE" sheetId="11" r:id="rId3"/>
    <sheet name="BIO BIOSUISSE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4" i="11" l="1"/>
  <c r="N37" i="6"/>
  <c r="G61" i="6"/>
  <c r="G60" i="6"/>
  <c r="J20" i="6"/>
  <c r="J19" i="6"/>
  <c r="J38" i="6"/>
  <c r="J5" i="6"/>
  <c r="J15" i="6"/>
  <c r="J16" i="6"/>
  <c r="J17" i="6"/>
  <c r="J18" i="6"/>
  <c r="J28" i="6"/>
  <c r="J29" i="6"/>
  <c r="J30" i="6"/>
  <c r="J31" i="6"/>
  <c r="J32" i="6"/>
  <c r="F37" i="6"/>
  <c r="L37" i="6"/>
  <c r="J24" i="6"/>
  <c r="J13" i="6"/>
  <c r="J12" i="6"/>
  <c r="G133" i="5"/>
  <c r="J102" i="5"/>
  <c r="J101" i="5"/>
  <c r="L96" i="3"/>
  <c r="J77" i="5"/>
  <c r="J78" i="5"/>
  <c r="J79" i="5"/>
  <c r="J80" i="5"/>
  <c r="J81" i="5"/>
  <c r="J35" i="5"/>
  <c r="J36" i="5"/>
  <c r="J37" i="5"/>
  <c r="J73" i="5"/>
  <c r="J74" i="5"/>
  <c r="J75" i="5"/>
  <c r="J76" i="5"/>
  <c r="G132" i="5"/>
  <c r="J99" i="5"/>
  <c r="J100" i="5"/>
  <c r="J8" i="5"/>
  <c r="J9" i="5"/>
  <c r="J10" i="5"/>
  <c r="J33" i="5"/>
  <c r="J34" i="5"/>
  <c r="J38" i="5"/>
  <c r="J39" i="5"/>
  <c r="J67" i="5"/>
  <c r="J68" i="5"/>
  <c r="J69" i="5"/>
  <c r="J70" i="5"/>
  <c r="J71" i="5"/>
  <c r="J72" i="5"/>
  <c r="J98" i="5"/>
  <c r="J29" i="5"/>
  <c r="J30" i="5"/>
  <c r="J31" i="5"/>
  <c r="J32" i="5"/>
  <c r="J97" i="5"/>
  <c r="J63" i="5"/>
  <c r="J64" i="5"/>
  <c r="J65" i="5"/>
  <c r="J66" i="5"/>
  <c r="J24" i="5"/>
  <c r="J25" i="5"/>
  <c r="J26" i="5"/>
  <c r="J27" i="5"/>
  <c r="J28" i="5"/>
  <c r="J57" i="5"/>
  <c r="J58" i="5"/>
  <c r="J59" i="5"/>
  <c r="J60" i="5"/>
  <c r="J61" i="5"/>
  <c r="J54" i="5"/>
  <c r="J55" i="5"/>
  <c r="J56" i="5"/>
  <c r="G131" i="5"/>
  <c r="J19" i="5"/>
  <c r="J20" i="5"/>
  <c r="J21" i="5"/>
  <c r="J22" i="5"/>
  <c r="J23" i="5"/>
  <c r="J50" i="5"/>
  <c r="J51" i="5"/>
  <c r="J52" i="5"/>
  <c r="J53" i="5"/>
  <c r="J62" i="5"/>
  <c r="J92" i="5"/>
  <c r="J93" i="5"/>
  <c r="J94" i="5"/>
  <c r="J95" i="5"/>
  <c r="J96" i="5"/>
  <c r="J18" i="5"/>
  <c r="J49" i="5"/>
  <c r="G130" i="5"/>
  <c r="J61" i="3"/>
  <c r="J28" i="11"/>
  <c r="J27" i="11"/>
  <c r="J26" i="11"/>
  <c r="J25" i="11"/>
  <c r="J80" i="11"/>
  <c r="J79" i="11"/>
  <c r="J78" i="11"/>
  <c r="J77" i="11"/>
  <c r="J76" i="11"/>
  <c r="J75" i="11"/>
  <c r="J74" i="11"/>
  <c r="J24" i="11"/>
  <c r="J23" i="11"/>
  <c r="J22" i="11"/>
  <c r="J21" i="11"/>
  <c r="J20" i="11"/>
  <c r="J19" i="11"/>
  <c r="J18" i="11"/>
  <c r="J73" i="11"/>
  <c r="J72" i="11"/>
  <c r="J71" i="11"/>
  <c r="J70" i="11"/>
  <c r="J69" i="11"/>
  <c r="J68" i="11"/>
  <c r="J67" i="11"/>
  <c r="L132" i="11"/>
  <c r="J123" i="11"/>
  <c r="J124" i="11"/>
  <c r="J125" i="11"/>
  <c r="J126" i="11"/>
  <c r="J127" i="11"/>
  <c r="J128" i="11"/>
  <c r="J129" i="11"/>
  <c r="J130" i="11"/>
  <c r="J112" i="11"/>
  <c r="J113" i="11"/>
  <c r="J5" i="11"/>
  <c r="N73" i="3"/>
  <c r="J69" i="3"/>
  <c r="J70" i="3"/>
  <c r="J71" i="3"/>
  <c r="F73" i="3"/>
  <c r="J68" i="3"/>
  <c r="J96" i="11"/>
  <c r="J47" i="11"/>
  <c r="J48" i="11"/>
  <c r="J49" i="11"/>
  <c r="M132" i="11"/>
  <c r="J95" i="11"/>
  <c r="J43" i="11"/>
  <c r="J44" i="11"/>
  <c r="J45" i="11"/>
  <c r="J46" i="11"/>
  <c r="J50" i="11"/>
  <c r="J107" i="11"/>
  <c r="J108" i="11"/>
  <c r="J109" i="11"/>
  <c r="J110" i="11"/>
  <c r="J111" i="11"/>
  <c r="J106" i="11"/>
  <c r="J91" i="11"/>
  <c r="J92" i="11"/>
  <c r="J39" i="11"/>
  <c r="J40" i="11"/>
  <c r="J41" i="11"/>
  <c r="J42" i="11"/>
  <c r="J51" i="11"/>
  <c r="J66" i="11"/>
  <c r="J17" i="11"/>
  <c r="J16" i="11"/>
  <c r="J6" i="11"/>
  <c r="J4" i="11"/>
  <c r="J3" i="11"/>
  <c r="J89" i="11"/>
  <c r="J90" i="11"/>
  <c r="J93" i="11"/>
  <c r="J34" i="11"/>
  <c r="J35" i="11"/>
  <c r="J36" i="11"/>
  <c r="J37" i="11"/>
  <c r="J38" i="11"/>
  <c r="J85" i="11"/>
  <c r="J86" i="11"/>
  <c r="J87" i="11"/>
  <c r="J88" i="11"/>
  <c r="J97" i="11"/>
  <c r="J82" i="11"/>
  <c r="J83" i="11"/>
  <c r="J84" i="11"/>
  <c r="J29" i="11"/>
  <c r="J30" i="11"/>
  <c r="J31" i="11"/>
  <c r="J32" i="11"/>
  <c r="J33" i="11"/>
  <c r="J65" i="11"/>
  <c r="G94" i="3"/>
  <c r="G95" i="3"/>
  <c r="F132" i="11"/>
  <c r="J23" i="3"/>
  <c r="L67" i="3"/>
  <c r="J122" i="11"/>
  <c r="J64" i="11"/>
  <c r="J14" i="11"/>
  <c r="J4" i="3"/>
  <c r="J5" i="3"/>
  <c r="J6" i="3"/>
  <c r="J65" i="3"/>
  <c r="J66" i="3"/>
  <c r="J47" i="3"/>
  <c r="J48" i="3"/>
  <c r="J22" i="3"/>
  <c r="J46" i="3"/>
  <c r="J63" i="11"/>
  <c r="J82" i="5"/>
  <c r="F87" i="5"/>
  <c r="L87" i="5"/>
  <c r="J62" i="11" l="1"/>
  <c r="G129" i="5"/>
  <c r="J89" i="5"/>
  <c r="J88" i="5"/>
  <c r="J12" i="11"/>
  <c r="J61" i="11"/>
  <c r="J60" i="11"/>
  <c r="J59" i="11"/>
  <c r="J58" i="11"/>
  <c r="J34" i="3"/>
  <c r="J35" i="3"/>
  <c r="J36" i="3"/>
  <c r="J37" i="3"/>
  <c r="J38" i="3"/>
  <c r="J39" i="3"/>
  <c r="J40" i="3"/>
  <c r="J41" i="3"/>
  <c r="J42" i="3"/>
  <c r="J43" i="3"/>
  <c r="J44" i="3"/>
  <c r="J45" i="3"/>
  <c r="J15" i="3"/>
  <c r="J16" i="3"/>
  <c r="J17" i="3"/>
  <c r="J18" i="3"/>
  <c r="J19" i="3"/>
  <c r="J20" i="3"/>
  <c r="J21" i="3"/>
  <c r="G93" i="3"/>
  <c r="J7" i="3" l="1"/>
  <c r="J59" i="3"/>
  <c r="J60" i="3"/>
  <c r="J62" i="3"/>
  <c r="J64" i="3"/>
  <c r="J58" i="3"/>
  <c r="G92" i="3"/>
  <c r="J33" i="3"/>
  <c r="J32" i="3"/>
  <c r="G91" i="3"/>
  <c r="J3" i="3"/>
  <c r="J31" i="3"/>
  <c r="J8" i="3"/>
  <c r="J9" i="3"/>
  <c r="M87" i="5"/>
  <c r="N132" i="11"/>
  <c r="G132" i="11"/>
  <c r="J132" i="11" s="1"/>
  <c r="J131" i="11"/>
  <c r="O121" i="11"/>
  <c r="O132" i="11" s="1"/>
  <c r="N121" i="11"/>
  <c r="M121" i="11"/>
  <c r="L121" i="11"/>
  <c r="G121" i="11"/>
  <c r="F121" i="11"/>
  <c r="O105" i="11"/>
  <c r="N105" i="11"/>
  <c r="M105" i="11"/>
  <c r="L105" i="11"/>
  <c r="G105" i="11"/>
  <c r="F105" i="11"/>
  <c r="O56" i="11"/>
  <c r="N56" i="11"/>
  <c r="M56" i="11"/>
  <c r="L56" i="11"/>
  <c r="G56" i="11"/>
  <c r="F56" i="11"/>
  <c r="J15" i="11"/>
  <c r="O10" i="11"/>
  <c r="N10" i="11"/>
  <c r="M10" i="11"/>
  <c r="L10" i="11"/>
  <c r="G10" i="11"/>
  <c r="F10" i="11"/>
  <c r="J56" i="11" l="1"/>
  <c r="N135" i="11"/>
  <c r="L135" i="11"/>
  <c r="G135" i="11"/>
  <c r="J121" i="11"/>
  <c r="O135" i="11"/>
  <c r="J105" i="11"/>
  <c r="F135" i="11"/>
  <c r="M135" i="11"/>
  <c r="J10" i="11"/>
  <c r="F57" i="3"/>
  <c r="J49" i="3"/>
  <c r="N30" i="3"/>
  <c r="F30" i="3"/>
  <c r="L57" i="3"/>
  <c r="J135" i="11" l="1"/>
  <c r="L137" i="11"/>
  <c r="J7" i="5" l="1"/>
  <c r="G30" i="3"/>
  <c r="L30" i="3"/>
  <c r="M30" i="3"/>
  <c r="J40" i="5"/>
  <c r="J41" i="5"/>
  <c r="L111" i="5"/>
  <c r="J90" i="5"/>
  <c r="J91" i="5"/>
  <c r="J103" i="5"/>
  <c r="J4" i="5"/>
  <c r="J5" i="5"/>
  <c r="J6" i="5"/>
  <c r="N111" i="5"/>
  <c r="F111" i="5"/>
  <c r="F48" i="5"/>
  <c r="L48" i="5"/>
  <c r="D96" i="3"/>
  <c r="E96" i="3"/>
  <c r="I96" i="3"/>
  <c r="M37" i="6"/>
  <c r="O37" i="6"/>
  <c r="J14" i="6"/>
  <c r="N23" i="6"/>
  <c r="J4" i="6"/>
  <c r="L23" i="6"/>
  <c r="F23" i="6"/>
  <c r="O57" i="3"/>
  <c r="M57" i="3"/>
  <c r="J72" i="3"/>
  <c r="L73" i="3"/>
  <c r="O14" i="3"/>
  <c r="N14" i="3"/>
  <c r="M14" i="3"/>
  <c r="L14" i="3"/>
  <c r="O30" i="3"/>
  <c r="I64" i="6"/>
  <c r="E64" i="6"/>
  <c r="D64" i="6"/>
  <c r="G63" i="6"/>
  <c r="G62" i="6"/>
  <c r="O43" i="6"/>
  <c r="N43" i="6"/>
  <c r="M43" i="6"/>
  <c r="L43" i="6"/>
  <c r="G43" i="6"/>
  <c r="F43" i="6"/>
  <c r="J39" i="6"/>
  <c r="G37" i="6"/>
  <c r="J33" i="6"/>
  <c r="J27" i="6"/>
  <c r="J26" i="6"/>
  <c r="J25" i="6"/>
  <c r="O23" i="6"/>
  <c r="M23" i="6"/>
  <c r="G23" i="6"/>
  <c r="O11" i="6"/>
  <c r="N11" i="6"/>
  <c r="M11" i="6"/>
  <c r="L11" i="6"/>
  <c r="G11" i="6"/>
  <c r="F11" i="6"/>
  <c r="I134" i="5"/>
  <c r="E134" i="5"/>
  <c r="D134" i="5"/>
  <c r="G111" i="5"/>
  <c r="O107" i="5"/>
  <c r="O111" i="5" s="1"/>
  <c r="N107" i="5"/>
  <c r="M107" i="5"/>
  <c r="M111" i="5" s="1"/>
  <c r="L107" i="5"/>
  <c r="G107" i="5"/>
  <c r="F107" i="5"/>
  <c r="N87" i="5"/>
  <c r="G87" i="5"/>
  <c r="O48" i="5"/>
  <c r="O87" i="5" s="1"/>
  <c r="N48" i="5"/>
  <c r="M48" i="5"/>
  <c r="G48" i="5"/>
  <c r="O17" i="5"/>
  <c r="N17" i="5"/>
  <c r="M17" i="5"/>
  <c r="M114" i="5" s="1"/>
  <c r="L17" i="5"/>
  <c r="G17" i="5"/>
  <c r="F17" i="5"/>
  <c r="J11" i="5"/>
  <c r="G73" i="3"/>
  <c r="O67" i="3"/>
  <c r="O73" i="3" s="1"/>
  <c r="N67" i="3"/>
  <c r="M67" i="3"/>
  <c r="M73" i="3" s="1"/>
  <c r="G67" i="3"/>
  <c r="F67" i="3"/>
  <c r="N57" i="3"/>
  <c r="G57" i="3"/>
  <c r="G14" i="3"/>
  <c r="F14" i="3"/>
  <c r="J30" i="3" l="1"/>
  <c r="F76" i="3"/>
  <c r="G96" i="3"/>
  <c r="G45" i="6"/>
  <c r="M45" i="6"/>
  <c r="N45" i="6"/>
  <c r="O45" i="6"/>
  <c r="L45" i="6"/>
  <c r="J48" i="5"/>
  <c r="J87" i="5"/>
  <c r="J107" i="5"/>
  <c r="G114" i="5"/>
  <c r="N114" i="5"/>
  <c r="J111" i="5"/>
  <c r="J23" i="6"/>
  <c r="G64" i="6"/>
  <c r="J43" i="6"/>
  <c r="J11" i="6"/>
  <c r="G134" i="5"/>
  <c r="O114" i="5"/>
  <c r="L114" i="5"/>
  <c r="J17" i="5"/>
  <c r="J73" i="3"/>
  <c r="L76" i="3"/>
  <c r="M76" i="3"/>
  <c r="N76" i="3"/>
  <c r="J57" i="3"/>
  <c r="O76" i="3"/>
  <c r="J14" i="3"/>
  <c r="J67" i="3"/>
  <c r="F114" i="5" l="1"/>
  <c r="J114" i="5" s="1"/>
  <c r="L78" i="3"/>
  <c r="G76" i="3"/>
  <c r="J76" i="3" s="1"/>
  <c r="L116" i="5" l="1"/>
  <c r="F45" i="6"/>
  <c r="J45" i="6" s="1"/>
  <c r="J37" i="6"/>
  <c r="L47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Giuseppe</author>
  </authors>
  <commentList>
    <comment ref="G52" authorId="0" shapeId="0" xr:uid="{7BBC55F5-7C5C-4540-8957-F897AB8D1000}">
      <text>
        <r>
          <rPr>
            <b/>
            <sz val="9"/>
            <color indexed="81"/>
            <rFont val="Tahoma"/>
            <charset val="1"/>
          </rPr>
          <t>Contratto 4000
- 4000 12/03 dt 34M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Giuseppe</author>
  </authors>
  <commentList>
    <comment ref="G44" authorId="0" shapeId="0" xr:uid="{4F2EEA19-78A7-4BD7-95AB-49158DADB34F}">
      <text>
        <r>
          <rPr>
            <b/>
            <sz val="9"/>
            <color indexed="81"/>
            <rFont val="Tahoma"/>
            <family val="2"/>
          </rPr>
          <t>CONTRATTO KG 30000
-4000 IL 31/10
-7000 il 13/11 dt 380m e 382m</t>
        </r>
        <r>
          <rPr>
            <sz val="9"/>
            <color indexed="81"/>
            <rFont val="Tahoma"/>
            <family val="2"/>
          </rPr>
          <t xml:space="preserve">
-5000 il 19/11 dt 391m
-4000 IL 10/12 DT 426M
-363 il 12/01 dt nr 5M
-10000 il 10/02 dt nr 04s e 05s</t>
        </r>
      </text>
    </comment>
    <comment ref="G46" authorId="0" shapeId="0" xr:uid="{6283F16D-1964-4260-A917-DE3147F07F57}">
      <text>
        <r>
          <rPr>
            <b/>
            <sz val="9"/>
            <color indexed="81"/>
            <rFont val="Tahoma"/>
            <charset val="1"/>
          </rPr>
          <t>INIZIALE 15000
-5000 IL 16/02 DDT 10S E 11S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G85" authorId="0" shapeId="0" xr:uid="{60483EB1-A147-463E-934C-1F6A8FC7ACD4}">
      <text>
        <r>
          <rPr>
            <b/>
            <sz val="9"/>
            <color indexed="81"/>
            <rFont val="Tahoma"/>
            <family val="2"/>
          </rPr>
          <t>inizio 28270
-4000 IL 31/10 DT 375M
-7000 il 13/11 dt 380m e 382m</t>
        </r>
        <r>
          <rPr>
            <sz val="9"/>
            <color indexed="81"/>
            <rFont val="Tahoma"/>
            <family val="2"/>
          </rPr>
          <t xml:space="preserve">
-5000 il 19/11 dt 391m
-6000 IL 10/12 DT 426M
-6270 il 12/01 dt 5M</t>
        </r>
      </text>
    </comment>
    <comment ref="G86" authorId="0" shapeId="0" xr:uid="{CDAF20F0-C4B4-4B96-8D6F-45EFFA7FFA71}">
      <text>
        <r>
          <rPr>
            <b/>
            <sz val="9"/>
            <color indexed="81"/>
            <rFont val="Tahoma"/>
            <charset val="1"/>
          </rPr>
          <t>INIZIALE 15000
- 5270 IL 16/02 DDT 10S E 11S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Giuseppe</author>
  </authors>
  <commentList>
    <comment ref="G100" authorId="0" shapeId="0" xr:uid="{1DEE99C8-CAE9-4A24-9536-0C31CC1636CE}">
      <text>
        <r>
          <rPr>
            <b/>
            <sz val="9"/>
            <color indexed="81"/>
            <rFont val="Tahoma"/>
            <family val="2"/>
          </rPr>
          <t>Contratto 3000
-1000 il 22/10 dt 293f
-1000 il 24/10 dt 297f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101" authorId="0" shapeId="0" xr:uid="{4040A553-2621-4B22-9EC0-C3FE6F92519D}">
      <text>
        <r>
          <rPr>
            <b/>
            <sz val="9"/>
            <color indexed="81"/>
            <rFont val="Tahoma"/>
            <family val="2"/>
          </rPr>
          <t>contratto 5000
- 2000 il 19/11/2025</t>
        </r>
        <r>
          <rPr>
            <sz val="9"/>
            <color indexed="81"/>
            <rFont val="Tahoma"/>
            <family val="2"/>
          </rPr>
          <t xml:space="preserve">
- 3000 il 26/11/2025</t>
        </r>
      </text>
    </comment>
    <comment ref="G102" authorId="0" shapeId="0" xr:uid="{2A3070BE-A7B7-46EB-A84E-333C2243C014}">
      <text>
        <r>
          <rPr>
            <sz val="9"/>
            <color indexed="81"/>
            <rFont val="Tahoma"/>
            <family val="2"/>
          </rPr>
          <t>KG 2000 CONS IL 18/11 DDT 319F</t>
        </r>
      </text>
    </comment>
    <comment ref="G103" authorId="0" shapeId="0" xr:uid="{D7B7804F-18DD-4127-A7D6-D76E365ED4C3}">
      <text>
        <r>
          <rPr>
            <b/>
            <sz val="9"/>
            <color indexed="81"/>
            <rFont val="Tahoma"/>
            <family val="2"/>
          </rPr>
          <t>evaso 24000 il 03/02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<sst xmlns="http://schemas.openxmlformats.org/spreadsheetml/2006/main" count="1514" uniqueCount="198">
  <si>
    <t>DATA</t>
  </si>
  <si>
    <t>BIOLOGICHE</t>
  </si>
  <si>
    <t>SETTIMANA DI PRODUZ.</t>
  </si>
  <si>
    <t>DESCRIZIONE PRODOTTO</t>
  </si>
  <si>
    <t>CALIBRO</t>
  </si>
  <si>
    <t>CONTRATTI DA EVADERE</t>
  </si>
  <si>
    <t>CLIENTE/FOR</t>
  </si>
  <si>
    <t>N. CONTRATTO</t>
  </si>
  <si>
    <t>QUANTITA' DISPONIBILI</t>
  </si>
  <si>
    <t>SORIANO</t>
  </si>
  <si>
    <t>Marcio vis</t>
  </si>
  <si>
    <t>Marcio Occ.</t>
  </si>
  <si>
    <t>Cimiciato Occ.</t>
  </si>
  <si>
    <t>Cimiciato vis.</t>
  </si>
  <si>
    <t>9/11</t>
  </si>
  <si>
    <t>TOTALE PARZIALE SGUSCIATO</t>
  </si>
  <si>
    <t>di cui</t>
  </si>
  <si>
    <t>11/13</t>
  </si>
  <si>
    <t>CONTRATTI PER 11/13</t>
  </si>
  <si>
    <t>13/15</t>
  </si>
  <si>
    <t>QUADRATURA</t>
  </si>
  <si>
    <t>CONTRATTI PER 9/11</t>
  </si>
  <si>
    <t>ROTTAME</t>
  </si>
  <si>
    <t>TIPO IMBALLO</t>
  </si>
  <si>
    <t>TOTALE GENERALE BIOLOGICHE SGUSCIATE</t>
  </si>
  <si>
    <t>SILOS</t>
  </si>
  <si>
    <t>KG IN GUSCIO DA SGUSCIARE</t>
  </si>
  <si>
    <t>TOT. KG SGUSCIATO</t>
  </si>
  <si>
    <t>TOT. BIG N°</t>
  </si>
  <si>
    <t>TOTALI</t>
  </si>
  <si>
    <t>QUANTITA' IN GIACENZA</t>
  </si>
  <si>
    <t>FABRICA</t>
  </si>
  <si>
    <t>VIGNANELLO</t>
  </si>
  <si>
    <t>RESA %</t>
  </si>
  <si>
    <t>KG IN GUSCIO SGUSC.</t>
  </si>
  <si>
    <t>USCITE IN GUSCIO</t>
  </si>
  <si>
    <t>CORPI ESTRANEI</t>
  </si>
  <si>
    <t>LOTTO NOCCIOLE</t>
  </si>
  <si>
    <t>LOTTO IMBALLO</t>
  </si>
  <si>
    <t>SCARTI</t>
  </si>
  <si>
    <t>CAPRAROLA</t>
  </si>
  <si>
    <t>Contratti 13/15</t>
  </si>
  <si>
    <t>RACCOLTO BIO BIOSUISSE IN GUSCIO 2024/2025 - stima</t>
  </si>
  <si>
    <t>CONVENZIONALE</t>
  </si>
  <si>
    <t>KG USCITE IN GUSCIO</t>
  </si>
  <si>
    <t>IN GUSCIO SGUS.</t>
  </si>
  <si>
    <t>RACCOLTO BIOLOGICO IN GUSCIO 2025/2026 - stima</t>
  </si>
  <si>
    <t>RACCOLTO 2025/2026 BIO FAIR FOR LIFE</t>
  </si>
  <si>
    <t>RACCOLTO BIO FAIR FOR LIFE IN GUSCIO 2025/2026 - stima</t>
  </si>
  <si>
    <t>TOTALE GENERALE CONVENZIONALE SGUSCIATE</t>
  </si>
  <si>
    <t>S101/2025</t>
  </si>
  <si>
    <t>S102/2025</t>
  </si>
  <si>
    <t>S103/2025</t>
  </si>
  <si>
    <t>S104/2025</t>
  </si>
  <si>
    <t>S120/2025</t>
  </si>
  <si>
    <t>S121/2025</t>
  </si>
  <si>
    <t>S123/2025</t>
  </si>
  <si>
    <t>SBSS125/2025</t>
  </si>
  <si>
    <t>40/2025</t>
  </si>
  <si>
    <t>BIG01/2025</t>
  </si>
  <si>
    <t>BIG BAG N°1</t>
  </si>
  <si>
    <t>S109/2025</t>
  </si>
  <si>
    <t>BIG BAG N°2</t>
  </si>
  <si>
    <t>BIG BAG N° 1</t>
  </si>
  <si>
    <t>BIG BAG N° 2</t>
  </si>
  <si>
    <t>BIG BAG N°3</t>
  </si>
  <si>
    <t>S106/2025</t>
  </si>
  <si>
    <t>BIG BAG N°5</t>
  </si>
  <si>
    <t>BIG BAG N° 3</t>
  </si>
  <si>
    <t>BIG BAG N° 4</t>
  </si>
  <si>
    <t>BIG BAG N° 5</t>
  </si>
  <si>
    <t>BIG BAG N° 6</t>
  </si>
  <si>
    <t>BIG BAG N° 7</t>
  </si>
  <si>
    <t>BIG BAG N° 8</t>
  </si>
  <si>
    <t>42/2025</t>
  </si>
  <si>
    <t>BIG BAG N°11</t>
  </si>
  <si>
    <t>SGUSCIATO DA SCEGLIERE</t>
  </si>
  <si>
    <t>S105/2025</t>
  </si>
  <si>
    <t>BIG BAG</t>
  </si>
  <si>
    <t>43/2025</t>
  </si>
  <si>
    <t>FA10/2025</t>
  </si>
  <si>
    <t xml:space="preserve">SGUSCIATO SCELTO TGR </t>
  </si>
  <si>
    <t>Rott.</t>
  </si>
  <si>
    <t>BIG 3</t>
  </si>
  <si>
    <t>BIG 5</t>
  </si>
  <si>
    <t>BIG 6</t>
  </si>
  <si>
    <t>BIG 7</t>
  </si>
  <si>
    <t>BIG 8</t>
  </si>
  <si>
    <t>BIG 9</t>
  </si>
  <si>
    <t>BIG 11</t>
  </si>
  <si>
    <t>BIG 12</t>
  </si>
  <si>
    <t>BIG 13</t>
  </si>
  <si>
    <t>ROTTAME X PASTA</t>
  </si>
  <si>
    <t>BIG BAG N° 9</t>
  </si>
  <si>
    <t>BIG BAG N° 10</t>
  </si>
  <si>
    <t>BIG BAG N° 11</t>
  </si>
  <si>
    <t>BIG BAG N° 12</t>
  </si>
  <si>
    <t>44/2025</t>
  </si>
  <si>
    <t>BIG02/2025</t>
  </si>
  <si>
    <t>SGUSCIATO SCELTO</t>
  </si>
  <si>
    <t>biosic contratto 103</t>
  </si>
  <si>
    <t>ott.2026</t>
  </si>
  <si>
    <t>CONTRATTI PER 13/15</t>
  </si>
  <si>
    <t>cimina dolciaria</t>
  </si>
  <si>
    <t>Campodata mail del 28/10</t>
  </si>
  <si>
    <t>45/2025</t>
  </si>
  <si>
    <t>FA11/2025</t>
  </si>
  <si>
    <t>SCARTO DA SCEGLIERE TIPO 1</t>
  </si>
  <si>
    <t>MISTO</t>
  </si>
  <si>
    <t>46/2025</t>
  </si>
  <si>
    <t>BIG 14</t>
  </si>
  <si>
    <t>BIG 15</t>
  </si>
  <si>
    <t>BIG 17</t>
  </si>
  <si>
    <t>BIG 18</t>
  </si>
  <si>
    <t>BIG 20</t>
  </si>
  <si>
    <t>BIG 21</t>
  </si>
  <si>
    <t>mail 04/11</t>
  </si>
  <si>
    <t>SO112025</t>
  </si>
  <si>
    <t>Biosic</t>
  </si>
  <si>
    <t>47/2025</t>
  </si>
  <si>
    <t>Santaniello</t>
  </si>
  <si>
    <t>BIG BAG N° 13</t>
  </si>
  <si>
    <t>BIG BAG N° 14</t>
  </si>
  <si>
    <t>BIG BAG N° 15</t>
  </si>
  <si>
    <t>48/2025</t>
  </si>
  <si>
    <t>BIG 24</t>
  </si>
  <si>
    <t>biosic contratto 105</t>
  </si>
  <si>
    <t>BIG BAG N° 16</t>
  </si>
  <si>
    <t>BIG BAG N° 17</t>
  </si>
  <si>
    <t>BIG BAG N° 18</t>
  </si>
  <si>
    <t>BIG BAG N° 19</t>
  </si>
  <si>
    <t>BIG BAG N° 20</t>
  </si>
  <si>
    <t>BIG BAG N° 21</t>
  </si>
  <si>
    <t>RACCOLTO 2025/2026</t>
  </si>
  <si>
    <t>RACCOLTO 2025/2026 BIO BIOSUISSE</t>
  </si>
  <si>
    <t>BIG BAG N° 24</t>
  </si>
  <si>
    <t>VARI</t>
  </si>
  <si>
    <t>SCARTO 13/15</t>
  </si>
  <si>
    <t>SCARTO 11/13</t>
  </si>
  <si>
    <t>SO122025</t>
  </si>
  <si>
    <t xml:space="preserve">SCARTO DA SCEGLIERE </t>
  </si>
  <si>
    <t>FA12/2025</t>
  </si>
  <si>
    <t>49/2025</t>
  </si>
  <si>
    <t>BIG 28</t>
  </si>
  <si>
    <t>BIG 30</t>
  </si>
  <si>
    <t>BIG 32</t>
  </si>
  <si>
    <t>BIG 33</t>
  </si>
  <si>
    <t>BIG 34</t>
  </si>
  <si>
    <t>BIG 35</t>
  </si>
  <si>
    <t>BIG 37</t>
  </si>
  <si>
    <t>BIG 39</t>
  </si>
  <si>
    <t>BIG 40</t>
  </si>
  <si>
    <t>BIG 41</t>
  </si>
  <si>
    <t>BIG 42</t>
  </si>
  <si>
    <t>BIG 43</t>
  </si>
  <si>
    <t>cimina dolciaria pasta</t>
  </si>
  <si>
    <t>pasta</t>
  </si>
  <si>
    <t>50/2025</t>
  </si>
  <si>
    <t>BIG 49</t>
  </si>
  <si>
    <t>BIG 53</t>
  </si>
  <si>
    <t>BIG 19</t>
  </si>
  <si>
    <t>c/lav</t>
  </si>
  <si>
    <t>biosic contratto 115</t>
  </si>
  <si>
    <t>04/2026</t>
  </si>
  <si>
    <t>1 del 24/01/26</t>
  </si>
  <si>
    <t>05/2026</t>
  </si>
  <si>
    <t>Italnux presso dar</t>
  </si>
  <si>
    <t>mail</t>
  </si>
  <si>
    <t>gen/feb</t>
  </si>
  <si>
    <t>07/2026</t>
  </si>
  <si>
    <t>C/LAV AGRINOLA</t>
  </si>
  <si>
    <t>S103/2026</t>
  </si>
  <si>
    <t>09/2026</t>
  </si>
  <si>
    <t>SO11/2025</t>
  </si>
  <si>
    <t>ROTTAME SCELTO</t>
  </si>
  <si>
    <t>C/LAVORO ABC</t>
  </si>
  <si>
    <t>X PASTA</t>
  </si>
  <si>
    <t>BIOSIC</t>
  </si>
  <si>
    <t>10/2026</t>
  </si>
  <si>
    <t>S104/2026</t>
  </si>
  <si>
    <t>C/LAV ABC</t>
  </si>
  <si>
    <t>biosic</t>
  </si>
  <si>
    <t>S102-S103-S104-S105/2025</t>
  </si>
  <si>
    <t>12/2026</t>
  </si>
  <si>
    <t>BIG03/2025</t>
  </si>
  <si>
    <t>c/lavoro per sikelia</t>
  </si>
  <si>
    <t>14/2026</t>
  </si>
  <si>
    <t>NOCCIOLE SGUSCITE SCELTE</t>
  </si>
  <si>
    <t>BIG BAG N°4</t>
  </si>
  <si>
    <t>BIG BAG N°6</t>
  </si>
  <si>
    <t>BIG BAG N°7</t>
  </si>
  <si>
    <t>BIG BAG N°8</t>
  </si>
  <si>
    <t>BIG BAG N°9</t>
  </si>
  <si>
    <t>BIG BAG N°10</t>
  </si>
  <si>
    <t>15/2026</t>
  </si>
  <si>
    <t>SACCHI DA 25 KG</t>
  </si>
  <si>
    <t>PER ASSOBIO</t>
  </si>
  <si>
    <t>NOCCIOLE SGUSCIATE SCELTE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</si>
</sst>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yy;@"/>
    <numFmt numFmtId="165" formatCode="#,##0.000"/>
    <numFmt numFmtId="166" formatCode="0.0%"/>
  </numFmts>
  <fonts count="30" x14ac:knownFonts="1">
    <font>
      <sz val="11"/>
      <color theme="1"/>
      <name val="Calibri"/>
      <family val="2"/>
      <scheme val="minor"/>
    </font>
    <font>
      <b/>
      <u/>
      <sz val="10"/>
      <name val="Arial"/>
      <family val="2"/>
    </font>
    <font>
      <b/>
      <u/>
      <sz val="12"/>
      <name val="Arial"/>
      <family val="2"/>
    </font>
    <font>
      <b/>
      <u/>
      <sz val="2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u/>
      <sz val="10"/>
      <name val="Arial"/>
      <family val="2"/>
    </font>
    <font>
      <b/>
      <u/>
      <sz val="11"/>
      <name val="Arial"/>
      <family val="2"/>
    </font>
    <font>
      <sz val="14"/>
      <name val="Arial"/>
      <family val="2"/>
    </font>
    <font>
      <sz val="11"/>
      <name val="Arial"/>
      <family val="2"/>
    </font>
    <font>
      <sz val="26"/>
      <name val="Arial"/>
      <family val="2"/>
    </font>
    <font>
      <sz val="10"/>
      <color rgb="FFFF0000"/>
      <name val="Arial"/>
      <family val="2"/>
    </font>
    <font>
      <sz val="9"/>
      <name val="Arial"/>
      <family val="2"/>
    </font>
    <font>
      <b/>
      <sz val="11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u/>
      <sz val="11"/>
      <color theme="1"/>
      <name val="Arial"/>
      <family val="2"/>
    </font>
    <font>
      <sz val="10"/>
      <color theme="1"/>
      <name val="Calibri"/>
      <family val="2"/>
      <scheme val="minor"/>
    </font>
    <font>
      <i/>
      <sz val="1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1"/>
      <name val="Arial"/>
      <family val="2"/>
    </font>
    <font>
      <sz val="12"/>
      <name val="Arial"/>
      <family val="2"/>
    </font>
    <font>
      <sz val="9"/>
      <color theme="1"/>
      <name val="Arial"/>
      <family val="2"/>
    </font>
    <font>
      <sz val="8"/>
      <color theme="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</fills>
  <borders count="18">
    <border>
      <left/>
      <right/>
      <top/>
      <bottom/>
      <diagonal/>
    </border>
    <border>
      <left/>
      <right/>
      <top style="medium">
        <color indexed="64"/>
      </top>
      <bottom style="thick">
        <color indexed="64"/>
      </bottom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234">
    <xf numFmtId="0" fontId="0" fillId="0" borderId="0" xfId="0"/>
    <xf numFmtId="14" fontId="2" fillId="3" borderId="1" xfId="0" applyNumberFormat="1" applyFont="1" applyFill="1" applyBorder="1"/>
    <xf numFmtId="164" fontId="2" fillId="3" borderId="1" xfId="0" quotePrefix="1" applyNumberFormat="1" applyFont="1" applyFill="1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4" fillId="2" borderId="9" xfId="0" applyFont="1" applyFill="1" applyBorder="1" applyAlignment="1">
      <alignment vertical="center" wrapText="1"/>
    </xf>
    <xf numFmtId="0" fontId="4" fillId="2" borderId="10" xfId="0" applyFont="1" applyFill="1" applyBorder="1" applyAlignment="1">
      <alignment vertical="center" wrapText="1"/>
    </xf>
    <xf numFmtId="0" fontId="4" fillId="2" borderId="11" xfId="0" applyFont="1" applyFill="1" applyBorder="1" applyAlignment="1">
      <alignment vertical="center" wrapText="1"/>
    </xf>
    <xf numFmtId="0" fontId="4" fillId="3" borderId="11" xfId="0" applyFont="1" applyFill="1" applyBorder="1" applyAlignment="1">
      <alignment vertical="center" wrapText="1"/>
    </xf>
    <xf numFmtId="0" fontId="1" fillId="4" borderId="10" xfId="0" applyFont="1" applyFill="1" applyBorder="1" applyAlignment="1">
      <alignment vertical="center" wrapText="1"/>
    </xf>
    <xf numFmtId="0" fontId="1" fillId="5" borderId="11" xfId="0" applyFont="1" applyFill="1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4" fillId="0" borderId="11" xfId="0" applyFont="1" applyBorder="1" applyAlignment="1">
      <alignment horizontal="center" wrapText="1"/>
    </xf>
    <xf numFmtId="0" fontId="4" fillId="4" borderId="10" xfId="0" applyFont="1" applyFill="1" applyBorder="1" applyAlignment="1">
      <alignment wrapText="1"/>
    </xf>
    <xf numFmtId="0" fontId="6" fillId="6" borderId="10" xfId="0" applyFont="1" applyFill="1" applyBorder="1" applyAlignment="1">
      <alignment wrapText="1"/>
    </xf>
    <xf numFmtId="10" fontId="4" fillId="0" borderId="11" xfId="0" applyNumberFormat="1" applyFont="1" applyBorder="1" applyAlignment="1">
      <alignment horizontal="center" wrapText="1"/>
    </xf>
    <xf numFmtId="9" fontId="4" fillId="0" borderId="11" xfId="0" applyNumberFormat="1" applyFont="1" applyBorder="1" applyAlignment="1">
      <alignment horizontal="center" wrapText="1"/>
    </xf>
    <xf numFmtId="10" fontId="4" fillId="0" borderId="11" xfId="0" applyNumberFormat="1" applyFont="1" applyBorder="1" applyAlignment="1">
      <alignment horizontal="center"/>
    </xf>
    <xf numFmtId="17" fontId="5" fillId="7" borderId="11" xfId="0" quotePrefix="1" applyNumberFormat="1" applyFont="1" applyFill="1" applyBorder="1"/>
    <xf numFmtId="0" fontId="1" fillId="7" borderId="11" xfId="0" applyFont="1" applyFill="1" applyBorder="1"/>
    <xf numFmtId="0" fontId="5" fillId="7" borderId="11" xfId="0" applyFont="1" applyFill="1" applyBorder="1"/>
    <xf numFmtId="0" fontId="5" fillId="4" borderId="10" xfId="0" applyFont="1" applyFill="1" applyBorder="1" applyAlignment="1">
      <alignment wrapText="1"/>
    </xf>
    <xf numFmtId="0" fontId="7" fillId="8" borderId="11" xfId="0" applyFont="1" applyFill="1" applyBorder="1"/>
    <xf numFmtId="0" fontId="7" fillId="8" borderId="11" xfId="0" applyFont="1" applyFill="1" applyBorder="1" applyAlignment="1">
      <alignment horizontal="center"/>
    </xf>
    <xf numFmtId="0" fontId="7" fillId="8" borderId="10" xfId="0" applyFont="1" applyFill="1" applyBorder="1"/>
    <xf numFmtId="0" fontId="4" fillId="0" borderId="11" xfId="0" applyFont="1" applyBorder="1" applyAlignment="1">
      <alignment horizontal="center"/>
    </xf>
    <xf numFmtId="0" fontId="4" fillId="4" borderId="10" xfId="0" applyFont="1" applyFill="1" applyBorder="1"/>
    <xf numFmtId="0" fontId="4" fillId="5" borderId="10" xfId="0" applyFont="1" applyFill="1" applyBorder="1"/>
    <xf numFmtId="9" fontId="4" fillId="0" borderId="11" xfId="0" applyNumberFormat="1" applyFont="1" applyBorder="1" applyAlignment="1">
      <alignment horizontal="center"/>
    </xf>
    <xf numFmtId="17" fontId="5" fillId="9" borderId="10" xfId="0" quotePrefix="1" applyNumberFormat="1" applyFont="1" applyFill="1" applyBorder="1"/>
    <xf numFmtId="0" fontId="1" fillId="9" borderId="11" xfId="0" applyFont="1" applyFill="1" applyBorder="1"/>
    <xf numFmtId="49" fontId="5" fillId="9" borderId="11" xfId="0" quotePrefix="1" applyNumberFormat="1" applyFont="1" applyFill="1" applyBorder="1"/>
    <xf numFmtId="0" fontId="5" fillId="9" borderId="11" xfId="0" applyFont="1" applyFill="1" applyBorder="1"/>
    <xf numFmtId="17" fontId="5" fillId="10" borderId="11" xfId="0" quotePrefix="1" applyNumberFormat="1" applyFont="1" applyFill="1" applyBorder="1"/>
    <xf numFmtId="17" fontId="5" fillId="10" borderId="10" xfId="0" quotePrefix="1" applyNumberFormat="1" applyFont="1" applyFill="1" applyBorder="1"/>
    <xf numFmtId="0" fontId="1" fillId="10" borderId="11" xfId="0" applyFont="1" applyFill="1" applyBorder="1"/>
    <xf numFmtId="0" fontId="5" fillId="10" borderId="11" xfId="0" quotePrefix="1" applyFont="1" applyFill="1" applyBorder="1"/>
    <xf numFmtId="0" fontId="5" fillId="10" borderId="11" xfId="0" applyFont="1" applyFill="1" applyBorder="1"/>
    <xf numFmtId="0" fontId="7" fillId="3" borderId="11" xfId="0" applyFont="1" applyFill="1" applyBorder="1"/>
    <xf numFmtId="0" fontId="7" fillId="3" borderId="11" xfId="0" applyFont="1" applyFill="1" applyBorder="1" applyAlignment="1">
      <alignment horizontal="center"/>
    </xf>
    <xf numFmtId="0" fontId="8" fillId="0" borderId="0" xfId="0" applyFont="1"/>
    <xf numFmtId="0" fontId="2" fillId="3" borderId="11" xfId="0" applyFont="1" applyFill="1" applyBorder="1"/>
    <xf numFmtId="0" fontId="5" fillId="0" borderId="0" xfId="0" applyFont="1"/>
    <xf numFmtId="0" fontId="4" fillId="2" borderId="11" xfId="0" applyFont="1" applyFill="1" applyBorder="1" applyAlignment="1">
      <alignment horizontal="center" vertical="center" wrapText="1"/>
    </xf>
    <xf numFmtId="17" fontId="5" fillId="0" borderId="10" xfId="0" quotePrefix="1" applyNumberFormat="1" applyFont="1" applyBorder="1"/>
    <xf numFmtId="0" fontId="7" fillId="0" borderId="11" xfId="0" applyFont="1" applyBorder="1"/>
    <xf numFmtId="0" fontId="7" fillId="11" borderId="11" xfId="0" applyFont="1" applyFill="1" applyBorder="1"/>
    <xf numFmtId="0" fontId="1" fillId="0" borderId="0" xfId="0" applyFont="1"/>
    <xf numFmtId="3" fontId="5" fillId="0" borderId="11" xfId="0" applyNumberFormat="1" applyFont="1" applyBorder="1" applyAlignment="1">
      <alignment horizontal="center" vertical="center"/>
    </xf>
    <xf numFmtId="3" fontId="4" fillId="5" borderId="11" xfId="0" applyNumberFormat="1" applyFont="1" applyFill="1" applyBorder="1" applyAlignment="1">
      <alignment horizontal="center"/>
    </xf>
    <xf numFmtId="0" fontId="7" fillId="8" borderId="11" xfId="0" quotePrefix="1" applyFont="1" applyFill="1" applyBorder="1" applyAlignment="1">
      <alignment horizontal="center"/>
    </xf>
    <xf numFmtId="17" fontId="7" fillId="8" borderId="11" xfId="0" quotePrefix="1" applyNumberFormat="1" applyFont="1" applyFill="1" applyBorder="1" applyAlignment="1">
      <alignment horizontal="center"/>
    </xf>
    <xf numFmtId="0" fontId="6" fillId="12" borderId="10" xfId="0" applyFont="1" applyFill="1" applyBorder="1" applyAlignment="1">
      <alignment wrapText="1"/>
    </xf>
    <xf numFmtId="0" fontId="1" fillId="12" borderId="11" xfId="0" applyFont="1" applyFill="1" applyBorder="1" applyAlignment="1">
      <alignment horizontal="center" vertical="center" wrapText="1"/>
    </xf>
    <xf numFmtId="0" fontId="5" fillId="11" borderId="11" xfId="0" applyFont="1" applyFill="1" applyBorder="1" applyAlignment="1">
      <alignment horizontal="left"/>
    </xf>
    <xf numFmtId="0" fontId="9" fillId="4" borderId="10" xfId="0" applyFont="1" applyFill="1" applyBorder="1"/>
    <xf numFmtId="0" fontId="12" fillId="11" borderId="11" xfId="0" applyFont="1" applyFill="1" applyBorder="1" applyAlignment="1">
      <alignment horizontal="center"/>
    </xf>
    <xf numFmtId="0" fontId="9" fillId="11" borderId="11" xfId="0" applyFont="1" applyFill="1" applyBorder="1" applyAlignment="1">
      <alignment horizontal="right"/>
    </xf>
    <xf numFmtId="0" fontId="4" fillId="2" borderId="12" xfId="0" applyFont="1" applyFill="1" applyBorder="1" applyAlignment="1">
      <alignment horizontal="center" vertical="center"/>
    </xf>
    <xf numFmtId="0" fontId="4" fillId="5" borderId="11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 vertical="center"/>
    </xf>
    <xf numFmtId="9" fontId="11" fillId="0" borderId="11" xfId="0" applyNumberFormat="1" applyFont="1" applyBorder="1" applyAlignment="1">
      <alignment horizontal="center" vertical="center"/>
    </xf>
    <xf numFmtId="0" fontId="13" fillId="4" borderId="10" xfId="0" applyFont="1" applyFill="1" applyBorder="1"/>
    <xf numFmtId="0" fontId="13" fillId="5" borderId="11" xfId="0" applyFont="1" applyFill="1" applyBorder="1"/>
    <xf numFmtId="0" fontId="13" fillId="5" borderId="10" xfId="0" applyFont="1" applyFill="1" applyBorder="1"/>
    <xf numFmtId="0" fontId="13" fillId="6" borderId="10" xfId="0" applyFont="1" applyFill="1" applyBorder="1"/>
    <xf numFmtId="0" fontId="12" fillId="0" borderId="11" xfId="0" applyFont="1" applyBorder="1" applyAlignment="1">
      <alignment vertical="center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/>
    <xf numFmtId="0" fontId="14" fillId="0" borderId="11" xfId="0" applyFont="1" applyBorder="1"/>
    <xf numFmtId="10" fontId="5" fillId="0" borderId="11" xfId="0" applyNumberFormat="1" applyFont="1" applyBorder="1" applyAlignment="1">
      <alignment horizontal="center" vertical="center"/>
    </xf>
    <xf numFmtId="17" fontId="9" fillId="0" borderId="11" xfId="0" quotePrefix="1" applyNumberFormat="1" applyFont="1" applyBorder="1" applyAlignment="1">
      <alignment horizontal="center"/>
    </xf>
    <xf numFmtId="0" fontId="4" fillId="2" borderId="16" xfId="0" applyFont="1" applyFill="1" applyBorder="1" applyAlignment="1">
      <alignment vertical="center" wrapText="1"/>
    </xf>
    <xf numFmtId="17" fontId="5" fillId="7" borderId="10" xfId="0" quotePrefix="1" applyNumberFormat="1" applyFont="1" applyFill="1" applyBorder="1"/>
    <xf numFmtId="0" fontId="9" fillId="11" borderId="11" xfId="0" applyFont="1" applyFill="1" applyBorder="1" applyAlignment="1">
      <alignment horizontal="center"/>
    </xf>
    <xf numFmtId="0" fontId="14" fillId="0" borderId="11" xfId="0" applyFont="1" applyBorder="1" applyAlignment="1">
      <alignment wrapText="1"/>
    </xf>
    <xf numFmtId="17" fontId="14" fillId="0" borderId="10" xfId="0" quotePrefix="1" applyNumberFormat="1" applyFont="1" applyBorder="1"/>
    <xf numFmtId="17" fontId="14" fillId="9" borderId="10" xfId="0" quotePrefix="1" applyNumberFormat="1" applyFont="1" applyFill="1" applyBorder="1"/>
    <xf numFmtId="0" fontId="14" fillId="0" borderId="10" xfId="0" applyFont="1" applyBorder="1"/>
    <xf numFmtId="17" fontId="14" fillId="10" borderId="10" xfId="0" quotePrefix="1" applyNumberFormat="1" applyFont="1" applyFill="1" applyBorder="1"/>
    <xf numFmtId="17" fontId="14" fillId="0" borderId="11" xfId="0" quotePrefix="1" applyNumberFormat="1" applyFont="1" applyBorder="1"/>
    <xf numFmtId="17" fontId="14" fillId="0" borderId="11" xfId="0" applyNumberFormat="1" applyFont="1" applyBorder="1"/>
    <xf numFmtId="49" fontId="5" fillId="9" borderId="11" xfId="0" quotePrefix="1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 vertical="center"/>
    </xf>
    <xf numFmtId="3" fontId="11" fillId="0" borderId="12" xfId="0" applyNumberFormat="1" applyFont="1" applyBorder="1" applyAlignment="1">
      <alignment horizontal="center" vertical="center"/>
    </xf>
    <xf numFmtId="3" fontId="4" fillId="5" borderId="12" xfId="0" applyNumberFormat="1" applyFont="1" applyFill="1" applyBorder="1" applyAlignment="1">
      <alignment horizontal="center"/>
    </xf>
    <xf numFmtId="0" fontId="12" fillId="13" borderId="11" xfId="0" applyFont="1" applyFill="1" applyBorder="1" applyAlignment="1">
      <alignment horizontal="center"/>
    </xf>
    <xf numFmtId="0" fontId="9" fillId="13" borderId="11" xfId="0" applyFont="1" applyFill="1" applyBorder="1" applyAlignment="1">
      <alignment horizontal="right"/>
    </xf>
    <xf numFmtId="0" fontId="7" fillId="13" borderId="11" xfId="0" applyFont="1" applyFill="1" applyBorder="1"/>
    <xf numFmtId="0" fontId="5" fillId="13" borderId="11" xfId="0" applyFont="1" applyFill="1" applyBorder="1" applyAlignment="1">
      <alignment horizontal="left"/>
    </xf>
    <xf numFmtId="0" fontId="9" fillId="13" borderId="11" xfId="0" applyFont="1" applyFill="1" applyBorder="1"/>
    <xf numFmtId="0" fontId="14" fillId="0" borderId="11" xfId="0" applyFont="1" applyBorder="1" applyAlignment="1">
      <alignment horizontal="center"/>
    </xf>
    <xf numFmtId="49" fontId="14" fillId="0" borderId="11" xfId="0" quotePrefix="1" applyNumberFormat="1" applyFont="1" applyBorder="1" applyAlignment="1">
      <alignment horizontal="center"/>
    </xf>
    <xf numFmtId="166" fontId="4" fillId="0" borderId="11" xfId="0" applyNumberFormat="1" applyFont="1" applyBorder="1" applyAlignment="1">
      <alignment horizontal="center"/>
    </xf>
    <xf numFmtId="0" fontId="14" fillId="12" borderId="10" xfId="0" applyFont="1" applyFill="1" applyBorder="1"/>
    <xf numFmtId="17" fontId="14" fillId="7" borderId="10" xfId="0" quotePrefix="1" applyNumberFormat="1" applyFont="1" applyFill="1" applyBorder="1"/>
    <xf numFmtId="16" fontId="14" fillId="7" borderId="11" xfId="0" quotePrefix="1" applyNumberFormat="1" applyFont="1" applyFill="1" applyBorder="1"/>
    <xf numFmtId="0" fontId="14" fillId="7" borderId="11" xfId="0" applyFont="1" applyFill="1" applyBorder="1" applyAlignment="1">
      <alignment wrapText="1"/>
    </xf>
    <xf numFmtId="0" fontId="14" fillId="7" borderId="10" xfId="0" quotePrefix="1" applyFont="1" applyFill="1" applyBorder="1"/>
    <xf numFmtId="0" fontId="14" fillId="7" borderId="11" xfId="0" applyFont="1" applyFill="1" applyBorder="1"/>
    <xf numFmtId="0" fontId="14" fillId="4" borderId="10" xfId="0" applyFont="1" applyFill="1" applyBorder="1"/>
    <xf numFmtId="0" fontId="14" fillId="5" borderId="10" xfId="0" applyFont="1" applyFill="1" applyBorder="1"/>
    <xf numFmtId="0" fontId="14" fillId="6" borderId="10" xfId="0" applyFont="1" applyFill="1" applyBorder="1"/>
    <xf numFmtId="0" fontId="14" fillId="9" borderId="11" xfId="0" applyFont="1" applyFill="1" applyBorder="1"/>
    <xf numFmtId="0" fontId="14" fillId="9" borderId="11" xfId="0" applyFont="1" applyFill="1" applyBorder="1" applyAlignment="1">
      <alignment wrapText="1"/>
    </xf>
    <xf numFmtId="0" fontId="14" fillId="10" borderId="11" xfId="0" applyFont="1" applyFill="1" applyBorder="1" applyAlignment="1">
      <alignment wrapText="1"/>
    </xf>
    <xf numFmtId="0" fontId="14" fillId="6" borderId="11" xfId="0" applyFont="1" applyFill="1" applyBorder="1"/>
    <xf numFmtId="0" fontId="14" fillId="0" borderId="11" xfId="0" quotePrefix="1" applyFont="1" applyBorder="1"/>
    <xf numFmtId="0" fontId="14" fillId="5" borderId="11" xfId="0" applyFont="1" applyFill="1" applyBorder="1"/>
    <xf numFmtId="17" fontId="14" fillId="9" borderId="11" xfId="0" applyNumberFormat="1" applyFont="1" applyFill="1" applyBorder="1"/>
    <xf numFmtId="0" fontId="14" fillId="0" borderId="0" xfId="0" applyFont="1"/>
    <xf numFmtId="17" fontId="14" fillId="7" borderId="11" xfId="0" quotePrefix="1" applyNumberFormat="1" applyFont="1" applyFill="1" applyBorder="1"/>
    <xf numFmtId="0" fontId="14" fillId="0" borderId="13" xfId="0" applyFont="1" applyBorder="1"/>
    <xf numFmtId="17" fontId="14" fillId="9" borderId="11" xfId="0" quotePrefix="1" applyNumberFormat="1" applyFont="1" applyFill="1" applyBorder="1"/>
    <xf numFmtId="0" fontId="14" fillId="12" borderId="11" xfId="0" applyFont="1" applyFill="1" applyBorder="1"/>
    <xf numFmtId="0" fontId="14" fillId="0" borderId="0" xfId="0" applyFont="1" applyAlignment="1">
      <alignment horizontal="center"/>
    </xf>
    <xf numFmtId="3" fontId="14" fillId="0" borderId="11" xfId="0" applyNumberFormat="1" applyFont="1" applyBorder="1" applyAlignment="1">
      <alignment horizontal="center" vertical="center"/>
    </xf>
    <xf numFmtId="17" fontId="17" fillId="0" borderId="10" xfId="0" quotePrefix="1" applyNumberFormat="1" applyFont="1" applyBorder="1"/>
    <xf numFmtId="2" fontId="14" fillId="0" borderId="0" xfId="0" applyNumberFormat="1" applyFont="1"/>
    <xf numFmtId="2" fontId="14" fillId="7" borderId="11" xfId="0" quotePrefix="1" applyNumberFormat="1" applyFont="1" applyFill="1" applyBorder="1"/>
    <xf numFmtId="0" fontId="18" fillId="9" borderId="11" xfId="0" applyFont="1" applyFill="1" applyBorder="1"/>
    <xf numFmtId="10" fontId="14" fillId="0" borderId="0" xfId="0" applyNumberFormat="1" applyFont="1" applyAlignment="1">
      <alignment horizontal="center"/>
    </xf>
    <xf numFmtId="9" fontId="14" fillId="0" borderId="0" xfId="0" applyNumberFormat="1" applyFont="1" applyAlignment="1">
      <alignment horizontal="center"/>
    </xf>
    <xf numFmtId="17" fontId="14" fillId="13" borderId="11" xfId="0" quotePrefix="1" applyNumberFormat="1" applyFont="1" applyFill="1" applyBorder="1"/>
    <xf numFmtId="17" fontId="14" fillId="13" borderId="11" xfId="0" applyNumberFormat="1" applyFont="1" applyFill="1" applyBorder="1"/>
    <xf numFmtId="0" fontId="18" fillId="13" borderId="11" xfId="0" applyFont="1" applyFill="1" applyBorder="1"/>
    <xf numFmtId="0" fontId="14" fillId="13" borderId="11" xfId="0" applyFont="1" applyFill="1" applyBorder="1"/>
    <xf numFmtId="17" fontId="14" fillId="11" borderId="11" xfId="0" quotePrefix="1" applyNumberFormat="1" applyFont="1" applyFill="1" applyBorder="1"/>
    <xf numFmtId="17" fontId="14" fillId="11" borderId="11" xfId="0" applyNumberFormat="1" applyFont="1" applyFill="1" applyBorder="1"/>
    <xf numFmtId="0" fontId="16" fillId="2" borderId="11" xfId="0" applyFont="1" applyFill="1" applyBorder="1" applyAlignment="1">
      <alignment horizontal="center" vertical="center"/>
    </xf>
    <xf numFmtId="0" fontId="17" fillId="0" borderId="11" xfId="0" applyFont="1" applyBorder="1"/>
    <xf numFmtId="17" fontId="17" fillId="0" borderId="11" xfId="0" quotePrefix="1" applyNumberFormat="1" applyFont="1" applyBorder="1"/>
    <xf numFmtId="17" fontId="17" fillId="13" borderId="11" xfId="0" quotePrefix="1" applyNumberFormat="1" applyFont="1" applyFill="1" applyBorder="1"/>
    <xf numFmtId="0" fontId="17" fillId="13" borderId="11" xfId="0" applyFont="1" applyFill="1" applyBorder="1"/>
    <xf numFmtId="17" fontId="17" fillId="11" borderId="11" xfId="0" quotePrefix="1" applyNumberFormat="1" applyFont="1" applyFill="1" applyBorder="1"/>
    <xf numFmtId="0" fontId="1" fillId="6" borderId="11" xfId="0" applyFont="1" applyFill="1" applyBorder="1" applyAlignment="1">
      <alignment horizontal="center" vertical="center" wrapText="1"/>
    </xf>
    <xf numFmtId="0" fontId="13" fillId="12" borderId="10" xfId="0" applyFont="1" applyFill="1" applyBorder="1"/>
    <xf numFmtId="0" fontId="0" fillId="0" borderId="0" xfId="0" applyAlignment="1">
      <alignment vertical="center" wrapText="1"/>
    </xf>
    <xf numFmtId="0" fontId="9" fillId="5" borderId="10" xfId="0" applyFont="1" applyFill="1" applyBorder="1"/>
    <xf numFmtId="0" fontId="5" fillId="5" borderId="10" xfId="0" applyFont="1" applyFill="1" applyBorder="1"/>
    <xf numFmtId="0" fontId="9" fillId="5" borderId="10" xfId="0" applyFont="1" applyFill="1" applyBorder="1" applyAlignment="1">
      <alignment wrapText="1"/>
    </xf>
    <xf numFmtId="0" fontId="5" fillId="12" borderId="10" xfId="0" applyFont="1" applyFill="1" applyBorder="1" applyAlignment="1">
      <alignment wrapText="1"/>
    </xf>
    <xf numFmtId="0" fontId="5" fillId="5" borderId="10" xfId="0" applyFont="1" applyFill="1" applyBorder="1" applyAlignment="1">
      <alignment wrapText="1"/>
    </xf>
    <xf numFmtId="17" fontId="5" fillId="13" borderId="11" xfId="0" applyNumberFormat="1" applyFont="1" applyFill="1" applyBorder="1" applyAlignment="1">
      <alignment horizontal="left"/>
    </xf>
    <xf numFmtId="0" fontId="7" fillId="0" borderId="11" xfId="0" applyFont="1" applyBorder="1" applyAlignment="1">
      <alignment horizontal="center"/>
    </xf>
    <xf numFmtId="17" fontId="7" fillId="0" borderId="11" xfId="0" quotePrefix="1" applyNumberFormat="1" applyFont="1" applyBorder="1" applyAlignment="1">
      <alignment horizontal="center"/>
    </xf>
    <xf numFmtId="0" fontId="14" fillId="10" borderId="11" xfId="0" applyFont="1" applyFill="1" applyBorder="1"/>
    <xf numFmtId="165" fontId="5" fillId="0" borderId="12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1" fillId="5" borderId="11" xfId="0" applyFont="1" applyFill="1" applyBorder="1" applyAlignment="1">
      <alignment horizontal="center" vertical="center" wrapText="1"/>
    </xf>
    <xf numFmtId="166" fontId="5" fillId="0" borderId="11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/>
    </xf>
    <xf numFmtId="1" fontId="7" fillId="8" borderId="11" xfId="0" applyNumberFormat="1" applyFont="1" applyFill="1" applyBorder="1"/>
    <xf numFmtId="0" fontId="9" fillId="6" borderId="10" xfId="0" applyFont="1" applyFill="1" applyBorder="1" applyAlignment="1">
      <alignment wrapText="1"/>
    </xf>
    <xf numFmtId="0" fontId="9" fillId="11" borderId="11" xfId="0" applyFont="1" applyFill="1" applyBorder="1"/>
    <xf numFmtId="0" fontId="9" fillId="6" borderId="10" xfId="0" applyFont="1" applyFill="1" applyBorder="1"/>
    <xf numFmtId="0" fontId="13" fillId="4" borderId="10" xfId="0" applyFont="1" applyFill="1" applyBorder="1" applyAlignment="1">
      <alignment wrapText="1"/>
    </xf>
    <xf numFmtId="0" fontId="14" fillId="0" borderId="13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right"/>
    </xf>
    <xf numFmtId="0" fontId="14" fillId="0" borderId="11" xfId="0" applyFont="1" applyBorder="1" applyAlignment="1">
      <alignment horizontal="right" wrapText="1"/>
    </xf>
    <xf numFmtId="0" fontId="16" fillId="6" borderId="10" xfId="0" applyFont="1" applyFill="1" applyBorder="1"/>
    <xf numFmtId="0" fontId="13" fillId="6" borderId="10" xfId="0" applyFont="1" applyFill="1" applyBorder="1" applyAlignment="1">
      <alignment wrapText="1"/>
    </xf>
    <xf numFmtId="0" fontId="13" fillId="14" borderId="10" xfId="0" applyFont="1" applyFill="1" applyBorder="1"/>
    <xf numFmtId="0" fontId="14" fillId="0" borderId="11" xfId="0" applyFont="1" applyBorder="1" applyAlignment="1">
      <alignment horizontal="right"/>
    </xf>
    <xf numFmtId="0" fontId="1" fillId="13" borderId="11" xfId="0" applyFont="1" applyFill="1" applyBorder="1" applyAlignment="1">
      <alignment horizontal="left"/>
    </xf>
    <xf numFmtId="0" fontId="19" fillId="0" borderId="0" xfId="0" applyFont="1"/>
    <xf numFmtId="17" fontId="9" fillId="0" borderId="10" xfId="0" quotePrefix="1" applyNumberFormat="1" applyFont="1" applyBorder="1"/>
    <xf numFmtId="0" fontId="14" fillId="11" borderId="11" xfId="0" applyFont="1" applyFill="1" applyBorder="1"/>
    <xf numFmtId="0" fontId="20" fillId="11" borderId="11" xfId="0" applyFont="1" applyFill="1" applyBorder="1"/>
    <xf numFmtId="0" fontId="20" fillId="0" borderId="11" xfId="0" applyFont="1" applyBorder="1"/>
    <xf numFmtId="10" fontId="4" fillId="11" borderId="11" xfId="0" applyNumberFormat="1" applyFont="1" applyFill="1" applyBorder="1" applyAlignment="1">
      <alignment horizontal="center"/>
    </xf>
    <xf numFmtId="0" fontId="4" fillId="11" borderId="11" xfId="0" applyFont="1" applyFill="1" applyBorder="1" applyAlignment="1">
      <alignment horizontal="center"/>
    </xf>
    <xf numFmtId="17" fontId="14" fillId="7" borderId="11" xfId="0" applyNumberFormat="1" applyFont="1" applyFill="1" applyBorder="1" applyAlignment="1">
      <alignment wrapText="1"/>
    </xf>
    <xf numFmtId="0" fontId="16" fillId="6" borderId="11" xfId="0" applyFont="1" applyFill="1" applyBorder="1"/>
    <xf numFmtId="17" fontId="16" fillId="0" borderId="11" xfId="0" quotePrefix="1" applyNumberFormat="1" applyFont="1" applyBorder="1"/>
    <xf numFmtId="17" fontId="23" fillId="0" borderId="10" xfId="0" quotePrefix="1" applyNumberFormat="1" applyFont="1" applyBorder="1"/>
    <xf numFmtId="17" fontId="4" fillId="0" borderId="10" xfId="0" quotePrefix="1" applyNumberFormat="1" applyFont="1" applyBorder="1"/>
    <xf numFmtId="0" fontId="16" fillId="0" borderId="11" xfId="0" applyFont="1" applyBorder="1"/>
    <xf numFmtId="17" fontId="13" fillId="0" borderId="11" xfId="0" quotePrefix="1" applyNumberFormat="1" applyFont="1" applyBorder="1" applyAlignment="1">
      <alignment horizontal="center"/>
    </xf>
    <xf numFmtId="0" fontId="16" fillId="0" borderId="11" xfId="0" applyFont="1" applyBorder="1" applyAlignment="1">
      <alignment horizontal="right" wrapText="1"/>
    </xf>
    <xf numFmtId="17" fontId="24" fillId="11" borderId="11" xfId="0" quotePrefix="1" applyNumberFormat="1" applyFont="1" applyFill="1" applyBorder="1" applyAlignment="1">
      <alignment horizontal="center"/>
    </xf>
    <xf numFmtId="0" fontId="24" fillId="11" borderId="11" xfId="0" applyFont="1" applyFill="1" applyBorder="1"/>
    <xf numFmtId="0" fontId="7" fillId="11" borderId="11" xfId="0" applyFont="1" applyFill="1" applyBorder="1" applyAlignment="1">
      <alignment horizontal="center"/>
    </xf>
    <xf numFmtId="17" fontId="7" fillId="11" borderId="11" xfId="0" quotePrefix="1" applyNumberFormat="1" applyFont="1" applyFill="1" applyBorder="1" applyAlignment="1">
      <alignment horizontal="center"/>
    </xf>
    <xf numFmtId="0" fontId="25" fillId="13" borderId="11" xfId="0" applyFont="1" applyFill="1" applyBorder="1" applyAlignment="1">
      <alignment horizontal="center"/>
    </xf>
    <xf numFmtId="17" fontId="14" fillId="10" borderId="11" xfId="0" applyNumberFormat="1" applyFont="1" applyFill="1" applyBorder="1"/>
    <xf numFmtId="0" fontId="26" fillId="0" borderId="11" xfId="0" applyFont="1" applyBorder="1" applyAlignment="1">
      <alignment wrapText="1"/>
    </xf>
    <xf numFmtId="0" fontId="27" fillId="0" borderId="11" xfId="0" applyFont="1" applyBorder="1" applyAlignment="1">
      <alignment wrapText="1"/>
    </xf>
    <xf numFmtId="166" fontId="4" fillId="0" borderId="11" xfId="0" applyNumberFormat="1" applyFont="1" applyBorder="1" applyAlignment="1">
      <alignment horizontal="left" indent="2"/>
    </xf>
    <xf numFmtId="0" fontId="17" fillId="0" borderId="11" xfId="0" applyFont="1" applyBorder="1" applyAlignment="1">
      <alignment wrapText="1"/>
    </xf>
    <xf numFmtId="0" fontId="14" fillId="0" borderId="11" xfId="0" quotePrefix="1" applyFont="1" applyBorder="1" applyAlignment="1">
      <alignment horizontal="center"/>
    </xf>
    <xf numFmtId="0" fontId="1" fillId="2" borderId="0" xfId="0" applyFont="1" applyFill="1"/>
    <xf numFmtId="14" fontId="2" fillId="3" borderId="1" xfId="0" applyNumberFormat="1" applyFont="1" applyFill="1" applyBorder="1" applyAlignment="1">
      <alignment horizontal="left"/>
    </xf>
    <xf numFmtId="0" fontId="5" fillId="2" borderId="11" xfId="0" applyFont="1" applyFill="1" applyBorder="1" applyAlignment="1">
      <alignment horizontal="center"/>
    </xf>
    <xf numFmtId="0" fontId="1" fillId="2" borderId="0" xfId="0" applyFont="1" applyFill="1"/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15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10" xfId="0" applyFont="1" applyFill="1" applyBorder="1" applyAlignment="1">
      <alignment horizontal="left"/>
    </xf>
    <xf numFmtId="0" fontId="4" fillId="0" borderId="12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 vertical="center"/>
    </xf>
    <xf numFmtId="3" fontId="5" fillId="0" borderId="10" xfId="0" applyNumberFormat="1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1" fontId="5" fillId="0" borderId="12" xfId="0" applyNumberFormat="1" applyFont="1" applyBorder="1" applyAlignment="1">
      <alignment horizontal="center" vertical="center"/>
    </xf>
    <xf numFmtId="1" fontId="5" fillId="0" borderId="10" xfId="0" applyNumberFormat="1" applyFont="1" applyBorder="1" applyAlignment="1">
      <alignment horizontal="center" vertical="center"/>
    </xf>
    <xf numFmtId="0" fontId="4" fillId="5" borderId="12" xfId="0" applyFont="1" applyFill="1" applyBorder="1" applyAlignment="1">
      <alignment horizontal="center"/>
    </xf>
    <xf numFmtId="0" fontId="4" fillId="5" borderId="14" xfId="0" applyFont="1" applyFill="1" applyBorder="1" applyAlignment="1">
      <alignment horizontal="center"/>
    </xf>
    <xf numFmtId="0" fontId="4" fillId="5" borderId="10" xfId="0" applyFont="1" applyFill="1" applyBorder="1" applyAlignment="1">
      <alignment horizontal="center"/>
    </xf>
    <xf numFmtId="3" fontId="4" fillId="5" borderId="12" xfId="0" applyNumberFormat="1" applyFont="1" applyFill="1" applyBorder="1" applyAlignment="1">
      <alignment horizontal="center"/>
    </xf>
    <xf numFmtId="3" fontId="4" fillId="5" borderId="10" xfId="0" applyNumberFormat="1" applyFont="1" applyFill="1" applyBorder="1" applyAlignment="1">
      <alignment horizontal="center"/>
    </xf>
    <xf numFmtId="0" fontId="16" fillId="2" borderId="11" xfId="0" applyFont="1" applyFill="1" applyBorder="1" applyAlignment="1">
      <alignment horizontal="center" vertical="center"/>
    </xf>
    <xf numFmtId="0" fontId="14" fillId="2" borderId="11" xfId="0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center"/>
    </xf>
    <xf numFmtId="0" fontId="10" fillId="2" borderId="14" xfId="0" applyFont="1" applyFill="1" applyBorder="1" applyAlignment="1">
      <alignment horizontal="center"/>
    </xf>
    <xf numFmtId="0" fontId="10" fillId="2" borderId="10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165" fontId="5" fillId="0" borderId="12" xfId="0" applyNumberFormat="1" applyFont="1" applyBorder="1" applyAlignment="1">
      <alignment horizontal="center" vertical="center"/>
    </xf>
    <xf numFmtId="165" fontId="5" fillId="0" borderId="10" xfId="0" applyNumberFormat="1" applyFont="1" applyBorder="1" applyAlignment="1">
      <alignment horizontal="center" vertical="center"/>
    </xf>
    <xf numFmtId="0" fontId="3" fillId="3" borderId="17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11" fillId="0" borderId="12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1">
    <pageSetUpPr fitToPage="1"/>
  </sheetPr>
  <dimension ref="A1:U99"/>
  <sheetViews>
    <sheetView tabSelected="1" zoomScaleNormal="100" workbookViewId="0">
      <pane ySplit="2" topLeftCell="A3" activePane="bottomLeft" state="frozen"/>
      <selection pane="bottomLeft" activeCell="E7" sqref="E7"/>
    </sheetView>
  </sheetViews>
  <sheetFormatPr defaultRowHeight="15" x14ac:dyDescent="0.25"/>
  <cols>
    <col min="1" max="1" width="11.7109375" customWidth="1"/>
    <col min="2" max="2" width="12.28515625" customWidth="1"/>
    <col min="3" max="3" width="11.85546875" customWidth="1"/>
    <col min="4" max="4" width="34.28515625" bestFit="1" customWidth="1"/>
    <col min="5" max="5" width="22.42578125" customWidth="1"/>
    <col min="6" max="6" width="12.5703125" customWidth="1"/>
    <col min="7" max="7" width="13.85546875" customWidth="1"/>
    <col min="8" max="8" width="14.7109375" customWidth="1"/>
    <col min="9" max="9" width="13.7109375" customWidth="1"/>
    <col min="10" max="10" width="14.85546875" customWidth="1"/>
    <col min="11" max="11" width="18.28515625" customWidth="1"/>
    <col min="12" max="12" width="10.28515625" customWidth="1"/>
    <col min="13" max="15" width="10.140625" customWidth="1"/>
    <col min="16" max="16" width="7.85546875" customWidth="1"/>
    <col min="17" max="17" width="8" customWidth="1"/>
    <col min="18" max="18" width="8.5703125" customWidth="1"/>
    <col min="19" max="19" width="8" customWidth="1"/>
    <col min="21" max="21" width="10" bestFit="1" customWidth="1"/>
  </cols>
  <sheetData>
    <row r="1" spans="1:21" ht="27" thickBot="1" x14ac:dyDescent="0.45">
      <c r="A1" s="195" t="s">
        <v>0</v>
      </c>
      <c r="B1" s="195"/>
      <c r="C1" s="195"/>
      <c r="D1" s="1"/>
      <c r="E1" s="196">
        <v>46120</v>
      </c>
      <c r="F1" s="3"/>
      <c r="G1" s="199" t="s">
        <v>133</v>
      </c>
      <c r="H1" s="200"/>
      <c r="I1" s="200"/>
      <c r="J1" s="201"/>
      <c r="K1" s="202" t="s">
        <v>1</v>
      </c>
      <c r="L1" s="203"/>
    </row>
    <row r="2" spans="1:21" ht="39" thickTop="1" x14ac:dyDescent="0.25">
      <c r="A2" s="6" t="s">
        <v>2</v>
      </c>
      <c r="B2" s="73" t="s">
        <v>38</v>
      </c>
      <c r="C2" s="7" t="s">
        <v>37</v>
      </c>
      <c r="D2" s="8" t="s">
        <v>3</v>
      </c>
      <c r="E2" s="8" t="s">
        <v>4</v>
      </c>
      <c r="F2" s="9" t="s">
        <v>30</v>
      </c>
      <c r="G2" s="8" t="s">
        <v>5</v>
      </c>
      <c r="H2" s="8" t="s">
        <v>6</v>
      </c>
      <c r="I2" s="8" t="s">
        <v>7</v>
      </c>
      <c r="J2" s="9" t="s">
        <v>8</v>
      </c>
      <c r="K2" s="8" t="s">
        <v>23</v>
      </c>
      <c r="L2" s="10" t="s">
        <v>9</v>
      </c>
      <c r="M2" s="11" t="s">
        <v>31</v>
      </c>
      <c r="N2" s="136" t="s">
        <v>32</v>
      </c>
      <c r="O2" s="54" t="s">
        <v>40</v>
      </c>
      <c r="P2" s="12" t="s">
        <v>10</v>
      </c>
      <c r="Q2" s="12" t="s">
        <v>11</v>
      </c>
      <c r="R2" s="12" t="s">
        <v>12</v>
      </c>
      <c r="S2" s="12" t="s">
        <v>13</v>
      </c>
      <c r="T2" s="67" t="s">
        <v>36</v>
      </c>
      <c r="U2" s="138"/>
    </row>
    <row r="3" spans="1:21" x14ac:dyDescent="0.25">
      <c r="A3" s="81" t="s">
        <v>58</v>
      </c>
      <c r="B3" s="118" t="s">
        <v>59</v>
      </c>
      <c r="C3" s="45" t="s">
        <v>54</v>
      </c>
      <c r="D3" s="70" t="s">
        <v>99</v>
      </c>
      <c r="E3" s="72" t="s">
        <v>14</v>
      </c>
      <c r="F3" s="163">
        <v>1000</v>
      </c>
      <c r="G3" s="76"/>
      <c r="H3" s="76" t="s">
        <v>181</v>
      </c>
      <c r="I3" s="76"/>
      <c r="J3" s="76">
        <f t="shared" ref="J3:J9" si="0">F3-G3</f>
        <v>1000</v>
      </c>
      <c r="K3" s="154" t="s">
        <v>195</v>
      </c>
      <c r="L3" s="63">
        <v>1000</v>
      </c>
      <c r="M3" s="141"/>
      <c r="N3" s="156"/>
      <c r="O3" s="142"/>
      <c r="P3" s="16">
        <v>3.0000000000000001E-3</v>
      </c>
      <c r="Q3" s="18">
        <v>6.6E-3</v>
      </c>
      <c r="R3" s="18">
        <v>5.6599999999999998E-2</v>
      </c>
      <c r="S3" s="16">
        <v>0</v>
      </c>
      <c r="T3" s="13">
        <v>0</v>
      </c>
      <c r="U3" s="119"/>
    </row>
    <row r="4" spans="1:21" x14ac:dyDescent="0.25">
      <c r="A4" s="81"/>
      <c r="B4" s="118"/>
      <c r="C4" s="45"/>
      <c r="D4" s="70"/>
      <c r="E4" s="72"/>
      <c r="F4" s="163"/>
      <c r="G4" s="76"/>
      <c r="H4" s="76"/>
      <c r="I4" s="76"/>
      <c r="J4" s="76">
        <f t="shared" si="0"/>
        <v>0</v>
      </c>
      <c r="K4" s="154"/>
      <c r="L4" s="63"/>
      <c r="M4" s="141"/>
      <c r="N4" s="156"/>
      <c r="O4" s="142"/>
      <c r="P4" s="16"/>
      <c r="Q4" s="18"/>
      <c r="R4" s="18"/>
      <c r="S4" s="16"/>
      <c r="T4" s="13"/>
      <c r="U4" s="119"/>
    </row>
    <row r="5" spans="1:21" x14ac:dyDescent="0.25">
      <c r="A5" s="81"/>
      <c r="B5" s="118"/>
      <c r="C5" s="45"/>
      <c r="D5" s="70"/>
      <c r="E5" s="72"/>
      <c r="F5" s="163"/>
      <c r="G5" s="76"/>
      <c r="H5" s="76"/>
      <c r="I5" s="76"/>
      <c r="J5" s="76">
        <f t="shared" si="0"/>
        <v>0</v>
      </c>
      <c r="K5" s="154"/>
      <c r="L5" s="63"/>
      <c r="M5" s="141"/>
      <c r="N5" s="156"/>
      <c r="O5" s="142"/>
      <c r="P5" s="16"/>
      <c r="Q5" s="18"/>
      <c r="R5" s="18"/>
      <c r="S5" s="16"/>
      <c r="T5" s="13"/>
      <c r="U5" s="119"/>
    </row>
    <row r="6" spans="1:21" x14ac:dyDescent="0.25">
      <c r="A6" s="81"/>
      <c r="B6" s="118"/>
      <c r="C6" s="45"/>
      <c r="D6" s="70"/>
      <c r="E6" s="72"/>
      <c r="F6" s="163"/>
      <c r="G6" s="76"/>
      <c r="H6" s="76"/>
      <c r="I6" s="76"/>
      <c r="J6" s="76">
        <f t="shared" si="0"/>
        <v>0</v>
      </c>
      <c r="K6" s="154"/>
      <c r="L6" s="63"/>
      <c r="M6" s="141"/>
      <c r="N6" s="156"/>
      <c r="O6" s="142"/>
      <c r="P6" s="16"/>
      <c r="Q6" s="18"/>
      <c r="R6" s="18"/>
      <c r="S6" s="16"/>
      <c r="T6" s="13"/>
      <c r="U6" s="119"/>
    </row>
    <row r="7" spans="1:21" x14ac:dyDescent="0.25">
      <c r="A7" s="81"/>
      <c r="B7" s="118"/>
      <c r="C7" s="45"/>
      <c r="D7" s="70"/>
      <c r="E7" s="72"/>
      <c r="F7" s="167"/>
      <c r="G7" s="76"/>
      <c r="H7" s="76"/>
      <c r="I7" s="76"/>
      <c r="J7" s="76">
        <f t="shared" si="0"/>
        <v>0</v>
      </c>
      <c r="K7" s="154"/>
      <c r="L7" s="63"/>
      <c r="M7" s="141"/>
      <c r="N7" s="156"/>
      <c r="O7" s="142"/>
      <c r="P7" s="16"/>
      <c r="Q7" s="18"/>
      <c r="R7" s="18"/>
      <c r="S7" s="16"/>
      <c r="T7" s="13"/>
      <c r="U7" s="119"/>
    </row>
    <row r="8" spans="1:21" x14ac:dyDescent="0.25">
      <c r="A8" s="81"/>
      <c r="B8" s="118"/>
      <c r="C8" s="45"/>
      <c r="D8" s="70"/>
      <c r="E8" s="72"/>
      <c r="F8" s="167"/>
      <c r="G8" s="76"/>
      <c r="H8" s="76"/>
      <c r="I8" s="76"/>
      <c r="J8" s="76">
        <f t="shared" si="0"/>
        <v>0</v>
      </c>
      <c r="K8" s="154"/>
      <c r="L8" s="63"/>
      <c r="M8" s="141"/>
      <c r="N8" s="156"/>
      <c r="O8" s="142"/>
      <c r="P8" s="16"/>
      <c r="Q8" s="18"/>
      <c r="R8" s="18"/>
      <c r="S8" s="16"/>
      <c r="T8" s="13"/>
      <c r="U8" s="119"/>
    </row>
    <row r="9" spans="1:21" x14ac:dyDescent="0.25">
      <c r="A9" s="81"/>
      <c r="B9" s="118"/>
      <c r="C9" s="45"/>
      <c r="D9" s="70"/>
      <c r="E9" s="72"/>
      <c r="F9" s="167"/>
      <c r="G9" s="76"/>
      <c r="H9" s="76"/>
      <c r="I9" s="76"/>
      <c r="J9" s="76">
        <f t="shared" si="0"/>
        <v>0</v>
      </c>
      <c r="K9" s="154"/>
      <c r="L9" s="63"/>
      <c r="M9" s="141"/>
      <c r="N9" s="156"/>
      <c r="O9" s="142"/>
      <c r="P9" s="16"/>
      <c r="Q9" s="18"/>
      <c r="R9" s="18"/>
      <c r="S9" s="16"/>
      <c r="T9" s="13"/>
      <c r="U9" s="119"/>
    </row>
    <row r="10" spans="1:21" x14ac:dyDescent="0.25">
      <c r="A10" s="19"/>
      <c r="B10" s="74"/>
      <c r="C10" s="96"/>
      <c r="D10" s="20" t="s">
        <v>21</v>
      </c>
      <c r="E10" s="97"/>
      <c r="F10" s="98"/>
      <c r="G10" s="98"/>
      <c r="H10" s="98"/>
      <c r="I10" s="98"/>
      <c r="J10" s="98"/>
      <c r="K10" s="21"/>
      <c r="L10" s="14"/>
      <c r="M10" s="143"/>
      <c r="N10" s="156"/>
      <c r="O10" s="53"/>
      <c r="P10" s="16"/>
      <c r="Q10" s="17"/>
      <c r="R10" s="17"/>
      <c r="S10" s="17"/>
      <c r="T10" s="13"/>
      <c r="U10" s="119"/>
    </row>
    <row r="11" spans="1:21" x14ac:dyDescent="0.25">
      <c r="A11" s="19"/>
      <c r="B11" s="74"/>
      <c r="C11" s="96"/>
      <c r="D11" s="20"/>
      <c r="E11" s="97"/>
      <c r="F11" s="98"/>
      <c r="G11" s="98"/>
      <c r="H11" s="98"/>
      <c r="I11" s="98"/>
      <c r="J11" s="98"/>
      <c r="K11" s="21"/>
      <c r="L11" s="14"/>
      <c r="M11" s="143"/>
      <c r="N11" s="15"/>
      <c r="O11" s="53"/>
      <c r="P11" s="16"/>
      <c r="Q11" s="17"/>
      <c r="R11" s="17"/>
      <c r="S11" s="17"/>
      <c r="T11" s="13"/>
      <c r="U11" s="119"/>
    </row>
    <row r="12" spans="1:21" x14ac:dyDescent="0.25">
      <c r="A12" s="112"/>
      <c r="B12" s="112"/>
      <c r="C12" s="99"/>
      <c r="D12" s="100" t="s">
        <v>118</v>
      </c>
      <c r="E12" s="97"/>
      <c r="F12" s="98"/>
      <c r="G12" s="98">
        <v>1000</v>
      </c>
      <c r="H12" s="98"/>
      <c r="I12" s="98"/>
      <c r="J12" s="98"/>
      <c r="K12" s="21"/>
      <c r="L12" s="22"/>
      <c r="M12" s="143"/>
      <c r="N12" s="15"/>
      <c r="O12" s="53"/>
      <c r="P12" s="13"/>
      <c r="Q12" s="13"/>
      <c r="R12" s="13"/>
      <c r="S12" s="13"/>
      <c r="T12" s="13"/>
      <c r="U12" s="119"/>
    </row>
    <row r="13" spans="1:21" x14ac:dyDescent="0.25">
      <c r="A13" s="112"/>
      <c r="B13" s="112"/>
      <c r="C13" s="99"/>
      <c r="D13" s="100"/>
      <c r="E13" s="97"/>
      <c r="F13" s="98"/>
      <c r="G13" s="98"/>
      <c r="H13" s="98"/>
      <c r="I13" s="98"/>
      <c r="J13" s="98"/>
      <c r="K13" s="21"/>
      <c r="L13" s="22"/>
      <c r="M13" s="143"/>
      <c r="N13" s="15"/>
      <c r="O13" s="53"/>
      <c r="P13" s="13"/>
      <c r="Q13" s="13"/>
      <c r="R13" s="13"/>
      <c r="S13" s="13"/>
      <c r="T13" s="13"/>
      <c r="U13" s="119"/>
    </row>
    <row r="14" spans="1:21" x14ac:dyDescent="0.25">
      <c r="A14" s="113"/>
      <c r="B14" s="111"/>
      <c r="C14" s="70"/>
      <c r="D14" s="23" t="s">
        <v>15</v>
      </c>
      <c r="E14" s="51" t="s">
        <v>14</v>
      </c>
      <c r="F14" s="23">
        <f>SUM(F3:F13)</f>
        <v>1000</v>
      </c>
      <c r="G14" s="23">
        <f>SUM(G3:G13)</f>
        <v>1000</v>
      </c>
      <c r="H14" s="23"/>
      <c r="I14" s="23"/>
      <c r="J14" s="23">
        <f>F14-G14</f>
        <v>0</v>
      </c>
      <c r="K14" s="24" t="s">
        <v>16</v>
      </c>
      <c r="L14" s="25">
        <f>SUM(L3:L13)</f>
        <v>1000</v>
      </c>
      <c r="M14" s="25">
        <f>SUM(M3:M13)</f>
        <v>0</v>
      </c>
      <c r="N14" s="25">
        <f>SUM(N3:N13)</f>
        <v>0</v>
      </c>
      <c r="O14" s="25">
        <f>SUM(O3:O13)</f>
        <v>0</v>
      </c>
      <c r="P14" s="26"/>
      <c r="Q14" s="26"/>
      <c r="R14" s="26"/>
      <c r="S14" s="26"/>
      <c r="T14" s="26"/>
      <c r="U14" s="119"/>
    </row>
    <row r="15" spans="1:21" x14ac:dyDescent="0.25">
      <c r="A15" s="81" t="s">
        <v>79</v>
      </c>
      <c r="B15" s="118" t="s">
        <v>59</v>
      </c>
      <c r="C15" s="45" t="s">
        <v>66</v>
      </c>
      <c r="D15" s="70" t="s">
        <v>99</v>
      </c>
      <c r="E15" s="72" t="s">
        <v>17</v>
      </c>
      <c r="F15" s="70">
        <v>1000</v>
      </c>
      <c r="G15" s="70"/>
      <c r="H15" s="76"/>
      <c r="I15" s="70"/>
      <c r="J15" s="70">
        <f t="shared" ref="J15:J19" si="1">F15-G15</f>
        <v>1000</v>
      </c>
      <c r="K15" s="154" t="s">
        <v>64</v>
      </c>
      <c r="L15" s="63"/>
      <c r="M15" s="139"/>
      <c r="N15" s="156">
        <v>1000</v>
      </c>
      <c r="O15" s="95"/>
      <c r="P15" s="18">
        <v>1E-3</v>
      </c>
      <c r="Q15" s="18">
        <v>3.6600000000000001E-2</v>
      </c>
      <c r="R15" s="18">
        <v>0.1033</v>
      </c>
      <c r="S15" s="18">
        <v>0</v>
      </c>
      <c r="T15" s="26">
        <v>0</v>
      </c>
      <c r="U15" s="119"/>
    </row>
    <row r="16" spans="1:21" x14ac:dyDescent="0.25">
      <c r="A16" s="81" t="s">
        <v>79</v>
      </c>
      <c r="B16" s="118" t="s">
        <v>59</v>
      </c>
      <c r="C16" s="45" t="s">
        <v>66</v>
      </c>
      <c r="D16" s="70" t="s">
        <v>99</v>
      </c>
      <c r="E16" s="72" t="s">
        <v>17</v>
      </c>
      <c r="F16" s="70">
        <v>1000</v>
      </c>
      <c r="G16" s="70"/>
      <c r="H16" s="76"/>
      <c r="I16" s="70"/>
      <c r="J16" s="70">
        <f t="shared" si="1"/>
        <v>1000</v>
      </c>
      <c r="K16" s="154" t="s">
        <v>68</v>
      </c>
      <c r="L16" s="63"/>
      <c r="M16" s="139"/>
      <c r="N16" s="156">
        <v>1000</v>
      </c>
      <c r="O16" s="95"/>
      <c r="P16" s="18">
        <v>1E-3</v>
      </c>
      <c r="Q16" s="18">
        <v>3.3300000000000003E-2</v>
      </c>
      <c r="R16" s="18">
        <v>9.6600000000000005E-2</v>
      </c>
      <c r="S16" s="18">
        <v>0</v>
      </c>
      <c r="T16" s="26">
        <v>0</v>
      </c>
      <c r="U16" s="119"/>
    </row>
    <row r="17" spans="1:21" x14ac:dyDescent="0.25">
      <c r="A17" s="81" t="s">
        <v>79</v>
      </c>
      <c r="B17" s="118" t="s">
        <v>59</v>
      </c>
      <c r="C17" s="45" t="s">
        <v>66</v>
      </c>
      <c r="D17" s="70" t="s">
        <v>99</v>
      </c>
      <c r="E17" s="72" t="s">
        <v>17</v>
      </c>
      <c r="F17" s="70">
        <v>1000</v>
      </c>
      <c r="G17" s="70"/>
      <c r="H17" s="76"/>
      <c r="I17" s="70"/>
      <c r="J17" s="70">
        <f t="shared" si="1"/>
        <v>1000</v>
      </c>
      <c r="K17" s="154" t="s">
        <v>69</v>
      </c>
      <c r="L17" s="63"/>
      <c r="M17" s="139"/>
      <c r="N17" s="156">
        <v>1000</v>
      </c>
      <c r="O17" s="95"/>
      <c r="P17" s="18">
        <v>2E-3</v>
      </c>
      <c r="Q17" s="18">
        <v>0.04</v>
      </c>
      <c r="R17" s="18">
        <v>0.13</v>
      </c>
      <c r="S17" s="18">
        <v>0</v>
      </c>
      <c r="T17" s="26">
        <v>0</v>
      </c>
      <c r="U17" s="119"/>
    </row>
    <row r="18" spans="1:21" x14ac:dyDescent="0.25">
      <c r="A18" s="81" t="s">
        <v>79</v>
      </c>
      <c r="B18" s="118" t="s">
        <v>59</v>
      </c>
      <c r="C18" s="45" t="s">
        <v>66</v>
      </c>
      <c r="D18" s="70" t="s">
        <v>99</v>
      </c>
      <c r="E18" s="72" t="s">
        <v>17</v>
      </c>
      <c r="F18" s="70">
        <v>1000</v>
      </c>
      <c r="G18" s="70"/>
      <c r="H18" s="76"/>
      <c r="I18" s="70"/>
      <c r="J18" s="70">
        <f t="shared" si="1"/>
        <v>1000</v>
      </c>
      <c r="K18" s="154" t="s">
        <v>70</v>
      </c>
      <c r="L18" s="63"/>
      <c r="M18" s="139"/>
      <c r="N18" s="156">
        <v>1000</v>
      </c>
      <c r="O18" s="95"/>
      <c r="P18" s="18">
        <v>3.0000000000000001E-3</v>
      </c>
      <c r="Q18" s="18">
        <v>2.3300000000000001E-2</v>
      </c>
      <c r="R18" s="18">
        <v>0.1333</v>
      </c>
      <c r="S18" s="18">
        <v>0</v>
      </c>
      <c r="T18" s="26">
        <v>0</v>
      </c>
      <c r="U18" s="119"/>
    </row>
    <row r="19" spans="1:21" x14ac:dyDescent="0.25">
      <c r="A19" s="81" t="s">
        <v>79</v>
      </c>
      <c r="B19" s="118" t="s">
        <v>59</v>
      </c>
      <c r="C19" s="45" t="s">
        <v>66</v>
      </c>
      <c r="D19" s="70" t="s">
        <v>99</v>
      </c>
      <c r="E19" s="72" t="s">
        <v>17</v>
      </c>
      <c r="F19" s="70">
        <v>1000</v>
      </c>
      <c r="G19" s="70"/>
      <c r="H19" s="76"/>
      <c r="I19" s="70"/>
      <c r="J19" s="70">
        <f t="shared" si="1"/>
        <v>1000</v>
      </c>
      <c r="K19" s="154" t="s">
        <v>71</v>
      </c>
      <c r="L19" s="63"/>
      <c r="M19" s="139"/>
      <c r="N19" s="156">
        <v>1000</v>
      </c>
      <c r="O19" s="95"/>
      <c r="P19" s="18">
        <v>1E-3</v>
      </c>
      <c r="Q19" s="18">
        <v>2.6599999999999999E-2</v>
      </c>
      <c r="R19" s="18">
        <v>9.6600000000000005E-2</v>
      </c>
      <c r="S19" s="18">
        <v>0</v>
      </c>
      <c r="T19" s="26">
        <v>0</v>
      </c>
      <c r="U19" s="119"/>
    </row>
    <row r="20" spans="1:21" x14ac:dyDescent="0.25">
      <c r="A20" s="81" t="s">
        <v>79</v>
      </c>
      <c r="B20" s="118" t="s">
        <v>59</v>
      </c>
      <c r="C20" s="45" t="s">
        <v>66</v>
      </c>
      <c r="D20" s="70" t="s">
        <v>99</v>
      </c>
      <c r="E20" s="72" t="s">
        <v>17</v>
      </c>
      <c r="F20" s="70">
        <v>1000</v>
      </c>
      <c r="G20" s="70"/>
      <c r="H20" s="76"/>
      <c r="I20" s="70"/>
      <c r="J20" s="70">
        <f>F20-G20</f>
        <v>1000</v>
      </c>
      <c r="K20" s="154" t="s">
        <v>72</v>
      </c>
      <c r="L20" s="63"/>
      <c r="M20" s="139"/>
      <c r="N20" s="103">
        <v>1000</v>
      </c>
      <c r="O20" s="95"/>
      <c r="P20" s="18">
        <v>1E-3</v>
      </c>
      <c r="Q20" s="18">
        <v>0.03</v>
      </c>
      <c r="R20" s="18">
        <v>8.6599999999999996E-2</v>
      </c>
      <c r="S20" s="18">
        <v>0</v>
      </c>
      <c r="T20" s="26">
        <v>0</v>
      </c>
      <c r="U20" s="119"/>
    </row>
    <row r="21" spans="1:21" x14ac:dyDescent="0.25">
      <c r="A21" s="81" t="s">
        <v>79</v>
      </c>
      <c r="B21" s="118" t="s">
        <v>59</v>
      </c>
      <c r="C21" s="45" t="s">
        <v>66</v>
      </c>
      <c r="D21" s="70" t="s">
        <v>99</v>
      </c>
      <c r="E21" s="72" t="s">
        <v>17</v>
      </c>
      <c r="F21" s="70">
        <v>596</v>
      </c>
      <c r="G21" s="70"/>
      <c r="H21" s="76"/>
      <c r="I21" s="70"/>
      <c r="J21" s="70">
        <f>F21-G21</f>
        <v>596</v>
      </c>
      <c r="K21" s="154" t="s">
        <v>73</v>
      </c>
      <c r="L21" s="63"/>
      <c r="M21" s="139"/>
      <c r="N21" s="103">
        <v>596</v>
      </c>
      <c r="O21" s="95"/>
      <c r="P21" s="18">
        <v>3.0000000000000001E-3</v>
      </c>
      <c r="Q21" s="18">
        <v>0.02</v>
      </c>
      <c r="R21" s="18">
        <v>0.15</v>
      </c>
      <c r="S21" s="18">
        <v>0</v>
      </c>
      <c r="T21" s="26">
        <v>0</v>
      </c>
      <c r="U21" s="119"/>
    </row>
    <row r="22" spans="1:21" x14ac:dyDescent="0.25">
      <c r="A22" s="81" t="s">
        <v>194</v>
      </c>
      <c r="B22" s="118" t="s">
        <v>184</v>
      </c>
      <c r="C22" s="45" t="s">
        <v>61</v>
      </c>
      <c r="D22" s="70" t="s">
        <v>99</v>
      </c>
      <c r="E22" s="72" t="s">
        <v>17</v>
      </c>
      <c r="F22" s="70">
        <v>977</v>
      </c>
      <c r="G22" s="70"/>
      <c r="H22" s="76"/>
      <c r="I22" s="70"/>
      <c r="J22" s="70">
        <f t="shared" ref="J22:J23" si="2">F22-G22</f>
        <v>977</v>
      </c>
      <c r="K22" s="154" t="s">
        <v>63</v>
      </c>
      <c r="L22" s="63"/>
      <c r="M22" s="139"/>
      <c r="N22" s="103">
        <v>977</v>
      </c>
      <c r="O22" s="95"/>
      <c r="P22" s="18">
        <v>2E-3</v>
      </c>
      <c r="Q22" s="18">
        <v>4.6600000000000003E-2</v>
      </c>
      <c r="R22" s="18">
        <v>0.12659999999999999</v>
      </c>
      <c r="S22" s="18">
        <v>0</v>
      </c>
      <c r="T22" s="26">
        <v>0</v>
      </c>
      <c r="U22" s="119"/>
    </row>
    <row r="23" spans="1:21" x14ac:dyDescent="0.25">
      <c r="A23" s="81"/>
      <c r="B23" s="118"/>
      <c r="C23" s="45"/>
      <c r="D23" s="70"/>
      <c r="E23" s="93"/>
      <c r="F23" s="167"/>
      <c r="G23" s="70"/>
      <c r="H23" s="76"/>
      <c r="I23" s="70"/>
      <c r="J23" s="181">
        <f t="shared" si="2"/>
        <v>0</v>
      </c>
      <c r="K23" s="154"/>
      <c r="L23" s="63"/>
      <c r="M23" s="139"/>
      <c r="N23" s="103"/>
      <c r="O23" s="95"/>
      <c r="P23" s="18"/>
      <c r="Q23" s="18"/>
      <c r="R23" s="18"/>
      <c r="S23" s="18"/>
      <c r="T23" s="26"/>
      <c r="U23" s="119"/>
    </row>
    <row r="24" spans="1:21" x14ac:dyDescent="0.25">
      <c r="A24" s="114"/>
      <c r="B24" s="78"/>
      <c r="C24" s="30"/>
      <c r="D24" s="31" t="s">
        <v>18</v>
      </c>
      <c r="E24" s="32"/>
      <c r="F24" s="104"/>
      <c r="G24" s="104"/>
      <c r="H24" s="104"/>
      <c r="I24" s="104"/>
      <c r="J24" s="104"/>
      <c r="K24" s="33"/>
      <c r="L24" s="27"/>
      <c r="M24" s="140"/>
      <c r="N24" s="103"/>
      <c r="O24" s="95"/>
      <c r="P24" s="18"/>
      <c r="Q24" s="18"/>
      <c r="R24" s="18"/>
      <c r="S24" s="18"/>
      <c r="T24" s="26"/>
      <c r="U24" s="119"/>
    </row>
    <row r="25" spans="1:21" x14ac:dyDescent="0.25">
      <c r="A25" s="114"/>
      <c r="B25" s="78"/>
      <c r="C25" s="30"/>
      <c r="D25" s="31"/>
      <c r="E25" s="32"/>
      <c r="F25" s="104"/>
      <c r="G25" s="104"/>
      <c r="H25" s="104"/>
      <c r="I25" s="104"/>
      <c r="J25" s="104"/>
      <c r="K25" s="33"/>
      <c r="L25" s="27"/>
      <c r="M25" s="140"/>
      <c r="N25" s="103"/>
      <c r="O25" s="95"/>
      <c r="P25" s="18"/>
      <c r="Q25" s="18"/>
      <c r="R25" s="18"/>
      <c r="S25" s="18"/>
      <c r="T25" s="26"/>
      <c r="U25" s="119"/>
    </row>
    <row r="26" spans="1:21" x14ac:dyDescent="0.25">
      <c r="A26" s="114"/>
      <c r="B26" s="78"/>
      <c r="C26" s="30"/>
      <c r="D26" s="31" t="s">
        <v>118</v>
      </c>
      <c r="E26" s="32"/>
      <c r="F26" s="104"/>
      <c r="G26" s="104">
        <v>6000</v>
      </c>
      <c r="H26" s="104"/>
      <c r="I26" s="104">
        <v>116</v>
      </c>
      <c r="J26" s="104"/>
      <c r="K26" s="33"/>
      <c r="L26" s="27"/>
      <c r="M26" s="140"/>
      <c r="N26" s="103"/>
      <c r="O26" s="95"/>
      <c r="P26" s="18"/>
      <c r="Q26" s="18"/>
      <c r="R26" s="18"/>
      <c r="S26" s="18"/>
      <c r="T26" s="26"/>
      <c r="U26" s="119"/>
    </row>
    <row r="27" spans="1:21" x14ac:dyDescent="0.25">
      <c r="A27" s="114"/>
      <c r="B27" s="78"/>
      <c r="C27" s="30"/>
      <c r="D27" s="31"/>
      <c r="E27" s="32"/>
      <c r="F27" s="104"/>
      <c r="G27" s="104"/>
      <c r="H27" s="104"/>
      <c r="I27" s="104"/>
      <c r="J27" s="104"/>
      <c r="K27" s="33"/>
      <c r="L27" s="27"/>
      <c r="M27" s="140"/>
      <c r="N27" s="103"/>
      <c r="O27" s="95"/>
      <c r="P27" s="18"/>
      <c r="Q27" s="18"/>
      <c r="R27" s="18"/>
      <c r="S27" s="18"/>
      <c r="T27" s="26"/>
      <c r="U27" s="119"/>
    </row>
    <row r="28" spans="1:21" x14ac:dyDescent="0.25">
      <c r="A28" s="114"/>
      <c r="B28" s="78"/>
      <c r="C28" s="30"/>
      <c r="D28" s="31"/>
      <c r="E28" s="32"/>
      <c r="F28" s="104"/>
      <c r="G28" s="104"/>
      <c r="H28" s="104"/>
      <c r="I28" s="104"/>
      <c r="J28" s="104"/>
      <c r="K28" s="33"/>
      <c r="L28" s="27"/>
      <c r="M28" s="140"/>
      <c r="N28" s="103"/>
      <c r="O28" s="95"/>
      <c r="P28" s="18"/>
      <c r="Q28" s="18"/>
      <c r="R28" s="18"/>
      <c r="S28" s="18"/>
      <c r="T28" s="26"/>
      <c r="U28" s="119"/>
    </row>
    <row r="29" spans="1:21" x14ac:dyDescent="0.25">
      <c r="A29" s="114"/>
      <c r="B29" s="78"/>
      <c r="C29" s="78"/>
      <c r="D29" s="121"/>
      <c r="E29" s="83"/>
      <c r="F29" s="104"/>
      <c r="G29" s="104"/>
      <c r="H29" s="110"/>
      <c r="I29" s="105"/>
      <c r="J29" s="104"/>
      <c r="K29" s="33"/>
      <c r="L29" s="27"/>
      <c r="M29" s="140"/>
      <c r="N29" s="103"/>
      <c r="O29" s="95"/>
      <c r="P29" s="18"/>
      <c r="Q29" s="18"/>
      <c r="R29" s="18"/>
      <c r="S29" s="18"/>
      <c r="T29" s="26"/>
      <c r="U29" s="119"/>
    </row>
    <row r="30" spans="1:21" x14ac:dyDescent="0.25">
      <c r="A30" s="70"/>
      <c r="B30" s="79"/>
      <c r="C30" s="79"/>
      <c r="D30" s="23" t="s">
        <v>15</v>
      </c>
      <c r="E30" s="51" t="s">
        <v>17</v>
      </c>
      <c r="F30" s="23">
        <f>SUM(F15:F23)</f>
        <v>7573</v>
      </c>
      <c r="G30" s="155">
        <f>SUM(G15:G29)</f>
        <v>6000</v>
      </c>
      <c r="H30" s="23"/>
      <c r="I30" s="23"/>
      <c r="J30" s="23">
        <f>F30-G30</f>
        <v>1573</v>
      </c>
      <c r="K30" s="24" t="s">
        <v>16</v>
      </c>
      <c r="L30" s="25">
        <f>SUM(L15:L29)</f>
        <v>0</v>
      </c>
      <c r="M30" s="25">
        <f>SUM(M15:M29)</f>
        <v>0</v>
      </c>
      <c r="N30" s="25">
        <f>SUM(N15:N23)</f>
        <v>7573</v>
      </c>
      <c r="O30" s="25">
        <f>SUM(O15:O29)</f>
        <v>0</v>
      </c>
      <c r="P30" s="26"/>
      <c r="Q30" s="26"/>
      <c r="R30" s="26"/>
      <c r="S30" s="26"/>
      <c r="T30" s="26"/>
      <c r="U30" s="119"/>
    </row>
    <row r="31" spans="1:21" x14ac:dyDescent="0.25">
      <c r="A31" s="81" t="s">
        <v>58</v>
      </c>
      <c r="B31" s="118" t="s">
        <v>59</v>
      </c>
      <c r="C31" s="45" t="s">
        <v>54</v>
      </c>
      <c r="D31" s="70" t="s">
        <v>99</v>
      </c>
      <c r="E31" s="72" t="s">
        <v>19</v>
      </c>
      <c r="F31" s="163">
        <v>280</v>
      </c>
      <c r="G31" s="76"/>
      <c r="H31" s="76"/>
      <c r="I31" s="76"/>
      <c r="J31" s="76">
        <f>F31-G31</f>
        <v>280</v>
      </c>
      <c r="K31" s="68" t="s">
        <v>60</v>
      </c>
      <c r="L31" s="63"/>
      <c r="M31" s="141"/>
      <c r="N31" s="156">
        <v>280</v>
      </c>
      <c r="O31" s="142"/>
      <c r="P31" s="16">
        <v>1E-3</v>
      </c>
      <c r="Q31" s="18">
        <v>0.01</v>
      </c>
      <c r="R31" s="18">
        <v>6.3299999999999995E-2</v>
      </c>
      <c r="S31" s="16">
        <v>0</v>
      </c>
      <c r="T31" s="13">
        <v>0</v>
      </c>
      <c r="U31" s="119"/>
    </row>
    <row r="32" spans="1:21" x14ac:dyDescent="0.25">
      <c r="A32" s="81" t="s">
        <v>58</v>
      </c>
      <c r="B32" s="118" t="s">
        <v>59</v>
      </c>
      <c r="C32" s="45" t="s">
        <v>54</v>
      </c>
      <c r="D32" s="70" t="s">
        <v>99</v>
      </c>
      <c r="E32" s="72" t="s">
        <v>19</v>
      </c>
      <c r="F32" s="163">
        <v>1000</v>
      </c>
      <c r="G32" s="70"/>
      <c r="H32" s="70"/>
      <c r="I32" s="70"/>
      <c r="J32" s="70">
        <f t="shared" ref="J32:J49" si="3">F32-G32</f>
        <v>1000</v>
      </c>
      <c r="K32" s="68" t="s">
        <v>75</v>
      </c>
      <c r="L32" s="63"/>
      <c r="M32" s="65"/>
      <c r="N32" s="158">
        <v>1000</v>
      </c>
      <c r="O32" s="95"/>
      <c r="P32" s="18">
        <v>0</v>
      </c>
      <c r="Q32" s="18">
        <v>2.3300000000000001E-2</v>
      </c>
      <c r="R32" s="18">
        <v>0.1133</v>
      </c>
      <c r="S32" s="18">
        <v>0</v>
      </c>
      <c r="T32" s="26">
        <v>0</v>
      </c>
      <c r="U32" s="119"/>
    </row>
    <row r="33" spans="1:21" x14ac:dyDescent="0.25">
      <c r="A33" s="81" t="s">
        <v>74</v>
      </c>
      <c r="B33" s="118" t="s">
        <v>59</v>
      </c>
      <c r="C33" s="45" t="s">
        <v>55</v>
      </c>
      <c r="D33" s="70" t="s">
        <v>99</v>
      </c>
      <c r="E33" s="72" t="s">
        <v>19</v>
      </c>
      <c r="F33" s="163">
        <v>1000</v>
      </c>
      <c r="G33" s="70"/>
      <c r="H33" s="70"/>
      <c r="I33" s="70"/>
      <c r="J33" s="70">
        <f t="shared" si="3"/>
        <v>1000</v>
      </c>
      <c r="K33" s="68" t="s">
        <v>67</v>
      </c>
      <c r="L33" s="63"/>
      <c r="M33" s="65"/>
      <c r="N33" s="158">
        <v>1000</v>
      </c>
      <c r="O33" s="95"/>
      <c r="P33" s="18">
        <v>0</v>
      </c>
      <c r="Q33" s="18">
        <v>1.66E-2</v>
      </c>
      <c r="R33" s="18">
        <v>8.3299999999999999E-2</v>
      </c>
      <c r="S33" s="18">
        <v>0</v>
      </c>
      <c r="T33" s="26">
        <v>0</v>
      </c>
      <c r="U33" s="119"/>
    </row>
    <row r="34" spans="1:21" x14ac:dyDescent="0.25">
      <c r="A34" s="81" t="s">
        <v>79</v>
      </c>
      <c r="B34" s="118" t="s">
        <v>59</v>
      </c>
      <c r="C34" s="45" t="s">
        <v>66</v>
      </c>
      <c r="D34" s="70" t="s">
        <v>99</v>
      </c>
      <c r="E34" s="72" t="s">
        <v>19</v>
      </c>
      <c r="F34" s="163">
        <v>1000</v>
      </c>
      <c r="G34" s="70"/>
      <c r="H34" s="70"/>
      <c r="I34" s="70"/>
      <c r="J34" s="70">
        <f t="shared" si="3"/>
        <v>1000</v>
      </c>
      <c r="K34" s="68" t="s">
        <v>63</v>
      </c>
      <c r="L34" s="63"/>
      <c r="M34" s="65"/>
      <c r="N34" s="158">
        <v>1000</v>
      </c>
      <c r="O34" s="95"/>
      <c r="P34" s="18">
        <v>0</v>
      </c>
      <c r="Q34" s="18">
        <v>3.6600000000000001E-2</v>
      </c>
      <c r="R34" s="18">
        <v>8.3299999999999999E-2</v>
      </c>
      <c r="S34" s="18">
        <v>0</v>
      </c>
      <c r="T34" s="26">
        <v>0</v>
      </c>
      <c r="U34" s="119"/>
    </row>
    <row r="35" spans="1:21" x14ac:dyDescent="0.25">
      <c r="A35" s="81" t="s">
        <v>79</v>
      </c>
      <c r="B35" s="118" t="s">
        <v>59</v>
      </c>
      <c r="C35" s="45" t="s">
        <v>66</v>
      </c>
      <c r="D35" s="70" t="s">
        <v>99</v>
      </c>
      <c r="E35" s="72" t="s">
        <v>19</v>
      </c>
      <c r="F35" s="163"/>
      <c r="G35" s="70"/>
      <c r="H35" s="70" t="s">
        <v>181</v>
      </c>
      <c r="I35" s="70"/>
      <c r="J35" s="70">
        <f t="shared" si="3"/>
        <v>0</v>
      </c>
      <c r="K35" s="68" t="s">
        <v>64</v>
      </c>
      <c r="L35" s="63"/>
      <c r="M35" s="65"/>
      <c r="N35" s="158"/>
      <c r="O35" s="95"/>
      <c r="P35" s="18">
        <v>1E-3</v>
      </c>
      <c r="Q35" s="18">
        <v>0.04</v>
      </c>
      <c r="R35" s="18">
        <v>0.1133</v>
      </c>
      <c r="S35" s="18">
        <v>0</v>
      </c>
      <c r="T35" s="26">
        <v>0</v>
      </c>
      <c r="U35" s="119"/>
    </row>
    <row r="36" spans="1:21" x14ac:dyDescent="0.25">
      <c r="A36" s="81" t="s">
        <v>79</v>
      </c>
      <c r="B36" s="118" t="s">
        <v>59</v>
      </c>
      <c r="C36" s="45" t="s">
        <v>66</v>
      </c>
      <c r="D36" s="70" t="s">
        <v>99</v>
      </c>
      <c r="E36" s="72" t="s">
        <v>19</v>
      </c>
      <c r="F36" s="163"/>
      <c r="G36" s="70"/>
      <c r="H36" s="70" t="s">
        <v>181</v>
      </c>
      <c r="I36" s="70"/>
      <c r="J36" s="70">
        <f t="shared" si="3"/>
        <v>0</v>
      </c>
      <c r="K36" s="68" t="s">
        <v>68</v>
      </c>
      <c r="L36" s="63"/>
      <c r="M36" s="65"/>
      <c r="N36" s="158"/>
      <c r="O36" s="95"/>
      <c r="P36" s="18">
        <v>1E-3</v>
      </c>
      <c r="Q36" s="18">
        <v>0.04</v>
      </c>
      <c r="R36" s="18">
        <v>7.0000000000000007E-2</v>
      </c>
      <c r="S36" s="18">
        <v>0</v>
      </c>
      <c r="T36" s="26">
        <v>0</v>
      </c>
      <c r="U36" s="119"/>
    </row>
    <row r="37" spans="1:21" x14ac:dyDescent="0.25">
      <c r="A37" s="81" t="s">
        <v>79</v>
      </c>
      <c r="B37" s="118" t="s">
        <v>59</v>
      </c>
      <c r="C37" s="45" t="s">
        <v>66</v>
      </c>
      <c r="D37" s="70" t="s">
        <v>99</v>
      </c>
      <c r="E37" s="72" t="s">
        <v>19</v>
      </c>
      <c r="F37" s="163"/>
      <c r="G37" s="70"/>
      <c r="H37" s="70" t="s">
        <v>181</v>
      </c>
      <c r="I37" s="70"/>
      <c r="J37" s="70">
        <f t="shared" si="3"/>
        <v>0</v>
      </c>
      <c r="K37" s="68" t="s">
        <v>69</v>
      </c>
      <c r="L37" s="63"/>
      <c r="M37" s="65"/>
      <c r="N37" s="158"/>
      <c r="O37" s="95"/>
      <c r="P37" s="18">
        <v>1E-3</v>
      </c>
      <c r="Q37" s="18">
        <v>0.03</v>
      </c>
      <c r="R37" s="18">
        <v>9.3299999999999994E-2</v>
      </c>
      <c r="S37" s="18">
        <v>0</v>
      </c>
      <c r="T37" s="26">
        <v>0</v>
      </c>
      <c r="U37" s="119"/>
    </row>
    <row r="38" spans="1:21" x14ac:dyDescent="0.25">
      <c r="A38" s="81" t="s">
        <v>79</v>
      </c>
      <c r="B38" s="118" t="s">
        <v>59</v>
      </c>
      <c r="C38" s="45" t="s">
        <v>66</v>
      </c>
      <c r="D38" s="70" t="s">
        <v>99</v>
      </c>
      <c r="E38" s="72" t="s">
        <v>19</v>
      </c>
      <c r="F38" s="163"/>
      <c r="G38" s="70"/>
      <c r="H38" s="70" t="s">
        <v>181</v>
      </c>
      <c r="I38" s="70"/>
      <c r="J38" s="70">
        <f t="shared" si="3"/>
        <v>0</v>
      </c>
      <c r="K38" s="68" t="s">
        <v>70</v>
      </c>
      <c r="L38" s="63"/>
      <c r="M38" s="65"/>
      <c r="N38" s="158"/>
      <c r="O38" s="95"/>
      <c r="P38" s="18">
        <v>2E-3</v>
      </c>
      <c r="Q38" s="18">
        <v>2.6599999999999999E-2</v>
      </c>
      <c r="R38" s="18">
        <v>0.09</v>
      </c>
      <c r="S38" s="18">
        <v>0</v>
      </c>
      <c r="T38" s="26">
        <v>0</v>
      </c>
      <c r="U38" s="119"/>
    </row>
    <row r="39" spans="1:21" x14ac:dyDescent="0.25">
      <c r="A39" s="81" t="s">
        <v>79</v>
      </c>
      <c r="B39" s="118" t="s">
        <v>59</v>
      </c>
      <c r="C39" s="45" t="s">
        <v>66</v>
      </c>
      <c r="D39" s="70" t="s">
        <v>99</v>
      </c>
      <c r="E39" s="72" t="s">
        <v>19</v>
      </c>
      <c r="F39" s="163">
        <v>1000</v>
      </c>
      <c r="G39" s="70"/>
      <c r="H39" s="70"/>
      <c r="I39" s="70"/>
      <c r="J39" s="70">
        <f t="shared" si="3"/>
        <v>1000</v>
      </c>
      <c r="K39" s="68" t="s">
        <v>71</v>
      </c>
      <c r="L39" s="63"/>
      <c r="M39" s="65"/>
      <c r="N39" s="158">
        <v>1000</v>
      </c>
      <c r="O39" s="95"/>
      <c r="P39" s="18">
        <v>0</v>
      </c>
      <c r="Q39" s="18">
        <v>2.3300000000000001E-2</v>
      </c>
      <c r="R39" s="18">
        <v>9.6600000000000005E-2</v>
      </c>
      <c r="S39" s="18">
        <v>0</v>
      </c>
      <c r="T39" s="26">
        <v>0</v>
      </c>
      <c r="U39" s="119"/>
    </row>
    <row r="40" spans="1:21" x14ac:dyDescent="0.25">
      <c r="A40" s="81" t="s">
        <v>79</v>
      </c>
      <c r="B40" s="118" t="s">
        <v>59</v>
      </c>
      <c r="C40" s="45" t="s">
        <v>66</v>
      </c>
      <c r="D40" s="70" t="s">
        <v>99</v>
      </c>
      <c r="E40" s="72" t="s">
        <v>19</v>
      </c>
      <c r="F40" s="163">
        <v>1000</v>
      </c>
      <c r="G40" s="70"/>
      <c r="H40" s="70"/>
      <c r="I40" s="70"/>
      <c r="J40" s="70">
        <f t="shared" si="3"/>
        <v>1000</v>
      </c>
      <c r="K40" s="68" t="s">
        <v>72</v>
      </c>
      <c r="L40" s="63"/>
      <c r="M40" s="65"/>
      <c r="N40" s="158">
        <v>1000</v>
      </c>
      <c r="O40" s="95"/>
      <c r="P40" s="18">
        <v>3.0000000000000001E-3</v>
      </c>
      <c r="Q40" s="18">
        <v>4.3299999999999998E-2</v>
      </c>
      <c r="R40" s="18">
        <v>0.1666</v>
      </c>
      <c r="S40" s="18">
        <v>0</v>
      </c>
      <c r="T40" s="26">
        <v>0</v>
      </c>
      <c r="U40" s="119"/>
    </row>
    <row r="41" spans="1:21" x14ac:dyDescent="0.25">
      <c r="A41" s="81" t="s">
        <v>79</v>
      </c>
      <c r="B41" s="118" t="s">
        <v>59</v>
      </c>
      <c r="C41" s="45" t="s">
        <v>66</v>
      </c>
      <c r="D41" s="70" t="s">
        <v>99</v>
      </c>
      <c r="E41" s="72" t="s">
        <v>19</v>
      </c>
      <c r="F41" s="163">
        <v>1000</v>
      </c>
      <c r="G41" s="70"/>
      <c r="H41" s="70"/>
      <c r="I41" s="70"/>
      <c r="J41" s="70">
        <f t="shared" si="3"/>
        <v>1000</v>
      </c>
      <c r="K41" s="68" t="s">
        <v>73</v>
      </c>
      <c r="L41" s="63"/>
      <c r="M41" s="65"/>
      <c r="N41" s="158">
        <v>1000</v>
      </c>
      <c r="O41" s="95"/>
      <c r="P41" s="18">
        <v>1E-3</v>
      </c>
      <c r="Q41" s="18">
        <v>1.66E-2</v>
      </c>
      <c r="R41" s="18">
        <v>0.12</v>
      </c>
      <c r="S41" s="18">
        <v>0</v>
      </c>
      <c r="T41" s="26">
        <v>0</v>
      </c>
      <c r="U41" s="119"/>
    </row>
    <row r="42" spans="1:21" x14ac:dyDescent="0.25">
      <c r="A42" s="81" t="s">
        <v>79</v>
      </c>
      <c r="B42" s="118" t="s">
        <v>59</v>
      </c>
      <c r="C42" s="45" t="s">
        <v>66</v>
      </c>
      <c r="D42" s="70" t="s">
        <v>99</v>
      </c>
      <c r="E42" s="72" t="s">
        <v>19</v>
      </c>
      <c r="F42" s="163">
        <v>1000</v>
      </c>
      <c r="G42" s="70"/>
      <c r="H42" s="70"/>
      <c r="I42" s="70"/>
      <c r="J42" s="70">
        <f t="shared" si="3"/>
        <v>1000</v>
      </c>
      <c r="K42" s="68" t="s">
        <v>93</v>
      </c>
      <c r="L42" s="63"/>
      <c r="M42" s="65"/>
      <c r="N42" s="158">
        <v>1000</v>
      </c>
      <c r="O42" s="95"/>
      <c r="P42" s="18">
        <v>2E-3</v>
      </c>
      <c r="Q42" s="18">
        <v>0.04</v>
      </c>
      <c r="R42" s="18">
        <v>0.1133</v>
      </c>
      <c r="S42" s="18">
        <v>0</v>
      </c>
      <c r="T42" s="26">
        <v>0</v>
      </c>
      <c r="U42" s="119"/>
    </row>
    <row r="43" spans="1:21" x14ac:dyDescent="0.25">
      <c r="A43" s="81" t="s">
        <v>79</v>
      </c>
      <c r="B43" s="118" t="s">
        <v>59</v>
      </c>
      <c r="C43" s="45" t="s">
        <v>66</v>
      </c>
      <c r="D43" s="70" t="s">
        <v>99</v>
      </c>
      <c r="E43" s="72" t="s">
        <v>19</v>
      </c>
      <c r="F43" s="163">
        <v>1000</v>
      </c>
      <c r="G43" s="70"/>
      <c r="H43" s="70"/>
      <c r="I43" s="70"/>
      <c r="J43" s="70">
        <f t="shared" si="3"/>
        <v>1000</v>
      </c>
      <c r="K43" s="68" t="s">
        <v>94</v>
      </c>
      <c r="L43" s="63"/>
      <c r="M43" s="65"/>
      <c r="N43" s="158">
        <v>1000</v>
      </c>
      <c r="O43" s="95"/>
      <c r="P43" s="18">
        <v>2E-3</v>
      </c>
      <c r="Q43" s="18">
        <v>3.6600000000000001E-2</v>
      </c>
      <c r="R43" s="18">
        <v>0.1</v>
      </c>
      <c r="S43" s="18">
        <v>0</v>
      </c>
      <c r="T43" s="26">
        <v>0</v>
      </c>
      <c r="U43" s="119"/>
    </row>
    <row r="44" spans="1:21" x14ac:dyDescent="0.25">
      <c r="A44" s="81" t="s">
        <v>79</v>
      </c>
      <c r="B44" s="118" t="s">
        <v>59</v>
      </c>
      <c r="C44" s="45" t="s">
        <v>66</v>
      </c>
      <c r="D44" s="70" t="s">
        <v>99</v>
      </c>
      <c r="E44" s="72" t="s">
        <v>19</v>
      </c>
      <c r="F44" s="163">
        <v>1000</v>
      </c>
      <c r="G44" s="70"/>
      <c r="H44" s="70"/>
      <c r="I44" s="70"/>
      <c r="J44" s="70">
        <f t="shared" si="3"/>
        <v>1000</v>
      </c>
      <c r="K44" s="68" t="s">
        <v>95</v>
      </c>
      <c r="L44" s="63"/>
      <c r="M44" s="65"/>
      <c r="N44" s="158">
        <v>1000</v>
      </c>
      <c r="O44" s="95"/>
      <c r="P44" s="18">
        <v>2E-3</v>
      </c>
      <c r="Q44" s="18">
        <v>0.04</v>
      </c>
      <c r="R44" s="18">
        <v>0.1333</v>
      </c>
      <c r="S44" s="18">
        <v>0</v>
      </c>
      <c r="T44" s="26">
        <v>0</v>
      </c>
      <c r="U44" s="119"/>
    </row>
    <row r="45" spans="1:21" x14ac:dyDescent="0.25">
      <c r="A45" s="81" t="s">
        <v>79</v>
      </c>
      <c r="B45" s="118" t="s">
        <v>59</v>
      </c>
      <c r="C45" s="45" t="s">
        <v>66</v>
      </c>
      <c r="D45" s="70" t="s">
        <v>99</v>
      </c>
      <c r="E45" s="72" t="s">
        <v>19</v>
      </c>
      <c r="F45" s="163"/>
      <c r="G45" s="70"/>
      <c r="H45" s="70"/>
      <c r="I45" s="70"/>
      <c r="J45" s="70">
        <f t="shared" si="3"/>
        <v>0</v>
      </c>
      <c r="K45" s="68" t="s">
        <v>96</v>
      </c>
      <c r="L45" s="63"/>
      <c r="M45" s="65"/>
      <c r="N45" s="158"/>
      <c r="O45" s="95"/>
      <c r="P45" s="18">
        <v>2E-3</v>
      </c>
      <c r="Q45" s="18">
        <v>0.04</v>
      </c>
      <c r="R45" s="18">
        <v>0.1333</v>
      </c>
      <c r="S45" s="18">
        <v>0</v>
      </c>
      <c r="T45" s="26">
        <v>0</v>
      </c>
      <c r="U45" s="119"/>
    </row>
    <row r="46" spans="1:21" x14ac:dyDescent="0.25">
      <c r="A46" s="81" t="s">
        <v>194</v>
      </c>
      <c r="B46" s="118" t="s">
        <v>184</v>
      </c>
      <c r="C46" s="45" t="s">
        <v>61</v>
      </c>
      <c r="D46" s="70" t="s">
        <v>99</v>
      </c>
      <c r="E46" s="72" t="s">
        <v>19</v>
      </c>
      <c r="F46" s="163">
        <v>1000</v>
      </c>
      <c r="G46" s="70"/>
      <c r="H46" s="70"/>
      <c r="I46" s="70"/>
      <c r="J46" s="70">
        <f t="shared" si="3"/>
        <v>1000</v>
      </c>
      <c r="K46" s="68" t="s">
        <v>63</v>
      </c>
      <c r="L46" s="63"/>
      <c r="M46" s="65"/>
      <c r="N46" s="158">
        <v>1000</v>
      </c>
      <c r="O46" s="95"/>
      <c r="P46" s="18">
        <v>1E-3</v>
      </c>
      <c r="Q46" s="18">
        <v>0.05</v>
      </c>
      <c r="R46" s="18">
        <v>0.11</v>
      </c>
      <c r="S46" s="18">
        <v>0</v>
      </c>
      <c r="T46" s="26">
        <v>0</v>
      </c>
      <c r="U46" s="119"/>
    </row>
    <row r="47" spans="1:21" x14ac:dyDescent="0.25">
      <c r="A47" s="81" t="s">
        <v>194</v>
      </c>
      <c r="B47" s="118" t="s">
        <v>184</v>
      </c>
      <c r="C47" s="45" t="s">
        <v>61</v>
      </c>
      <c r="D47" s="70" t="s">
        <v>99</v>
      </c>
      <c r="E47" s="72" t="s">
        <v>19</v>
      </c>
      <c r="F47" s="163">
        <v>670</v>
      </c>
      <c r="G47" s="70"/>
      <c r="H47" s="70"/>
      <c r="I47" s="70"/>
      <c r="J47" s="181">
        <f t="shared" si="3"/>
        <v>670</v>
      </c>
      <c r="K47" s="68" t="s">
        <v>64</v>
      </c>
      <c r="L47" s="63"/>
      <c r="M47" s="65"/>
      <c r="N47" s="158">
        <v>670</v>
      </c>
      <c r="O47" s="95"/>
      <c r="P47" s="18">
        <v>1E-3</v>
      </c>
      <c r="Q47" s="18">
        <v>0.05</v>
      </c>
      <c r="R47" s="18">
        <v>0.11</v>
      </c>
      <c r="S47" s="18">
        <v>0</v>
      </c>
      <c r="T47" s="26">
        <v>0</v>
      </c>
      <c r="U47" s="119"/>
    </row>
    <row r="48" spans="1:21" x14ac:dyDescent="0.25">
      <c r="A48" s="178"/>
      <c r="B48" s="179"/>
      <c r="C48" s="180"/>
      <c r="D48" s="181"/>
      <c r="E48" s="182"/>
      <c r="F48" s="183"/>
      <c r="G48" s="70"/>
      <c r="H48" s="70"/>
      <c r="I48" s="70"/>
      <c r="J48" s="181">
        <f t="shared" si="3"/>
        <v>0</v>
      </c>
      <c r="K48" s="154"/>
      <c r="L48" s="63"/>
      <c r="M48" s="65"/>
      <c r="N48" s="158"/>
      <c r="O48" s="95"/>
      <c r="P48" s="18"/>
      <c r="Q48" s="18"/>
      <c r="R48" s="18"/>
      <c r="S48" s="18"/>
      <c r="T48" s="26"/>
      <c r="U48" s="119"/>
    </row>
    <row r="49" spans="1:21" x14ac:dyDescent="0.25">
      <c r="A49" s="81"/>
      <c r="B49" s="118"/>
      <c r="C49" s="45"/>
      <c r="D49" s="70"/>
      <c r="E49" s="93"/>
      <c r="F49" s="70"/>
      <c r="G49" s="70"/>
      <c r="H49" s="70"/>
      <c r="I49" s="70"/>
      <c r="J49" s="181">
        <f t="shared" si="3"/>
        <v>0</v>
      </c>
      <c r="K49" s="154"/>
      <c r="L49" s="63"/>
      <c r="M49" s="65"/>
      <c r="N49" s="158"/>
      <c r="O49" s="95"/>
      <c r="P49" s="18"/>
      <c r="Q49" s="18"/>
      <c r="R49" s="18"/>
      <c r="S49" s="18"/>
      <c r="T49" s="26"/>
      <c r="U49" s="119"/>
    </row>
    <row r="50" spans="1:21" x14ac:dyDescent="0.25">
      <c r="A50" s="34"/>
      <c r="B50" s="35"/>
      <c r="C50" s="35"/>
      <c r="D50" s="36" t="s">
        <v>41</v>
      </c>
      <c r="E50" s="37"/>
      <c r="F50" s="147"/>
      <c r="G50" s="147"/>
      <c r="H50" s="147"/>
      <c r="I50" s="147"/>
      <c r="J50" s="106"/>
      <c r="K50" s="38"/>
      <c r="L50" s="63"/>
      <c r="M50" s="65"/>
      <c r="N50" s="66"/>
      <c r="O50" s="95"/>
      <c r="P50" s="18"/>
      <c r="Q50" s="18"/>
      <c r="R50" s="18"/>
      <c r="S50" s="18"/>
      <c r="T50" s="26"/>
      <c r="U50" s="119"/>
    </row>
    <row r="51" spans="1:21" x14ac:dyDescent="0.25">
      <c r="A51" s="34"/>
      <c r="B51" s="35"/>
      <c r="C51" s="35"/>
      <c r="D51" s="36"/>
      <c r="E51" s="37"/>
      <c r="F51" s="147"/>
      <c r="G51" s="147"/>
      <c r="H51" s="147"/>
      <c r="I51" s="147"/>
      <c r="J51" s="106"/>
      <c r="K51" s="38"/>
      <c r="L51" s="27"/>
      <c r="M51" s="28"/>
      <c r="N51" s="103"/>
      <c r="O51" s="95"/>
      <c r="P51" s="18"/>
      <c r="Q51" s="29"/>
      <c r="R51" s="29"/>
      <c r="S51" s="29"/>
      <c r="T51" s="26"/>
      <c r="U51" s="119"/>
    </row>
    <row r="52" spans="1:21" x14ac:dyDescent="0.25">
      <c r="A52" s="34"/>
      <c r="B52" s="35"/>
      <c r="C52" s="35"/>
      <c r="D52" s="36" t="s">
        <v>118</v>
      </c>
      <c r="E52" s="37"/>
      <c r="F52" s="147"/>
      <c r="G52" s="147"/>
      <c r="H52" s="147"/>
      <c r="I52" s="147">
        <v>116</v>
      </c>
      <c r="J52" s="106"/>
      <c r="K52" s="38"/>
      <c r="L52" s="27"/>
      <c r="M52" s="28"/>
      <c r="N52" s="103"/>
      <c r="O52" s="95"/>
      <c r="P52" s="18"/>
      <c r="Q52" s="29"/>
      <c r="R52" s="29"/>
      <c r="S52" s="29"/>
      <c r="T52" s="26"/>
      <c r="U52" s="119"/>
    </row>
    <row r="53" spans="1:21" x14ac:dyDescent="0.25">
      <c r="A53" s="34"/>
      <c r="B53" s="35"/>
      <c r="C53" s="35"/>
      <c r="D53" s="36"/>
      <c r="E53" s="37"/>
      <c r="F53" s="147"/>
      <c r="G53" s="147"/>
      <c r="H53" s="147"/>
      <c r="I53" s="147"/>
      <c r="J53" s="106"/>
      <c r="K53" s="38"/>
      <c r="L53" s="27"/>
      <c r="M53" s="28"/>
      <c r="N53" s="103"/>
      <c r="O53" s="95"/>
      <c r="P53" s="18"/>
      <c r="Q53" s="29"/>
      <c r="R53" s="29"/>
      <c r="S53" s="29"/>
      <c r="T53" s="26"/>
      <c r="U53" s="119"/>
    </row>
    <row r="54" spans="1:21" x14ac:dyDescent="0.25">
      <c r="A54" s="34"/>
      <c r="B54" s="35"/>
      <c r="C54" s="35"/>
      <c r="D54" s="36"/>
      <c r="E54" s="37"/>
      <c r="F54" s="147"/>
      <c r="G54" s="147"/>
      <c r="H54" s="147"/>
      <c r="I54" s="147"/>
      <c r="J54" s="106"/>
      <c r="K54" s="38"/>
      <c r="L54" s="27"/>
      <c r="M54" s="28"/>
      <c r="N54" s="103"/>
      <c r="O54" s="95"/>
      <c r="P54" s="18"/>
      <c r="Q54" s="29"/>
      <c r="R54" s="29"/>
      <c r="S54" s="29"/>
      <c r="T54" s="26"/>
      <c r="U54" s="119"/>
    </row>
    <row r="55" spans="1:21" x14ac:dyDescent="0.25">
      <c r="A55" s="34"/>
      <c r="B55" s="35"/>
      <c r="C55" s="35"/>
      <c r="D55" s="36"/>
      <c r="E55" s="37"/>
      <c r="F55" s="147"/>
      <c r="G55" s="147"/>
      <c r="H55" s="147"/>
      <c r="I55" s="147"/>
      <c r="J55" s="106"/>
      <c r="K55" s="38"/>
      <c r="L55" s="27"/>
      <c r="M55" s="28"/>
      <c r="N55" s="103"/>
      <c r="O55" s="95"/>
      <c r="P55" s="18"/>
      <c r="Q55" s="29"/>
      <c r="R55" s="29"/>
      <c r="S55" s="29"/>
      <c r="T55" s="26"/>
      <c r="U55" s="119"/>
    </row>
    <row r="56" spans="1:21" x14ac:dyDescent="0.25">
      <c r="A56" s="34"/>
      <c r="B56" s="35"/>
      <c r="C56" s="80"/>
      <c r="D56" s="36"/>
      <c r="E56" s="37"/>
      <c r="F56" s="147"/>
      <c r="G56" s="147"/>
      <c r="H56" s="147"/>
      <c r="I56" s="147"/>
      <c r="J56" s="106"/>
      <c r="K56" s="38"/>
      <c r="L56" s="101"/>
      <c r="M56" s="102"/>
      <c r="N56" s="103"/>
      <c r="O56" s="95"/>
      <c r="P56" s="26"/>
      <c r="Q56" s="26"/>
      <c r="R56" s="26"/>
      <c r="S56" s="26"/>
      <c r="T56" s="26"/>
      <c r="U56" s="119"/>
    </row>
    <row r="57" spans="1:21" x14ac:dyDescent="0.25">
      <c r="A57" s="70"/>
      <c r="B57" s="131"/>
      <c r="C57" s="70"/>
      <c r="D57" s="23" t="s">
        <v>15</v>
      </c>
      <c r="E57" s="24" t="s">
        <v>19</v>
      </c>
      <c r="F57" s="23">
        <f>SUM(F31:F49)</f>
        <v>10950</v>
      </c>
      <c r="G57" s="23">
        <f>SUM(G31:G56)</f>
        <v>0</v>
      </c>
      <c r="H57" s="23"/>
      <c r="I57" s="23"/>
      <c r="J57" s="23">
        <f>F57-G57</f>
        <v>10950</v>
      </c>
      <c r="K57" s="24" t="s">
        <v>16</v>
      </c>
      <c r="L57" s="25">
        <f>SUM(L31:L56)</f>
        <v>0</v>
      </c>
      <c r="M57" s="25">
        <f>SUM(M31:M56)</f>
        <v>0</v>
      </c>
      <c r="N57" s="25">
        <f>SUM(N31:N56)</f>
        <v>10950</v>
      </c>
      <c r="O57" s="25">
        <f>SUM(O31:O56)</f>
        <v>0</v>
      </c>
      <c r="P57" s="26"/>
      <c r="Q57" s="26"/>
      <c r="R57" s="26"/>
      <c r="S57" s="26"/>
      <c r="T57" s="26"/>
      <c r="U57" s="119"/>
    </row>
    <row r="58" spans="1:21" x14ac:dyDescent="0.25">
      <c r="A58" s="81" t="s">
        <v>163</v>
      </c>
      <c r="B58" s="118" t="s">
        <v>98</v>
      </c>
      <c r="C58" s="45" t="s">
        <v>54</v>
      </c>
      <c r="D58" s="70" t="s">
        <v>99</v>
      </c>
      <c r="E58" s="68" t="s">
        <v>22</v>
      </c>
      <c r="F58" s="58"/>
      <c r="G58" s="47"/>
      <c r="H58" s="190" t="s">
        <v>180</v>
      </c>
      <c r="I58" s="47"/>
      <c r="J58" s="70">
        <f t="shared" ref="J58:J71" si="4">F58-G58</f>
        <v>0</v>
      </c>
      <c r="K58" s="68" t="s">
        <v>78</v>
      </c>
      <c r="L58" s="63"/>
      <c r="M58" s="65"/>
      <c r="N58" s="66"/>
      <c r="O58" s="137"/>
      <c r="P58" s="18">
        <v>4.1000000000000002E-2</v>
      </c>
      <c r="Q58" s="18">
        <v>0</v>
      </c>
      <c r="R58" s="18">
        <v>0</v>
      </c>
      <c r="S58" s="18">
        <v>0</v>
      </c>
      <c r="T58" s="94">
        <v>0</v>
      </c>
      <c r="U58" s="123"/>
    </row>
    <row r="59" spans="1:21" x14ac:dyDescent="0.25">
      <c r="A59" s="81" t="s">
        <v>163</v>
      </c>
      <c r="B59" s="118" t="s">
        <v>98</v>
      </c>
      <c r="C59" s="45" t="s">
        <v>56</v>
      </c>
      <c r="D59" s="70" t="s">
        <v>99</v>
      </c>
      <c r="E59" s="68" t="s">
        <v>22</v>
      </c>
      <c r="F59" s="58"/>
      <c r="G59" s="47"/>
      <c r="H59" s="190" t="s">
        <v>180</v>
      </c>
      <c r="I59" s="47"/>
      <c r="J59" s="70">
        <f t="shared" si="4"/>
        <v>0</v>
      </c>
      <c r="K59" s="68" t="s">
        <v>78</v>
      </c>
      <c r="L59" s="63"/>
      <c r="M59" s="65"/>
      <c r="N59" s="66"/>
      <c r="O59" s="137"/>
      <c r="P59" s="18">
        <v>3.5999999999999997E-2</v>
      </c>
      <c r="Q59" s="18">
        <v>0</v>
      </c>
      <c r="R59" s="18">
        <v>0</v>
      </c>
      <c r="S59" s="18">
        <v>0</v>
      </c>
      <c r="T59" s="192">
        <v>1E-3</v>
      </c>
      <c r="U59" s="123"/>
    </row>
    <row r="60" spans="1:21" x14ac:dyDescent="0.25">
      <c r="A60" s="81" t="s">
        <v>163</v>
      </c>
      <c r="B60" s="118" t="s">
        <v>98</v>
      </c>
      <c r="C60" s="45" t="s">
        <v>66</v>
      </c>
      <c r="D60" s="70" t="s">
        <v>99</v>
      </c>
      <c r="E60" s="68" t="s">
        <v>22</v>
      </c>
      <c r="F60" s="58"/>
      <c r="G60" s="47"/>
      <c r="H60" s="190" t="s">
        <v>180</v>
      </c>
      <c r="I60" s="47"/>
      <c r="J60" s="70">
        <f t="shared" si="4"/>
        <v>0</v>
      </c>
      <c r="K60" s="68" t="s">
        <v>78</v>
      </c>
      <c r="L60" s="63"/>
      <c r="M60" s="65"/>
      <c r="N60" s="66"/>
      <c r="O60" s="137"/>
      <c r="P60" s="18">
        <v>3.2000000000000001E-2</v>
      </c>
      <c r="Q60" s="18">
        <v>0</v>
      </c>
      <c r="R60" s="18">
        <v>0</v>
      </c>
      <c r="S60" s="18">
        <v>0</v>
      </c>
      <c r="T60" s="94">
        <v>0</v>
      </c>
      <c r="U60" s="123"/>
    </row>
    <row r="61" spans="1:21" x14ac:dyDescent="0.25">
      <c r="A61" s="81" t="s">
        <v>163</v>
      </c>
      <c r="B61" s="118" t="s">
        <v>98</v>
      </c>
      <c r="C61" s="45" t="s">
        <v>66</v>
      </c>
      <c r="D61" s="70" t="s">
        <v>99</v>
      </c>
      <c r="E61" s="68" t="s">
        <v>22</v>
      </c>
      <c r="F61" s="58"/>
      <c r="G61" s="47"/>
      <c r="H61" s="190" t="s">
        <v>180</v>
      </c>
      <c r="I61" s="47"/>
      <c r="J61" s="70">
        <f t="shared" si="4"/>
        <v>0</v>
      </c>
      <c r="K61" s="68" t="s">
        <v>78</v>
      </c>
      <c r="L61" s="63"/>
      <c r="M61" s="65"/>
      <c r="N61" s="66"/>
      <c r="O61" s="137"/>
      <c r="P61" s="18">
        <v>2.8000000000000001E-2</v>
      </c>
      <c r="Q61" s="18">
        <v>0</v>
      </c>
      <c r="R61" s="18">
        <v>0</v>
      </c>
      <c r="S61" s="18">
        <v>0</v>
      </c>
      <c r="T61" s="94">
        <v>1E-3</v>
      </c>
      <c r="U61" s="123"/>
    </row>
    <row r="62" spans="1:21" x14ac:dyDescent="0.25">
      <c r="A62" s="81" t="s">
        <v>165</v>
      </c>
      <c r="B62" s="118" t="s">
        <v>98</v>
      </c>
      <c r="C62" s="45" t="s">
        <v>61</v>
      </c>
      <c r="D62" s="70" t="s">
        <v>99</v>
      </c>
      <c r="E62" s="68" t="s">
        <v>22</v>
      </c>
      <c r="F62" s="58"/>
      <c r="G62" s="47"/>
      <c r="H62" s="190" t="s">
        <v>180</v>
      </c>
      <c r="I62" s="47"/>
      <c r="J62" s="70">
        <f t="shared" si="4"/>
        <v>0</v>
      </c>
      <c r="K62" s="68" t="s">
        <v>78</v>
      </c>
      <c r="L62" s="63"/>
      <c r="M62" s="65"/>
      <c r="N62" s="66"/>
      <c r="O62" s="137"/>
      <c r="P62" s="18">
        <v>3.5000000000000003E-2</v>
      </c>
      <c r="Q62" s="18">
        <v>0</v>
      </c>
      <c r="R62" s="18">
        <v>0</v>
      </c>
      <c r="S62" s="18">
        <v>0</v>
      </c>
      <c r="T62" s="94">
        <v>1E-3</v>
      </c>
      <c r="U62" s="123"/>
    </row>
    <row r="63" spans="1:21" x14ac:dyDescent="0.25">
      <c r="A63" s="81"/>
      <c r="B63" s="118"/>
      <c r="C63" s="45"/>
      <c r="D63" s="70"/>
      <c r="E63" s="68"/>
      <c r="F63" s="58"/>
      <c r="G63" s="47"/>
      <c r="H63" s="76"/>
      <c r="I63" s="47"/>
      <c r="J63" s="70"/>
      <c r="K63" s="68"/>
      <c r="L63" s="63"/>
      <c r="M63" s="65"/>
      <c r="N63" s="66"/>
      <c r="O63" s="137"/>
      <c r="P63" s="18"/>
      <c r="Q63" s="18"/>
      <c r="R63" s="18"/>
      <c r="S63" s="18"/>
      <c r="T63" s="94"/>
      <c r="U63" s="123"/>
    </row>
    <row r="64" spans="1:21" x14ac:dyDescent="0.25">
      <c r="A64" s="81"/>
      <c r="B64" s="118"/>
      <c r="C64" s="45"/>
      <c r="D64" s="70"/>
      <c r="E64" s="68"/>
      <c r="F64" s="58"/>
      <c r="G64" s="47"/>
      <c r="H64" s="76"/>
      <c r="I64" s="47"/>
      <c r="J64" s="70">
        <f t="shared" si="4"/>
        <v>0</v>
      </c>
      <c r="K64" s="68"/>
      <c r="L64" s="63"/>
      <c r="M64" s="65"/>
      <c r="N64" s="66"/>
      <c r="O64" s="137"/>
      <c r="P64" s="18"/>
      <c r="Q64" s="18"/>
      <c r="R64" s="18"/>
      <c r="S64" s="18"/>
      <c r="T64" s="94"/>
      <c r="U64" s="123"/>
    </row>
    <row r="65" spans="1:21" x14ac:dyDescent="0.25">
      <c r="A65" s="124"/>
      <c r="B65" s="133"/>
      <c r="C65" s="125"/>
      <c r="D65" s="127"/>
      <c r="E65" s="87"/>
      <c r="F65" s="88"/>
      <c r="G65" s="91"/>
      <c r="H65" s="91"/>
      <c r="I65" s="91"/>
      <c r="J65" s="70">
        <f t="shared" si="4"/>
        <v>0</v>
      </c>
      <c r="K65" s="144"/>
      <c r="L65" s="63"/>
      <c r="M65" s="65"/>
      <c r="N65" s="107"/>
      <c r="O65" s="115"/>
      <c r="P65" s="18"/>
      <c r="Q65" s="18"/>
      <c r="R65" s="18"/>
      <c r="S65" s="18"/>
      <c r="T65" s="18"/>
      <c r="U65" s="122"/>
    </row>
    <row r="66" spans="1:21" x14ac:dyDescent="0.25">
      <c r="A66" s="127"/>
      <c r="B66" s="134"/>
      <c r="C66" s="125"/>
      <c r="D66" s="127"/>
      <c r="E66" s="87"/>
      <c r="F66" s="88"/>
      <c r="G66" s="91"/>
      <c r="H66" s="91"/>
      <c r="I66" s="91"/>
      <c r="J66" s="70">
        <f t="shared" si="4"/>
        <v>0</v>
      </c>
      <c r="K66" s="90"/>
      <c r="L66" s="56"/>
      <c r="M66" s="65"/>
      <c r="N66" s="107"/>
      <c r="O66" s="115"/>
      <c r="P66" s="18"/>
      <c r="Q66" s="18"/>
      <c r="R66" s="18"/>
      <c r="S66" s="18"/>
      <c r="T66" s="18"/>
      <c r="U66" s="123"/>
    </row>
    <row r="67" spans="1:21" x14ac:dyDescent="0.25">
      <c r="A67" s="128"/>
      <c r="B67" s="135"/>
      <c r="C67" s="129"/>
      <c r="D67" s="23" t="s">
        <v>15</v>
      </c>
      <c r="E67" s="52" t="s">
        <v>22</v>
      </c>
      <c r="F67" s="23">
        <f>SUM(F58:F66)</f>
        <v>0</v>
      </c>
      <c r="G67" s="23">
        <f>SUM(G58:G66)</f>
        <v>0</v>
      </c>
      <c r="H67" s="23"/>
      <c r="I67" s="23"/>
      <c r="J67" s="23">
        <f>F67-G67</f>
        <v>0</v>
      </c>
      <c r="K67" s="24" t="s">
        <v>16</v>
      </c>
      <c r="L67" s="25">
        <f>SUM(L58:L66)</f>
        <v>0</v>
      </c>
      <c r="M67" s="25">
        <f>SUM(M58:M64)</f>
        <v>0</v>
      </c>
      <c r="N67" s="25">
        <f>SUM(N58:N66)</f>
        <v>0</v>
      </c>
      <c r="O67" s="25">
        <f>SUM(O58:O66)</f>
        <v>0</v>
      </c>
      <c r="P67" s="18"/>
      <c r="Q67" s="18"/>
      <c r="R67" s="18"/>
      <c r="S67" s="18"/>
      <c r="T67" s="18"/>
      <c r="U67" s="123"/>
    </row>
    <row r="68" spans="1:21" x14ac:dyDescent="0.25">
      <c r="A68" s="128" t="s">
        <v>79</v>
      </c>
      <c r="B68" s="77" t="s">
        <v>98</v>
      </c>
      <c r="C68" s="129" t="s">
        <v>136</v>
      </c>
      <c r="D68" s="171" t="s">
        <v>76</v>
      </c>
      <c r="E68" s="184" t="s">
        <v>137</v>
      </c>
      <c r="F68" s="185">
        <v>560</v>
      </c>
      <c r="G68" s="47"/>
      <c r="H68" s="47"/>
      <c r="I68" s="47"/>
      <c r="J68" s="171">
        <f t="shared" si="4"/>
        <v>560</v>
      </c>
      <c r="K68" s="75" t="s">
        <v>78</v>
      </c>
      <c r="L68" s="63"/>
      <c r="M68" s="65"/>
      <c r="N68" s="107">
        <v>560</v>
      </c>
      <c r="O68" s="115"/>
      <c r="P68" s="18">
        <v>0.35899999999999999</v>
      </c>
      <c r="Q68" s="18">
        <v>0.09</v>
      </c>
      <c r="R68" s="18">
        <v>0.37</v>
      </c>
      <c r="S68" s="18">
        <v>0</v>
      </c>
      <c r="T68" s="18">
        <v>2.5999999999999999E-2</v>
      </c>
      <c r="U68" s="123"/>
    </row>
    <row r="69" spans="1:21" x14ac:dyDescent="0.25">
      <c r="A69" s="128"/>
      <c r="B69" s="135"/>
      <c r="C69" s="129"/>
      <c r="D69" s="47"/>
      <c r="E69" s="187"/>
      <c r="F69" s="47"/>
      <c r="G69" s="47"/>
      <c r="H69" s="47"/>
      <c r="I69" s="47"/>
      <c r="J69" s="171">
        <f t="shared" si="4"/>
        <v>0</v>
      </c>
      <c r="K69" s="186"/>
      <c r="L69" s="63"/>
      <c r="M69" s="65"/>
      <c r="N69" s="107"/>
      <c r="O69" s="115"/>
      <c r="P69" s="18"/>
      <c r="Q69" s="18"/>
      <c r="R69" s="18"/>
      <c r="S69" s="18"/>
      <c r="T69" s="18"/>
      <c r="U69" s="123"/>
    </row>
    <row r="70" spans="1:21" x14ac:dyDescent="0.25">
      <c r="A70" s="128"/>
      <c r="B70" s="135"/>
      <c r="C70" s="129"/>
      <c r="D70" s="47"/>
      <c r="E70" s="187"/>
      <c r="F70" s="47"/>
      <c r="G70" s="47"/>
      <c r="H70" s="47"/>
      <c r="I70" s="47"/>
      <c r="J70" s="171">
        <f t="shared" si="4"/>
        <v>0</v>
      </c>
      <c r="K70" s="186"/>
      <c r="L70" s="63"/>
      <c r="M70" s="65"/>
      <c r="N70" s="107"/>
      <c r="O70" s="115"/>
      <c r="P70" s="18"/>
      <c r="Q70" s="18"/>
      <c r="R70" s="18"/>
      <c r="S70" s="18"/>
      <c r="T70" s="18"/>
      <c r="U70" s="123"/>
    </row>
    <row r="71" spans="1:21" x14ac:dyDescent="0.25">
      <c r="A71" s="128" t="s">
        <v>79</v>
      </c>
      <c r="B71" s="77" t="s">
        <v>98</v>
      </c>
      <c r="C71" s="129" t="s">
        <v>136</v>
      </c>
      <c r="D71" s="171" t="s">
        <v>76</v>
      </c>
      <c r="E71" s="184" t="s">
        <v>138</v>
      </c>
      <c r="F71" s="157">
        <v>415</v>
      </c>
      <c r="G71" s="47"/>
      <c r="H71" s="47"/>
      <c r="I71" s="47"/>
      <c r="J71" s="171">
        <f t="shared" si="4"/>
        <v>415</v>
      </c>
      <c r="K71" s="75" t="s">
        <v>78</v>
      </c>
      <c r="L71" s="63"/>
      <c r="M71" s="65"/>
      <c r="N71" s="107">
        <v>415</v>
      </c>
      <c r="O71" s="115"/>
      <c r="P71" s="18">
        <v>0.42599999999999999</v>
      </c>
      <c r="Q71" s="18">
        <v>0.12</v>
      </c>
      <c r="R71" s="18">
        <v>0.28999999999999998</v>
      </c>
      <c r="S71" s="18">
        <v>0</v>
      </c>
      <c r="T71" s="18">
        <v>1.7999999999999999E-2</v>
      </c>
      <c r="U71" s="123"/>
    </row>
    <row r="72" spans="1:21" x14ac:dyDescent="0.25">
      <c r="A72" s="128"/>
      <c r="B72" s="135"/>
      <c r="C72" s="129"/>
      <c r="D72" s="46"/>
      <c r="E72" s="146"/>
      <c r="F72" s="46"/>
      <c r="G72" s="46"/>
      <c r="H72" s="46"/>
      <c r="I72" s="46"/>
      <c r="J72" s="70">
        <f t="shared" ref="J72" si="5">F72-G72</f>
        <v>0</v>
      </c>
      <c r="K72" s="145"/>
      <c r="L72" s="63"/>
      <c r="M72" s="65"/>
      <c r="N72" s="107"/>
      <c r="O72" s="115"/>
      <c r="P72" s="18"/>
      <c r="Q72" s="18"/>
      <c r="R72" s="18"/>
      <c r="S72" s="18"/>
      <c r="T72" s="18"/>
      <c r="U72" s="123"/>
    </row>
    <row r="73" spans="1:21" x14ac:dyDescent="0.25">
      <c r="A73" s="70"/>
      <c r="B73" s="131"/>
      <c r="C73" s="70"/>
      <c r="D73" s="23" t="s">
        <v>15</v>
      </c>
      <c r="E73" s="52" t="s">
        <v>39</v>
      </c>
      <c r="F73" s="25">
        <f>SUM(F68:F72)</f>
        <v>975</v>
      </c>
      <c r="G73" s="25">
        <f>SUM(G72:G72)</f>
        <v>0</v>
      </c>
      <c r="H73" s="23"/>
      <c r="I73" s="23"/>
      <c r="J73" s="25">
        <f>F73-G73</f>
        <v>975</v>
      </c>
      <c r="K73" s="24" t="s">
        <v>16</v>
      </c>
      <c r="L73" s="25">
        <f>SUM(L72:L72)</f>
        <v>0</v>
      </c>
      <c r="M73" s="25">
        <f>SUM(M58:M72)</f>
        <v>0</v>
      </c>
      <c r="N73" s="25">
        <f>SUM(N68:N72)</f>
        <v>975</v>
      </c>
      <c r="O73" s="25">
        <f>SUM(O58:O72)</f>
        <v>0</v>
      </c>
      <c r="P73" s="26"/>
      <c r="Q73" s="26"/>
      <c r="R73" s="26"/>
      <c r="S73" s="26"/>
      <c r="T73" s="26"/>
      <c r="U73" s="111"/>
    </row>
    <row r="74" spans="1:21" x14ac:dyDescent="0.25">
      <c r="A74" s="70"/>
      <c r="B74" s="131"/>
      <c r="C74" s="81"/>
      <c r="D74" s="70"/>
      <c r="E74" s="108"/>
      <c r="F74" s="70"/>
      <c r="G74" s="70"/>
      <c r="H74" s="70"/>
      <c r="I74" s="70"/>
      <c r="J74" s="70"/>
      <c r="K74" s="70"/>
      <c r="L74" s="101"/>
      <c r="M74" s="109"/>
      <c r="N74" s="107"/>
      <c r="O74" s="115"/>
      <c r="P74" s="26"/>
      <c r="Q74" s="26"/>
      <c r="R74" s="26"/>
      <c r="S74" s="26"/>
      <c r="T74" s="26"/>
      <c r="U74" s="111"/>
    </row>
    <row r="75" spans="1:21" x14ac:dyDescent="0.25">
      <c r="A75" s="70"/>
      <c r="B75" s="131"/>
      <c r="C75" s="70"/>
      <c r="D75" s="70"/>
      <c r="E75" s="70"/>
      <c r="F75" s="70"/>
      <c r="G75" s="70"/>
      <c r="H75" s="70"/>
      <c r="I75" s="70"/>
      <c r="J75" s="70"/>
      <c r="K75" s="70"/>
      <c r="L75" s="101"/>
      <c r="M75" s="109"/>
      <c r="N75" s="107"/>
      <c r="O75" s="115"/>
      <c r="P75" s="26"/>
      <c r="Q75" s="26"/>
      <c r="R75" s="26"/>
      <c r="S75" s="26"/>
      <c r="T75" s="70"/>
      <c r="U75" s="111"/>
    </row>
    <row r="76" spans="1:21" x14ac:dyDescent="0.25">
      <c r="A76" s="70"/>
      <c r="B76" s="131"/>
      <c r="C76" s="70"/>
      <c r="D76" s="204" t="s">
        <v>24</v>
      </c>
      <c r="E76" s="205"/>
      <c r="F76" s="39">
        <f>SUM(F14,F30,F57,F67,F73)</f>
        <v>20498</v>
      </c>
      <c r="G76" s="39">
        <f>SUM(G14,G30,G57,G67,G73)</f>
        <v>7000</v>
      </c>
      <c r="H76" s="39"/>
      <c r="I76" s="39"/>
      <c r="J76" s="39">
        <f>SUM(F76-G76)</f>
        <v>13498</v>
      </c>
      <c r="K76" s="40" t="s">
        <v>16</v>
      </c>
      <c r="L76" s="39">
        <f>SUM(L14,L30,L57,L67,L73)</f>
        <v>1000</v>
      </c>
      <c r="M76" s="39">
        <f>SUM(M14,M30,M57,M67,M73)</f>
        <v>0</v>
      </c>
      <c r="N76" s="39">
        <f>SUM(N14,N30,N57,N67,N73)</f>
        <v>19498</v>
      </c>
      <c r="O76" s="39">
        <f>SUM(O14,O30,O57,O67,O73)</f>
        <v>0</v>
      </c>
      <c r="P76" s="26"/>
      <c r="Q76" s="26"/>
      <c r="R76" s="26"/>
      <c r="S76" s="26"/>
      <c r="T76" s="70"/>
      <c r="U76" s="111"/>
    </row>
    <row r="77" spans="1:21" x14ac:dyDescent="0.25">
      <c r="A77" s="111"/>
      <c r="B77" s="111"/>
      <c r="C77" s="111"/>
      <c r="D77" s="111"/>
      <c r="E77" s="111"/>
      <c r="F77" s="111"/>
      <c r="G77" s="111"/>
      <c r="H77" s="111"/>
      <c r="I77" s="111"/>
      <c r="J77" s="111"/>
      <c r="K77" s="111"/>
      <c r="L77" s="111"/>
      <c r="M77" s="111"/>
      <c r="N77" s="111"/>
      <c r="O77" s="111"/>
      <c r="P77" s="116"/>
      <c r="Q77" s="116"/>
      <c r="R77" s="116"/>
      <c r="S77" s="116"/>
      <c r="T77" s="111"/>
      <c r="U77" s="111"/>
    </row>
    <row r="78" spans="1:21" ht="18" x14ac:dyDescent="0.25">
      <c r="A78" s="111"/>
      <c r="B78" s="111"/>
      <c r="C78" s="111"/>
      <c r="D78" s="41"/>
      <c r="E78" s="111"/>
      <c r="F78" s="111"/>
      <c r="G78" s="111"/>
      <c r="H78" s="111"/>
      <c r="I78" s="111"/>
      <c r="J78" s="111"/>
      <c r="K78" s="42" t="s">
        <v>20</v>
      </c>
      <c r="L78" s="42">
        <f>F76-L76-M76-N76-O76</f>
        <v>0</v>
      </c>
      <c r="M78" s="111"/>
      <c r="N78" s="111"/>
      <c r="O78" s="111"/>
      <c r="P78" s="111"/>
      <c r="Q78" s="111"/>
      <c r="R78" s="111"/>
      <c r="S78" s="111"/>
      <c r="T78" s="111"/>
      <c r="U78" s="111"/>
    </row>
    <row r="79" spans="1:21" x14ac:dyDescent="0.25">
      <c r="A79" s="111"/>
      <c r="B79" s="111"/>
      <c r="C79" s="111"/>
      <c r="D79" s="43"/>
      <c r="E79" s="111"/>
      <c r="F79" s="111"/>
      <c r="G79" s="111"/>
      <c r="H79" s="111"/>
      <c r="I79" s="111"/>
      <c r="J79" s="111"/>
      <c r="K79" s="111"/>
      <c r="L79" s="111"/>
      <c r="M79" s="111"/>
      <c r="N79" s="111"/>
      <c r="O79" s="111"/>
      <c r="P79" s="111"/>
      <c r="Q79" s="111"/>
      <c r="R79" s="111"/>
      <c r="S79" s="111"/>
      <c r="T79" s="111"/>
      <c r="U79" s="111"/>
    </row>
    <row r="80" spans="1:21" x14ac:dyDescent="0.25">
      <c r="A80" s="111"/>
      <c r="B80" s="111"/>
      <c r="C80" s="111"/>
      <c r="D80" s="43"/>
      <c r="E80" s="111"/>
      <c r="F80" s="111"/>
      <c r="G80" s="48"/>
      <c r="H80" s="48"/>
      <c r="I80" s="48"/>
      <c r="J80" s="48"/>
      <c r="K80" s="111"/>
      <c r="L80" s="111"/>
      <c r="M80" s="111"/>
      <c r="N80" s="111"/>
      <c r="O80" s="111"/>
      <c r="P80" s="111"/>
      <c r="Q80" s="111"/>
      <c r="R80" s="111"/>
      <c r="S80" s="111"/>
      <c r="T80" s="111"/>
      <c r="U80" s="111"/>
    </row>
    <row r="81" spans="1:21" x14ac:dyDescent="0.25">
      <c r="A81" s="111"/>
      <c r="B81" s="111"/>
      <c r="C81" s="111"/>
      <c r="D81" s="43"/>
      <c r="E81" s="111"/>
      <c r="F81" s="111"/>
      <c r="G81" s="111"/>
      <c r="H81" s="111"/>
      <c r="I81" s="111"/>
      <c r="J81" s="111"/>
      <c r="K81" s="111"/>
      <c r="L81" s="111"/>
      <c r="M81" s="111"/>
      <c r="N81" s="111"/>
      <c r="O81" s="111"/>
      <c r="P81" s="111"/>
      <c r="Q81" s="111"/>
      <c r="R81" s="111"/>
      <c r="S81" s="111"/>
      <c r="T81" s="111"/>
      <c r="U81" s="111"/>
    </row>
    <row r="82" spans="1:21" x14ac:dyDescent="0.25">
      <c r="A82" s="111"/>
      <c r="B82" s="111"/>
      <c r="C82" s="111"/>
      <c r="D82" s="43"/>
      <c r="E82" s="111"/>
      <c r="F82" s="111"/>
      <c r="G82" s="111"/>
      <c r="H82" s="111"/>
      <c r="I82" s="111"/>
      <c r="J82" s="111"/>
      <c r="K82" s="111"/>
      <c r="L82" s="111"/>
      <c r="M82" s="111"/>
      <c r="N82" s="111"/>
      <c r="O82" s="111"/>
      <c r="P82" s="111"/>
      <c r="Q82" s="111"/>
      <c r="R82" s="111"/>
      <c r="S82" s="111"/>
      <c r="T82" s="111"/>
      <c r="U82" s="111"/>
    </row>
    <row r="83" spans="1:21" x14ac:dyDescent="0.25">
      <c r="A83" s="111"/>
      <c r="B83" s="111"/>
      <c r="C83" s="111"/>
      <c r="D83" s="111"/>
      <c r="E83" s="111"/>
      <c r="F83" s="111"/>
      <c r="G83" s="111"/>
      <c r="H83" s="111"/>
      <c r="I83" s="111"/>
      <c r="J83" s="111"/>
      <c r="K83" s="111"/>
      <c r="L83" s="111"/>
      <c r="M83" s="111"/>
      <c r="N83" s="111"/>
      <c r="O83" s="111"/>
      <c r="P83" s="111"/>
      <c r="Q83" s="111"/>
      <c r="R83" s="111"/>
      <c r="S83" s="111"/>
      <c r="T83" s="111"/>
      <c r="U83" s="111"/>
    </row>
    <row r="84" spans="1:21" x14ac:dyDescent="0.25">
      <c r="A84" s="111"/>
      <c r="B84" s="111"/>
      <c r="C84" s="111"/>
      <c r="D84" s="111"/>
      <c r="E84" s="111"/>
      <c r="F84" s="111"/>
      <c r="G84" s="111"/>
      <c r="H84" s="111"/>
      <c r="I84" s="111"/>
      <c r="J84" s="111"/>
      <c r="K84" s="111"/>
      <c r="L84" s="111"/>
      <c r="M84" s="111"/>
      <c r="N84" s="111"/>
      <c r="O84" s="111"/>
      <c r="P84" s="111"/>
      <c r="Q84" s="111"/>
      <c r="R84" s="111"/>
      <c r="S84" s="111"/>
      <c r="T84" s="111"/>
      <c r="U84" s="111"/>
    </row>
    <row r="85" spans="1:21" ht="33" x14ac:dyDescent="0.45">
      <c r="A85" s="111"/>
      <c r="B85" s="111"/>
      <c r="C85" s="111"/>
      <c r="D85" s="222" t="s">
        <v>46</v>
      </c>
      <c r="E85" s="223"/>
      <c r="F85" s="223"/>
      <c r="G85" s="223"/>
      <c r="H85" s="223"/>
      <c r="I85" s="223"/>
      <c r="J85" s="223"/>
      <c r="K85" s="223"/>
      <c r="L85" s="223"/>
      <c r="M85" s="224"/>
      <c r="N85" s="111"/>
      <c r="O85" s="111"/>
      <c r="P85" s="111"/>
      <c r="Q85" s="111"/>
      <c r="R85" s="111"/>
      <c r="S85" s="111"/>
      <c r="T85" s="111"/>
      <c r="U85" s="111"/>
    </row>
    <row r="86" spans="1:21" x14ac:dyDescent="0.25">
      <c r="A86" s="111"/>
      <c r="B86" s="111"/>
      <c r="C86" s="111"/>
      <c r="D86" s="111"/>
      <c r="E86" s="111"/>
      <c r="F86" s="111"/>
      <c r="G86" s="111"/>
      <c r="H86" s="111"/>
      <c r="I86" s="111"/>
      <c r="J86" s="111"/>
      <c r="K86" s="111"/>
      <c r="L86" s="111"/>
      <c r="M86" s="111"/>
      <c r="N86" s="111"/>
      <c r="O86" s="111"/>
      <c r="P86" s="111"/>
      <c r="Q86" s="111"/>
      <c r="R86" s="111"/>
      <c r="S86" s="111"/>
      <c r="T86" s="111"/>
      <c r="U86" s="111"/>
    </row>
    <row r="87" spans="1:21" x14ac:dyDescent="0.25">
      <c r="A87" s="111"/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</row>
    <row r="88" spans="1:21" x14ac:dyDescent="0.25">
      <c r="A88" s="225" t="s">
        <v>25</v>
      </c>
      <c r="B88" s="226"/>
      <c r="C88" s="227"/>
      <c r="D88" s="44" t="s">
        <v>26</v>
      </c>
      <c r="E88" s="59" t="s">
        <v>34</v>
      </c>
      <c r="F88" s="61" t="s">
        <v>33</v>
      </c>
      <c r="G88" s="225" t="s">
        <v>27</v>
      </c>
      <c r="H88" s="227"/>
      <c r="I88" s="225" t="s">
        <v>28</v>
      </c>
      <c r="J88" s="227"/>
      <c r="K88" s="111"/>
      <c r="L88" s="111"/>
      <c r="M88" s="111"/>
      <c r="N88" s="111"/>
      <c r="O88" s="111"/>
      <c r="P88" s="111"/>
      <c r="Q88" s="111"/>
      <c r="R88" s="111"/>
      <c r="S88" s="111"/>
      <c r="T88" s="111"/>
      <c r="U88" s="111"/>
    </row>
    <row r="89" spans="1:21" x14ac:dyDescent="0.25">
      <c r="A89" s="111"/>
      <c r="B89" s="111"/>
      <c r="C89" s="111"/>
      <c r="D89" s="111"/>
      <c r="E89" s="111"/>
      <c r="F89" s="111"/>
      <c r="G89" s="111"/>
      <c r="H89" s="111"/>
      <c r="I89" s="111"/>
      <c r="J89" s="111"/>
      <c r="K89" s="111"/>
      <c r="L89" s="220" t="s">
        <v>44</v>
      </c>
      <c r="M89" s="221"/>
      <c r="N89" s="221"/>
      <c r="O89" s="221"/>
      <c r="P89" s="221"/>
      <c r="Q89" s="221"/>
      <c r="R89" s="221"/>
      <c r="S89" s="221"/>
      <c r="T89" s="221"/>
      <c r="U89" s="221"/>
    </row>
    <row r="90" spans="1:21" x14ac:dyDescent="0.25">
      <c r="A90" s="111"/>
      <c r="B90" s="111"/>
      <c r="C90" s="111"/>
      <c r="D90" s="111"/>
      <c r="E90" s="111"/>
      <c r="F90" s="111"/>
      <c r="G90" s="111"/>
      <c r="H90" s="111"/>
      <c r="I90" s="111"/>
      <c r="J90" s="111"/>
      <c r="K90" s="111"/>
      <c r="L90" s="130" t="s">
        <v>61</v>
      </c>
      <c r="M90" s="130"/>
      <c r="N90" s="130"/>
      <c r="O90" s="130"/>
      <c r="P90" s="130"/>
      <c r="Q90" s="130"/>
      <c r="R90" s="130"/>
      <c r="S90" s="130"/>
      <c r="T90" s="130"/>
      <c r="U90" s="130"/>
    </row>
    <row r="91" spans="1:21" x14ac:dyDescent="0.25">
      <c r="A91" s="206" t="s">
        <v>54</v>
      </c>
      <c r="B91" s="207"/>
      <c r="C91" s="208"/>
      <c r="D91" s="84"/>
      <c r="E91" s="84">
        <v>51420</v>
      </c>
      <c r="F91" s="153">
        <v>0.42799999999999999</v>
      </c>
      <c r="G91" s="209">
        <f>E91*0.428</f>
        <v>22007.759999999998</v>
      </c>
      <c r="H91" s="210"/>
      <c r="I91" s="211">
        <v>22</v>
      </c>
      <c r="J91" s="212"/>
      <c r="K91" s="111"/>
      <c r="L91" s="70">
        <v>9390</v>
      </c>
      <c r="M91" s="70"/>
      <c r="N91" s="70"/>
      <c r="O91" s="70"/>
      <c r="P91" s="70"/>
      <c r="Q91" s="70"/>
      <c r="R91" s="70"/>
      <c r="S91" s="70"/>
      <c r="T91" s="70"/>
      <c r="U91" s="70"/>
    </row>
    <row r="92" spans="1:21" x14ac:dyDescent="0.25">
      <c r="A92" s="206" t="s">
        <v>55</v>
      </c>
      <c r="B92" s="207"/>
      <c r="C92" s="208"/>
      <c r="D92" s="84"/>
      <c r="E92" s="84">
        <v>38070</v>
      </c>
      <c r="F92" s="153">
        <v>0.33100000000000002</v>
      </c>
      <c r="G92" s="209">
        <f>E92*0.331</f>
        <v>12601.17</v>
      </c>
      <c r="H92" s="210"/>
      <c r="I92" s="211">
        <v>12</v>
      </c>
      <c r="J92" s="212"/>
      <c r="K92" s="111"/>
      <c r="L92" s="70">
        <v>12480</v>
      </c>
      <c r="M92" s="70"/>
      <c r="N92" s="70"/>
      <c r="O92" s="70"/>
      <c r="P92" s="70"/>
      <c r="Q92" s="70"/>
      <c r="R92" s="70"/>
      <c r="S92" s="70"/>
      <c r="T92" s="70"/>
      <c r="U92" s="70"/>
    </row>
    <row r="93" spans="1:21" x14ac:dyDescent="0.25">
      <c r="A93" s="206" t="s">
        <v>56</v>
      </c>
      <c r="B93" s="207"/>
      <c r="C93" s="208"/>
      <c r="D93" s="84"/>
      <c r="E93" s="84">
        <v>42100</v>
      </c>
      <c r="F93" s="153">
        <v>0.36899999999999999</v>
      </c>
      <c r="G93" s="209">
        <f>E93*0.369</f>
        <v>15534.9</v>
      </c>
      <c r="H93" s="210"/>
      <c r="I93" s="211">
        <v>15</v>
      </c>
      <c r="J93" s="212"/>
      <c r="K93" s="111"/>
      <c r="L93" s="70">
        <v>13240</v>
      </c>
      <c r="M93" s="70"/>
      <c r="N93" s="70"/>
      <c r="O93" s="70"/>
      <c r="P93" s="70"/>
      <c r="Q93" s="70"/>
      <c r="R93" s="70"/>
      <c r="S93" s="70"/>
      <c r="T93" s="70"/>
      <c r="U93" s="70"/>
    </row>
    <row r="94" spans="1:21" x14ac:dyDescent="0.25">
      <c r="A94" s="206" t="s">
        <v>61</v>
      </c>
      <c r="B94" s="207"/>
      <c r="C94" s="208"/>
      <c r="D94" s="84"/>
      <c r="E94" s="84">
        <v>64570</v>
      </c>
      <c r="F94" s="153">
        <v>0.48</v>
      </c>
      <c r="G94" s="209">
        <f>E94*0.48</f>
        <v>30993.599999999999</v>
      </c>
      <c r="H94" s="210"/>
      <c r="I94" s="213">
        <v>31</v>
      </c>
      <c r="J94" s="214"/>
      <c r="K94" s="111"/>
      <c r="L94" s="70"/>
      <c r="M94" s="70"/>
      <c r="N94" s="70"/>
      <c r="O94" s="70"/>
      <c r="P94" s="70"/>
      <c r="Q94" s="70"/>
      <c r="R94" s="70"/>
      <c r="S94" s="70"/>
      <c r="T94" s="70"/>
      <c r="U94" s="70"/>
    </row>
    <row r="95" spans="1:21" x14ac:dyDescent="0.25">
      <c r="A95" s="149"/>
      <c r="B95" s="150" t="s">
        <v>66</v>
      </c>
      <c r="C95" s="151"/>
      <c r="D95" s="148"/>
      <c r="E95" s="84">
        <v>81170</v>
      </c>
      <c r="F95" s="153">
        <v>0.43</v>
      </c>
      <c r="G95" s="209">
        <f>E95*0.43</f>
        <v>34903.1</v>
      </c>
      <c r="H95" s="210"/>
      <c r="I95" s="213">
        <v>35</v>
      </c>
      <c r="J95" s="214"/>
      <c r="K95" s="111"/>
      <c r="L95" s="70"/>
      <c r="M95" s="70"/>
      <c r="N95" s="70"/>
      <c r="O95" s="70"/>
      <c r="P95" s="70"/>
      <c r="Q95" s="70"/>
      <c r="R95" s="70"/>
      <c r="S95" s="70"/>
      <c r="T95" s="70"/>
      <c r="U95" s="70"/>
    </row>
    <row r="96" spans="1:21" x14ac:dyDescent="0.25">
      <c r="A96" s="215" t="s">
        <v>29</v>
      </c>
      <c r="B96" s="216"/>
      <c r="C96" s="217"/>
      <c r="D96" s="50">
        <f>SUM(D91:D95)</f>
        <v>0</v>
      </c>
      <c r="E96" s="86">
        <f>SUM(E91:E95)</f>
        <v>277330</v>
      </c>
      <c r="F96" s="60"/>
      <c r="G96" s="218">
        <f>SUM(G91:G95)</f>
        <v>116040.53</v>
      </c>
      <c r="H96" s="219"/>
      <c r="I96" s="215">
        <f>SUM(I91:I95)</f>
        <v>115</v>
      </c>
      <c r="J96" s="217"/>
      <c r="L96">
        <f>SUM(L91:L95)</f>
        <v>35110</v>
      </c>
    </row>
    <row r="98" spans="4:4" x14ac:dyDescent="0.25">
      <c r="D98" s="169"/>
    </row>
    <row r="99" spans="4:4" x14ac:dyDescent="0.25">
      <c r="D99" s="169"/>
    </row>
  </sheetData>
  <mergeCells count="25">
    <mergeCell ref="A92:C92"/>
    <mergeCell ref="G92:H92"/>
    <mergeCell ref="I92:J92"/>
    <mergeCell ref="A88:C88"/>
    <mergeCell ref="G88:H88"/>
    <mergeCell ref="I88:J88"/>
    <mergeCell ref="L89:U89"/>
    <mergeCell ref="A91:C91"/>
    <mergeCell ref="G91:H91"/>
    <mergeCell ref="I91:J91"/>
    <mergeCell ref="K1:L1"/>
    <mergeCell ref="G1:J1"/>
    <mergeCell ref="D76:E76"/>
    <mergeCell ref="D85:M85"/>
    <mergeCell ref="G95:H95"/>
    <mergeCell ref="I95:J95"/>
    <mergeCell ref="A96:C96"/>
    <mergeCell ref="G96:H96"/>
    <mergeCell ref="I96:J96"/>
    <mergeCell ref="A93:C93"/>
    <mergeCell ref="G93:H93"/>
    <mergeCell ref="I93:J93"/>
    <mergeCell ref="A94:C94"/>
    <mergeCell ref="G94:H94"/>
    <mergeCell ref="I94:J94"/>
  </mergeCells>
  <phoneticPr fontId="15" type="noConversion"/>
  <pageMargins left="0.7" right="0.7" top="0.75" bottom="0.75" header="0.3" footer="0.3"/>
  <pageSetup paperSize="9" scale="48" fitToHeight="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5C30B-60FE-4803-A34A-FC87DD6C3347}">
  <sheetPr codeName="Foglio4"/>
  <dimension ref="A1:U134"/>
  <sheetViews>
    <sheetView workbookViewId="0">
      <selection activeCell="D1" sqref="D1"/>
    </sheetView>
  </sheetViews>
  <sheetFormatPr defaultRowHeight="15" x14ac:dyDescent="0.25"/>
  <cols>
    <col min="1" max="1" width="12.28515625" customWidth="1"/>
    <col min="2" max="3" width="12" customWidth="1"/>
    <col min="4" max="4" width="33.140625" customWidth="1"/>
    <col min="5" max="5" width="21" customWidth="1"/>
    <col min="6" max="6" width="14.42578125" customWidth="1"/>
    <col min="7" max="7" width="13.85546875" customWidth="1"/>
    <col min="8" max="8" width="13.7109375" customWidth="1"/>
    <col min="9" max="9" width="12.7109375" customWidth="1"/>
    <col min="10" max="10" width="12.140625" customWidth="1"/>
    <col min="11" max="11" width="18.7109375" customWidth="1"/>
    <col min="12" max="12" width="10.7109375" customWidth="1"/>
    <col min="13" max="13" width="10.5703125" customWidth="1"/>
    <col min="14" max="14" width="11.140625" customWidth="1"/>
    <col min="15" max="15" width="10.85546875" customWidth="1"/>
  </cols>
  <sheetData>
    <row r="1" spans="1:21" ht="27" thickBot="1" x14ac:dyDescent="0.45">
      <c r="A1" s="198" t="s">
        <v>0</v>
      </c>
      <c r="B1" s="198"/>
      <c r="C1" s="198"/>
      <c r="D1" s="1">
        <v>46105</v>
      </c>
      <c r="E1" s="2"/>
      <c r="F1" s="3"/>
      <c r="G1" s="199" t="s">
        <v>47</v>
      </c>
      <c r="H1" s="200"/>
      <c r="I1" s="200"/>
      <c r="J1" s="200"/>
      <c r="K1" s="200"/>
      <c r="L1" s="200"/>
      <c r="M1" s="200"/>
      <c r="N1" s="203"/>
    </row>
    <row r="2" spans="1:21" ht="15.75" thickTop="1" x14ac:dyDescent="0.25">
      <c r="A2" s="4"/>
      <c r="B2" s="4"/>
      <c r="C2" s="4"/>
      <c r="D2" s="4"/>
      <c r="E2" s="5"/>
    </row>
    <row r="3" spans="1:21" ht="51" customHeight="1" x14ac:dyDescent="0.25">
      <c r="A3" s="6" t="s">
        <v>2</v>
      </c>
      <c r="B3" s="73" t="s">
        <v>38</v>
      </c>
      <c r="C3" s="7" t="s">
        <v>37</v>
      </c>
      <c r="D3" s="8" t="s">
        <v>3</v>
      </c>
      <c r="E3" s="8" t="s">
        <v>4</v>
      </c>
      <c r="F3" s="9" t="s">
        <v>30</v>
      </c>
      <c r="G3" s="8" t="s">
        <v>5</v>
      </c>
      <c r="H3" s="8" t="s">
        <v>6</v>
      </c>
      <c r="I3" s="8" t="s">
        <v>7</v>
      </c>
      <c r="J3" s="9" t="s">
        <v>8</v>
      </c>
      <c r="K3" s="8" t="s">
        <v>23</v>
      </c>
      <c r="L3" s="10" t="s">
        <v>9</v>
      </c>
      <c r="M3" s="152" t="s">
        <v>31</v>
      </c>
      <c r="N3" s="136" t="s">
        <v>32</v>
      </c>
      <c r="O3" s="54" t="s">
        <v>40</v>
      </c>
      <c r="P3" s="12" t="s">
        <v>10</v>
      </c>
      <c r="Q3" s="12" t="s">
        <v>11</v>
      </c>
      <c r="R3" s="12" t="s">
        <v>12</v>
      </c>
      <c r="S3" s="12" t="s">
        <v>13</v>
      </c>
      <c r="T3" s="67" t="s">
        <v>36</v>
      </c>
      <c r="U3" s="138"/>
    </row>
    <row r="4" spans="1:21" x14ac:dyDescent="0.25">
      <c r="A4" s="108" t="s">
        <v>105</v>
      </c>
      <c r="B4" s="79" t="s">
        <v>98</v>
      </c>
      <c r="C4" s="79" t="s">
        <v>51</v>
      </c>
      <c r="D4" s="72" t="s">
        <v>99</v>
      </c>
      <c r="E4" s="72" t="s">
        <v>14</v>
      </c>
      <c r="F4" s="163">
        <v>746</v>
      </c>
      <c r="G4" s="76"/>
      <c r="H4" s="76"/>
      <c r="I4" s="76"/>
      <c r="J4" s="76">
        <f t="shared" ref="J4:J11" si="0">F4-G4</f>
        <v>746</v>
      </c>
      <c r="K4" s="72" t="s">
        <v>65</v>
      </c>
      <c r="L4" s="63"/>
      <c r="M4" s="141"/>
      <c r="N4" s="165">
        <v>746</v>
      </c>
      <c r="O4" s="142"/>
      <c r="P4" s="16">
        <v>3.0000000000000001E-3</v>
      </c>
      <c r="Q4" s="18">
        <v>0.02</v>
      </c>
      <c r="R4" s="18">
        <v>6.6600000000000006E-2</v>
      </c>
      <c r="S4" s="16">
        <v>0</v>
      </c>
      <c r="T4" s="13">
        <v>0</v>
      </c>
      <c r="U4" s="119"/>
    </row>
    <row r="5" spans="1:21" x14ac:dyDescent="0.25">
      <c r="A5" s="108" t="s">
        <v>169</v>
      </c>
      <c r="B5" s="79" t="s">
        <v>98</v>
      </c>
      <c r="C5" s="79" t="s">
        <v>52</v>
      </c>
      <c r="D5" s="72" t="s">
        <v>99</v>
      </c>
      <c r="E5" s="72" t="s">
        <v>14</v>
      </c>
      <c r="F5" s="163">
        <v>1000</v>
      </c>
      <c r="G5" s="76"/>
      <c r="H5" s="76"/>
      <c r="I5" s="76"/>
      <c r="J5" s="76">
        <f t="shared" si="0"/>
        <v>1000</v>
      </c>
      <c r="K5" s="72" t="s">
        <v>60</v>
      </c>
      <c r="L5" s="63"/>
      <c r="M5" s="141"/>
      <c r="N5" s="165">
        <v>1000</v>
      </c>
      <c r="O5" s="142"/>
      <c r="P5" s="16">
        <v>2E-3</v>
      </c>
      <c r="Q5" s="18">
        <v>0.01</v>
      </c>
      <c r="R5" s="18">
        <v>0.1033</v>
      </c>
      <c r="S5" s="16">
        <v>0</v>
      </c>
      <c r="T5" s="13">
        <v>0</v>
      </c>
      <c r="U5" s="119"/>
    </row>
    <row r="6" spans="1:21" x14ac:dyDescent="0.25">
      <c r="A6" s="108" t="s">
        <v>169</v>
      </c>
      <c r="B6" s="79" t="s">
        <v>98</v>
      </c>
      <c r="C6" s="79" t="s">
        <v>52</v>
      </c>
      <c r="D6" s="72" t="s">
        <v>99</v>
      </c>
      <c r="E6" s="72" t="s">
        <v>14</v>
      </c>
      <c r="F6" s="163">
        <v>1000</v>
      </c>
      <c r="G6" s="76"/>
      <c r="H6" s="76"/>
      <c r="I6" s="76"/>
      <c r="J6" s="76">
        <f t="shared" si="0"/>
        <v>1000</v>
      </c>
      <c r="K6" s="72" t="s">
        <v>62</v>
      </c>
      <c r="L6" s="63"/>
      <c r="M6" s="141"/>
      <c r="N6" s="165">
        <v>1000</v>
      </c>
      <c r="O6" s="142"/>
      <c r="P6" s="16">
        <v>2E-3</v>
      </c>
      <c r="Q6" s="18">
        <v>2.6599999999999999E-2</v>
      </c>
      <c r="R6" s="18">
        <v>7.6600000000000001E-2</v>
      </c>
      <c r="S6" s="16">
        <v>0</v>
      </c>
      <c r="T6" s="13">
        <v>0</v>
      </c>
      <c r="U6" s="119"/>
    </row>
    <row r="7" spans="1:21" x14ac:dyDescent="0.25">
      <c r="A7" s="81" t="s">
        <v>178</v>
      </c>
      <c r="B7" s="79" t="s">
        <v>98</v>
      </c>
      <c r="C7" s="170" t="s">
        <v>53</v>
      </c>
      <c r="D7" s="72" t="s">
        <v>99</v>
      </c>
      <c r="E7" s="72" t="s">
        <v>14</v>
      </c>
      <c r="F7" s="163">
        <v>1000</v>
      </c>
      <c r="G7" s="76"/>
      <c r="H7" s="76"/>
      <c r="I7" s="76"/>
      <c r="J7" s="76">
        <f t="shared" si="0"/>
        <v>1000</v>
      </c>
      <c r="K7" s="72" t="s">
        <v>60</v>
      </c>
      <c r="L7" s="63"/>
      <c r="M7" s="141"/>
      <c r="N7" s="165">
        <v>1000</v>
      </c>
      <c r="O7" s="142"/>
      <c r="P7" s="16">
        <v>4.0000000000000001E-3</v>
      </c>
      <c r="Q7" s="18">
        <v>0.03</v>
      </c>
      <c r="R7" s="18">
        <v>6.3299999999999995E-2</v>
      </c>
      <c r="S7" s="16">
        <v>0</v>
      </c>
      <c r="T7" s="13">
        <v>0</v>
      </c>
      <c r="U7" s="119"/>
    </row>
    <row r="8" spans="1:21" x14ac:dyDescent="0.25">
      <c r="A8" s="81" t="s">
        <v>178</v>
      </c>
      <c r="B8" s="79" t="s">
        <v>98</v>
      </c>
      <c r="C8" s="170" t="s">
        <v>53</v>
      </c>
      <c r="D8" s="72" t="s">
        <v>99</v>
      </c>
      <c r="E8" s="72" t="s">
        <v>14</v>
      </c>
      <c r="F8" s="163">
        <v>900</v>
      </c>
      <c r="G8" s="76"/>
      <c r="H8" s="76"/>
      <c r="I8" s="76"/>
      <c r="J8" s="76">
        <f t="shared" si="0"/>
        <v>900</v>
      </c>
      <c r="K8" s="72" t="s">
        <v>62</v>
      </c>
      <c r="L8" s="63"/>
      <c r="M8" s="141"/>
      <c r="N8" s="165">
        <v>900</v>
      </c>
      <c r="O8" s="142"/>
      <c r="P8" s="16">
        <v>1E-3</v>
      </c>
      <c r="Q8" s="18">
        <v>3.3300000000000003E-2</v>
      </c>
      <c r="R8" s="18">
        <v>7.3300000000000004E-2</v>
      </c>
      <c r="S8" s="16">
        <v>0</v>
      </c>
      <c r="T8" s="13">
        <v>0</v>
      </c>
      <c r="U8" s="119"/>
    </row>
    <row r="9" spans="1:21" x14ac:dyDescent="0.25">
      <c r="A9" s="81" t="s">
        <v>183</v>
      </c>
      <c r="B9" s="79" t="s">
        <v>184</v>
      </c>
      <c r="C9" s="170" t="s">
        <v>77</v>
      </c>
      <c r="D9" s="72" t="s">
        <v>99</v>
      </c>
      <c r="E9" s="72" t="s">
        <v>14</v>
      </c>
      <c r="F9" s="163">
        <v>1000</v>
      </c>
      <c r="G9" s="76"/>
      <c r="H9" s="76"/>
      <c r="I9" s="76"/>
      <c r="J9" s="76">
        <f t="shared" si="0"/>
        <v>1000</v>
      </c>
      <c r="K9" s="72" t="s">
        <v>63</v>
      </c>
      <c r="L9" s="63"/>
      <c r="M9" s="141"/>
      <c r="N9" s="165">
        <v>1000</v>
      </c>
      <c r="O9" s="142"/>
      <c r="P9" s="16">
        <v>2E-3</v>
      </c>
      <c r="Q9" s="18">
        <v>2.6599999999999999E-2</v>
      </c>
      <c r="R9" s="18">
        <v>4.6600000000000003E-2</v>
      </c>
      <c r="S9" s="16">
        <v>0</v>
      </c>
      <c r="T9" s="13">
        <v>0</v>
      </c>
      <c r="U9" s="119"/>
    </row>
    <row r="10" spans="1:21" x14ac:dyDescent="0.25">
      <c r="A10" s="81"/>
      <c r="B10" s="79"/>
      <c r="C10" s="170"/>
      <c r="D10" s="72"/>
      <c r="E10" s="72"/>
      <c r="F10" s="163"/>
      <c r="G10" s="76"/>
      <c r="H10" s="76"/>
      <c r="I10" s="76"/>
      <c r="J10" s="76">
        <f t="shared" si="0"/>
        <v>0</v>
      </c>
      <c r="K10" s="72"/>
      <c r="L10" s="63"/>
      <c r="M10" s="141"/>
      <c r="N10" s="165"/>
      <c r="O10" s="142"/>
      <c r="P10" s="16"/>
      <c r="Q10" s="18"/>
      <c r="R10" s="18"/>
      <c r="S10" s="16"/>
      <c r="T10" s="13"/>
      <c r="U10" s="119"/>
    </row>
    <row r="11" spans="1:21" x14ac:dyDescent="0.25">
      <c r="A11" s="81"/>
      <c r="B11" s="77"/>
      <c r="C11" s="170"/>
      <c r="D11" s="72"/>
      <c r="E11" s="72"/>
      <c r="F11" s="163"/>
      <c r="G11" s="76"/>
      <c r="H11" s="76"/>
      <c r="I11" s="76"/>
      <c r="J11" s="76">
        <f t="shared" si="0"/>
        <v>0</v>
      </c>
      <c r="K11" s="72"/>
      <c r="L11" s="63"/>
      <c r="M11" s="140"/>
      <c r="N11" s="165"/>
      <c r="O11" s="53"/>
      <c r="P11" s="16"/>
      <c r="Q11" s="18"/>
      <c r="R11" s="18"/>
      <c r="S11" s="16"/>
      <c r="T11" s="13"/>
      <c r="U11" s="119"/>
    </row>
    <row r="12" spans="1:21" x14ac:dyDescent="0.25">
      <c r="A12" s="19"/>
      <c r="B12" s="74"/>
      <c r="C12" s="96"/>
      <c r="D12" s="20"/>
      <c r="E12" s="97"/>
      <c r="F12" s="98"/>
      <c r="G12" s="98"/>
      <c r="H12" s="98"/>
      <c r="I12" s="98"/>
      <c r="J12" s="98"/>
      <c r="K12" s="21"/>
      <c r="L12" s="14"/>
      <c r="M12" s="143"/>
      <c r="N12" s="15"/>
      <c r="O12" s="53"/>
      <c r="P12" s="16"/>
      <c r="Q12" s="17"/>
      <c r="R12" s="17"/>
      <c r="S12" s="17"/>
      <c r="T12" s="13"/>
      <c r="U12" s="119"/>
    </row>
    <row r="13" spans="1:21" x14ac:dyDescent="0.25">
      <c r="A13" s="19"/>
      <c r="B13" s="74"/>
      <c r="C13" s="96"/>
      <c r="D13" s="20"/>
      <c r="E13" s="97"/>
      <c r="F13" s="98"/>
      <c r="G13" s="98"/>
      <c r="H13" s="98"/>
      <c r="I13" s="98"/>
      <c r="J13" s="98"/>
      <c r="K13" s="21"/>
      <c r="L13" s="14"/>
      <c r="M13" s="143"/>
      <c r="N13" s="15"/>
      <c r="O13" s="53"/>
      <c r="P13" s="16"/>
      <c r="Q13" s="17"/>
      <c r="R13" s="17"/>
      <c r="S13" s="17"/>
      <c r="T13" s="13"/>
      <c r="U13" s="119"/>
    </row>
    <row r="14" spans="1:21" x14ac:dyDescent="0.25">
      <c r="A14" s="112"/>
      <c r="B14" s="96"/>
      <c r="C14" s="99"/>
      <c r="D14" s="100"/>
      <c r="E14" s="120"/>
      <c r="F14" s="98"/>
      <c r="G14" s="98"/>
      <c r="H14" s="98"/>
      <c r="I14" s="98"/>
      <c r="J14" s="98"/>
      <c r="K14" s="21"/>
      <c r="L14" s="22"/>
      <c r="M14" s="143"/>
      <c r="N14" s="15"/>
      <c r="O14" s="53"/>
      <c r="P14" s="13"/>
      <c r="Q14" s="13"/>
      <c r="R14" s="13"/>
      <c r="S14" s="13"/>
      <c r="T14" s="13"/>
      <c r="U14" s="119"/>
    </row>
    <row r="15" spans="1:21" x14ac:dyDescent="0.25">
      <c r="A15" s="112"/>
      <c r="B15" s="112"/>
      <c r="C15" s="99"/>
      <c r="D15" s="100"/>
      <c r="E15" s="97"/>
      <c r="F15" s="98"/>
      <c r="G15" s="98"/>
      <c r="H15" s="98"/>
      <c r="I15" s="98"/>
      <c r="J15" s="98"/>
      <c r="K15" s="21"/>
      <c r="L15" s="22"/>
      <c r="M15" s="143"/>
      <c r="N15" s="15"/>
      <c r="O15" s="53"/>
      <c r="P15" s="13"/>
      <c r="Q15" s="13"/>
      <c r="R15" s="13"/>
      <c r="S15" s="13"/>
      <c r="T15" s="13"/>
      <c r="U15" s="119"/>
    </row>
    <row r="16" spans="1:21" x14ac:dyDescent="0.25">
      <c r="A16" s="112"/>
      <c r="B16" s="112"/>
      <c r="C16" s="99"/>
      <c r="D16" s="100"/>
      <c r="E16" s="97"/>
      <c r="F16" s="98"/>
      <c r="G16" s="98"/>
      <c r="H16" s="98"/>
      <c r="I16" s="98"/>
      <c r="J16" s="98"/>
      <c r="K16" s="21"/>
      <c r="L16" s="22"/>
      <c r="M16" s="143"/>
      <c r="N16" s="15"/>
      <c r="O16" s="53"/>
      <c r="P16" s="13"/>
      <c r="Q16" s="13"/>
      <c r="R16" s="13"/>
      <c r="S16" s="13"/>
      <c r="T16" s="13"/>
      <c r="U16" s="119"/>
    </row>
    <row r="17" spans="1:21" x14ac:dyDescent="0.25">
      <c r="A17" s="113"/>
      <c r="B17" s="111"/>
      <c r="C17" s="70"/>
      <c r="D17" s="23" t="s">
        <v>15</v>
      </c>
      <c r="E17" s="51" t="s">
        <v>14</v>
      </c>
      <c r="F17" s="23">
        <f>SUM(F4:F16)</f>
        <v>5646</v>
      </c>
      <c r="G17" s="23">
        <f>SUM(G4:G16)</f>
        <v>0</v>
      </c>
      <c r="H17" s="23"/>
      <c r="I17" s="23"/>
      <c r="J17" s="23">
        <f>F17-G17</f>
        <v>5646</v>
      </c>
      <c r="K17" s="24" t="s">
        <v>16</v>
      </c>
      <c r="L17" s="25">
        <f>SUM(L4:L11)</f>
        <v>0</v>
      </c>
      <c r="M17" s="25">
        <f>SUM(M4:M11)</f>
        <v>0</v>
      </c>
      <c r="N17" s="25">
        <f>SUM(N4:N14)</f>
        <v>5646</v>
      </c>
      <c r="O17" s="25">
        <f>SUM(O4:O11)</f>
        <v>0</v>
      </c>
      <c r="P17" s="26"/>
      <c r="Q17" s="26"/>
      <c r="R17" s="26"/>
      <c r="S17" s="26"/>
      <c r="T17" s="26"/>
      <c r="U17" s="119"/>
    </row>
    <row r="18" spans="1:21" x14ac:dyDescent="0.25">
      <c r="A18" s="108" t="s">
        <v>169</v>
      </c>
      <c r="B18" s="79" t="s">
        <v>98</v>
      </c>
      <c r="C18" s="79" t="s">
        <v>52</v>
      </c>
      <c r="D18" s="72" t="s">
        <v>99</v>
      </c>
      <c r="E18" s="72" t="s">
        <v>17</v>
      </c>
      <c r="F18" s="167"/>
      <c r="G18" s="70"/>
      <c r="H18" s="70" t="s">
        <v>177</v>
      </c>
      <c r="I18" s="70"/>
      <c r="J18" s="76">
        <f t="shared" ref="J18:J41" si="1">F18-G18</f>
        <v>0</v>
      </c>
      <c r="K18" s="72" t="s">
        <v>71</v>
      </c>
      <c r="L18" s="63"/>
      <c r="M18" s="140"/>
      <c r="N18" s="165"/>
      <c r="O18" s="95"/>
      <c r="P18" s="18">
        <v>1E-3</v>
      </c>
      <c r="Q18" s="18">
        <v>1.66E-2</v>
      </c>
      <c r="R18" s="18">
        <v>0.09</v>
      </c>
      <c r="S18" s="18">
        <v>0</v>
      </c>
      <c r="T18" s="26">
        <v>0</v>
      </c>
      <c r="U18" s="119"/>
    </row>
    <row r="19" spans="1:21" x14ac:dyDescent="0.25">
      <c r="A19" s="108" t="s">
        <v>169</v>
      </c>
      <c r="B19" s="79" t="s">
        <v>98</v>
      </c>
      <c r="C19" s="79" t="s">
        <v>52</v>
      </c>
      <c r="D19" s="72" t="s">
        <v>99</v>
      </c>
      <c r="E19" s="72" t="s">
        <v>17</v>
      </c>
      <c r="F19" s="167"/>
      <c r="G19" s="70"/>
      <c r="H19" s="70" t="s">
        <v>177</v>
      </c>
      <c r="I19" s="70"/>
      <c r="J19" s="76">
        <f t="shared" si="1"/>
        <v>0</v>
      </c>
      <c r="K19" s="72" t="s">
        <v>72</v>
      </c>
      <c r="L19" s="63"/>
      <c r="M19" s="140"/>
      <c r="N19" s="165"/>
      <c r="O19" s="95"/>
      <c r="P19" s="18">
        <v>1E-3</v>
      </c>
      <c r="Q19" s="18">
        <v>1.66E-2</v>
      </c>
      <c r="R19" s="18">
        <v>8.3299999999999999E-2</v>
      </c>
      <c r="S19" s="18">
        <v>0</v>
      </c>
      <c r="T19" s="26">
        <v>0</v>
      </c>
      <c r="U19" s="119"/>
    </row>
    <row r="20" spans="1:21" x14ac:dyDescent="0.25">
      <c r="A20" s="108" t="s">
        <v>169</v>
      </c>
      <c r="B20" s="79" t="s">
        <v>98</v>
      </c>
      <c r="C20" s="79" t="s">
        <v>52</v>
      </c>
      <c r="D20" s="72" t="s">
        <v>99</v>
      </c>
      <c r="E20" s="72" t="s">
        <v>17</v>
      </c>
      <c r="F20" s="167"/>
      <c r="G20" s="70"/>
      <c r="H20" s="70" t="s">
        <v>177</v>
      </c>
      <c r="I20" s="70"/>
      <c r="J20" s="76">
        <f t="shared" si="1"/>
        <v>0</v>
      </c>
      <c r="K20" s="72" t="s">
        <v>73</v>
      </c>
      <c r="L20" s="63"/>
      <c r="M20" s="140"/>
      <c r="N20" s="165"/>
      <c r="O20" s="95"/>
      <c r="P20" s="18">
        <v>2E-3</v>
      </c>
      <c r="Q20" s="18">
        <v>2.3300000000000001E-2</v>
      </c>
      <c r="R20" s="18">
        <v>9.6600000000000005E-2</v>
      </c>
      <c r="S20" s="18">
        <v>0</v>
      </c>
      <c r="T20" s="26">
        <v>0</v>
      </c>
      <c r="U20" s="119"/>
    </row>
    <row r="21" spans="1:21" x14ac:dyDescent="0.25">
      <c r="A21" s="108" t="s">
        <v>169</v>
      </c>
      <c r="B21" s="79" t="s">
        <v>98</v>
      </c>
      <c r="C21" s="79" t="s">
        <v>52</v>
      </c>
      <c r="D21" s="72" t="s">
        <v>99</v>
      </c>
      <c r="E21" s="72" t="s">
        <v>17</v>
      </c>
      <c r="F21" s="167"/>
      <c r="G21" s="70"/>
      <c r="H21" s="70" t="s">
        <v>177</v>
      </c>
      <c r="I21" s="70"/>
      <c r="J21" s="76">
        <f t="shared" si="1"/>
        <v>0</v>
      </c>
      <c r="K21" s="72" t="s">
        <v>93</v>
      </c>
      <c r="L21" s="63"/>
      <c r="M21" s="140"/>
      <c r="N21" s="165"/>
      <c r="O21" s="95"/>
      <c r="P21" s="18">
        <v>1E-3</v>
      </c>
      <c r="Q21" s="18">
        <v>0.02</v>
      </c>
      <c r="R21" s="18">
        <v>8.3299999999999999E-2</v>
      </c>
      <c r="S21" s="18">
        <v>0</v>
      </c>
      <c r="T21" s="26">
        <v>0</v>
      </c>
      <c r="U21" s="119"/>
    </row>
    <row r="22" spans="1:21" x14ac:dyDescent="0.25">
      <c r="A22" s="108" t="s">
        <v>169</v>
      </c>
      <c r="B22" s="79" t="s">
        <v>98</v>
      </c>
      <c r="C22" s="79" t="s">
        <v>52</v>
      </c>
      <c r="D22" s="72" t="s">
        <v>99</v>
      </c>
      <c r="E22" s="72" t="s">
        <v>17</v>
      </c>
      <c r="F22" s="167"/>
      <c r="G22" s="70"/>
      <c r="H22" s="70" t="s">
        <v>177</v>
      </c>
      <c r="I22" s="70"/>
      <c r="J22" s="76">
        <f t="shared" si="1"/>
        <v>0</v>
      </c>
      <c r="K22" s="72" t="s">
        <v>94</v>
      </c>
      <c r="L22" s="63"/>
      <c r="M22" s="140"/>
      <c r="N22" s="165"/>
      <c r="O22" s="95"/>
      <c r="P22" s="18">
        <v>2E-3</v>
      </c>
      <c r="Q22" s="18">
        <v>2.3300000000000001E-2</v>
      </c>
      <c r="R22" s="18">
        <v>6.6600000000000006E-2</v>
      </c>
      <c r="S22" s="18">
        <v>0</v>
      </c>
      <c r="T22" s="26">
        <v>0</v>
      </c>
      <c r="U22" s="119"/>
    </row>
    <row r="23" spans="1:21" x14ac:dyDescent="0.25">
      <c r="A23" s="108" t="s">
        <v>169</v>
      </c>
      <c r="B23" s="79" t="s">
        <v>98</v>
      </c>
      <c r="C23" s="79" t="s">
        <v>52</v>
      </c>
      <c r="D23" s="72" t="s">
        <v>99</v>
      </c>
      <c r="E23" s="72" t="s">
        <v>17</v>
      </c>
      <c r="F23" s="167">
        <v>1000</v>
      </c>
      <c r="G23" s="70"/>
      <c r="H23" s="70"/>
      <c r="I23" s="70"/>
      <c r="J23" s="76">
        <f t="shared" si="1"/>
        <v>1000</v>
      </c>
      <c r="K23" s="72" t="s">
        <v>95</v>
      </c>
      <c r="L23" s="63"/>
      <c r="M23" s="140"/>
      <c r="N23" s="165">
        <v>1000</v>
      </c>
      <c r="O23" s="95"/>
      <c r="P23" s="18">
        <v>2E-3</v>
      </c>
      <c r="Q23" s="18">
        <v>3.6600000000000001E-2</v>
      </c>
      <c r="R23" s="18">
        <v>0.1</v>
      </c>
      <c r="S23" s="18">
        <v>0</v>
      </c>
      <c r="T23" s="26">
        <v>0</v>
      </c>
      <c r="U23" s="119"/>
    </row>
    <row r="24" spans="1:21" x14ac:dyDescent="0.25">
      <c r="A24" s="108" t="s">
        <v>169</v>
      </c>
      <c r="B24" s="79" t="s">
        <v>98</v>
      </c>
      <c r="C24" s="79" t="s">
        <v>52</v>
      </c>
      <c r="D24" s="72" t="s">
        <v>99</v>
      </c>
      <c r="E24" s="72" t="s">
        <v>17</v>
      </c>
      <c r="F24" s="167">
        <v>1000</v>
      </c>
      <c r="G24" s="70"/>
      <c r="H24" s="70"/>
      <c r="I24" s="70"/>
      <c r="J24" s="76">
        <f t="shared" si="1"/>
        <v>1000</v>
      </c>
      <c r="K24" s="72" t="s">
        <v>96</v>
      </c>
      <c r="L24" s="63"/>
      <c r="M24" s="140"/>
      <c r="N24" s="165">
        <v>1000</v>
      </c>
      <c r="O24" s="95"/>
      <c r="P24" s="18">
        <v>1E-3</v>
      </c>
      <c r="Q24" s="18">
        <v>3.3300000000000003E-2</v>
      </c>
      <c r="R24" s="18">
        <v>0.1033</v>
      </c>
      <c r="S24" s="18">
        <v>0</v>
      </c>
      <c r="T24" s="26">
        <v>0</v>
      </c>
      <c r="U24" s="119"/>
    </row>
    <row r="25" spans="1:21" x14ac:dyDescent="0.25">
      <c r="A25" s="108" t="s">
        <v>169</v>
      </c>
      <c r="B25" s="79" t="s">
        <v>98</v>
      </c>
      <c r="C25" s="79" t="s">
        <v>52</v>
      </c>
      <c r="D25" s="72" t="s">
        <v>99</v>
      </c>
      <c r="E25" s="72" t="s">
        <v>17</v>
      </c>
      <c r="F25" s="167">
        <v>1000</v>
      </c>
      <c r="G25" s="70"/>
      <c r="H25" s="70"/>
      <c r="I25" s="70"/>
      <c r="J25" s="76">
        <f t="shared" si="1"/>
        <v>1000</v>
      </c>
      <c r="K25" s="72" t="s">
        <v>121</v>
      </c>
      <c r="L25" s="63"/>
      <c r="M25" s="140"/>
      <c r="N25" s="165">
        <v>1000</v>
      </c>
      <c r="O25" s="95"/>
      <c r="P25" s="18">
        <v>1E-3</v>
      </c>
      <c r="Q25" s="18">
        <v>0.04</v>
      </c>
      <c r="R25" s="18">
        <v>0.1366</v>
      </c>
      <c r="S25" s="18">
        <v>0</v>
      </c>
      <c r="T25" s="26">
        <v>0</v>
      </c>
      <c r="U25" s="119"/>
    </row>
    <row r="26" spans="1:21" x14ac:dyDescent="0.25">
      <c r="A26" s="108" t="s">
        <v>178</v>
      </c>
      <c r="B26" s="79" t="s">
        <v>98</v>
      </c>
      <c r="C26" s="79" t="s">
        <v>53</v>
      </c>
      <c r="D26" s="72" t="s">
        <v>99</v>
      </c>
      <c r="E26" s="72" t="s">
        <v>17</v>
      </c>
      <c r="F26" s="167">
        <v>1000</v>
      </c>
      <c r="G26" s="70"/>
      <c r="H26" s="70"/>
      <c r="I26" s="70"/>
      <c r="J26" s="76">
        <f t="shared" si="1"/>
        <v>1000</v>
      </c>
      <c r="K26" s="72" t="s">
        <v>63</v>
      </c>
      <c r="L26" s="63"/>
      <c r="M26" s="140"/>
      <c r="N26" s="165">
        <v>1000</v>
      </c>
      <c r="O26" s="95"/>
      <c r="P26" s="18">
        <v>0</v>
      </c>
      <c r="Q26" s="18">
        <v>3.3300000000000003E-2</v>
      </c>
      <c r="R26" s="18">
        <v>0.1</v>
      </c>
      <c r="S26" s="18">
        <v>0</v>
      </c>
      <c r="T26" s="26">
        <v>0</v>
      </c>
      <c r="U26" s="119"/>
    </row>
    <row r="27" spans="1:21" x14ac:dyDescent="0.25">
      <c r="A27" s="108" t="s">
        <v>178</v>
      </c>
      <c r="B27" s="79" t="s">
        <v>98</v>
      </c>
      <c r="C27" s="79" t="s">
        <v>53</v>
      </c>
      <c r="D27" s="72" t="s">
        <v>99</v>
      </c>
      <c r="E27" s="72" t="s">
        <v>17</v>
      </c>
      <c r="F27" s="167">
        <v>1000</v>
      </c>
      <c r="G27" s="70"/>
      <c r="H27" s="70"/>
      <c r="I27" s="70"/>
      <c r="J27" s="76">
        <f t="shared" si="1"/>
        <v>1000</v>
      </c>
      <c r="K27" s="72" t="s">
        <v>64</v>
      </c>
      <c r="L27" s="63"/>
      <c r="M27" s="140"/>
      <c r="N27" s="165">
        <v>1000</v>
      </c>
      <c r="O27" s="95"/>
      <c r="P27" s="18">
        <v>2E-3</v>
      </c>
      <c r="Q27" s="18">
        <v>0.03</v>
      </c>
      <c r="R27" s="18">
        <v>6.3299999999999995E-2</v>
      </c>
      <c r="S27" s="18">
        <v>0</v>
      </c>
      <c r="T27" s="26">
        <v>0</v>
      </c>
      <c r="U27" s="119"/>
    </row>
    <row r="28" spans="1:21" x14ac:dyDescent="0.25">
      <c r="A28" s="108" t="s">
        <v>178</v>
      </c>
      <c r="B28" s="79" t="s">
        <v>98</v>
      </c>
      <c r="C28" s="79" t="s">
        <v>53</v>
      </c>
      <c r="D28" s="72" t="s">
        <v>99</v>
      </c>
      <c r="E28" s="72" t="s">
        <v>17</v>
      </c>
      <c r="F28" s="167">
        <v>1000</v>
      </c>
      <c r="G28" s="70"/>
      <c r="H28" s="70"/>
      <c r="I28" s="70"/>
      <c r="J28" s="76">
        <f t="shared" si="1"/>
        <v>1000</v>
      </c>
      <c r="K28" s="72" t="s">
        <v>68</v>
      </c>
      <c r="L28" s="63"/>
      <c r="M28" s="140"/>
      <c r="N28" s="165">
        <v>1000</v>
      </c>
      <c r="O28" s="95"/>
      <c r="P28" s="18">
        <v>2E-3</v>
      </c>
      <c r="Q28" s="18">
        <v>3.6600000000000001E-2</v>
      </c>
      <c r="R28" s="18">
        <v>0.1066</v>
      </c>
      <c r="S28" s="18">
        <v>0</v>
      </c>
      <c r="T28" s="26">
        <v>0</v>
      </c>
      <c r="U28" s="119"/>
    </row>
    <row r="29" spans="1:21" x14ac:dyDescent="0.25">
      <c r="A29" s="108" t="s">
        <v>178</v>
      </c>
      <c r="B29" s="79" t="s">
        <v>98</v>
      </c>
      <c r="C29" s="79" t="s">
        <v>53</v>
      </c>
      <c r="D29" s="72" t="s">
        <v>99</v>
      </c>
      <c r="E29" s="72" t="s">
        <v>17</v>
      </c>
      <c r="F29" s="167">
        <v>1000</v>
      </c>
      <c r="G29" s="70"/>
      <c r="H29" s="70"/>
      <c r="I29" s="70"/>
      <c r="J29" s="76">
        <f t="shared" si="1"/>
        <v>1000</v>
      </c>
      <c r="K29" s="72" t="s">
        <v>69</v>
      </c>
      <c r="L29" s="63"/>
      <c r="M29" s="140"/>
      <c r="N29" s="165">
        <v>1000</v>
      </c>
      <c r="O29" s="95"/>
      <c r="P29" s="18">
        <v>2E-3</v>
      </c>
      <c r="Q29" s="18">
        <v>0.03</v>
      </c>
      <c r="R29" s="18">
        <v>0.1133</v>
      </c>
      <c r="S29" s="18">
        <v>0</v>
      </c>
      <c r="T29" s="26">
        <v>0</v>
      </c>
      <c r="U29" s="119"/>
    </row>
    <row r="30" spans="1:21" x14ac:dyDescent="0.25">
      <c r="A30" s="108" t="s">
        <v>178</v>
      </c>
      <c r="B30" s="79" t="s">
        <v>98</v>
      </c>
      <c r="C30" s="79" t="s">
        <v>53</v>
      </c>
      <c r="D30" s="72" t="s">
        <v>99</v>
      </c>
      <c r="E30" s="72" t="s">
        <v>17</v>
      </c>
      <c r="F30" s="167">
        <v>1000</v>
      </c>
      <c r="G30" s="70"/>
      <c r="H30" s="70"/>
      <c r="I30" s="70"/>
      <c r="J30" s="76">
        <f t="shared" si="1"/>
        <v>1000</v>
      </c>
      <c r="K30" s="72" t="s">
        <v>70</v>
      </c>
      <c r="L30" s="63"/>
      <c r="M30" s="140"/>
      <c r="N30" s="165">
        <v>1000</v>
      </c>
      <c r="O30" s="95"/>
      <c r="P30" s="18">
        <v>1E-3</v>
      </c>
      <c r="Q30" s="18">
        <v>2.6599999999999999E-2</v>
      </c>
      <c r="R30" s="18">
        <v>0.1</v>
      </c>
      <c r="S30" s="18">
        <v>0</v>
      </c>
      <c r="T30" s="26">
        <v>0</v>
      </c>
      <c r="U30" s="119"/>
    </row>
    <row r="31" spans="1:21" x14ac:dyDescent="0.25">
      <c r="A31" s="108" t="s">
        <v>178</v>
      </c>
      <c r="B31" s="79" t="s">
        <v>98</v>
      </c>
      <c r="C31" s="79" t="s">
        <v>53</v>
      </c>
      <c r="D31" s="72" t="s">
        <v>99</v>
      </c>
      <c r="E31" s="72" t="s">
        <v>17</v>
      </c>
      <c r="F31" s="167">
        <v>1000</v>
      </c>
      <c r="G31" s="70"/>
      <c r="H31" s="70"/>
      <c r="I31" s="70"/>
      <c r="J31" s="76">
        <f t="shared" si="1"/>
        <v>1000</v>
      </c>
      <c r="K31" s="72" t="s">
        <v>71</v>
      </c>
      <c r="L31" s="63"/>
      <c r="M31" s="140"/>
      <c r="N31" s="165">
        <v>1000</v>
      </c>
      <c r="O31" s="95"/>
      <c r="P31" s="18">
        <v>2E-3</v>
      </c>
      <c r="Q31" s="18">
        <v>3.3300000000000003E-2</v>
      </c>
      <c r="R31" s="18">
        <v>8.6599999999999996E-2</v>
      </c>
      <c r="S31" s="18">
        <v>0</v>
      </c>
      <c r="T31" s="26">
        <v>0</v>
      </c>
      <c r="U31" s="119"/>
    </row>
    <row r="32" spans="1:21" x14ac:dyDescent="0.25">
      <c r="A32" s="108" t="s">
        <v>178</v>
      </c>
      <c r="B32" s="79" t="s">
        <v>98</v>
      </c>
      <c r="C32" s="79" t="s">
        <v>53</v>
      </c>
      <c r="D32" s="72" t="s">
        <v>99</v>
      </c>
      <c r="E32" s="72" t="s">
        <v>17</v>
      </c>
      <c r="F32" s="167">
        <v>1000</v>
      </c>
      <c r="G32" s="70"/>
      <c r="H32" s="70"/>
      <c r="I32" s="70"/>
      <c r="J32" s="76">
        <f t="shared" si="1"/>
        <v>1000</v>
      </c>
      <c r="K32" s="72" t="s">
        <v>72</v>
      </c>
      <c r="L32" s="63"/>
      <c r="M32" s="140"/>
      <c r="N32" s="165">
        <v>1000</v>
      </c>
      <c r="O32" s="95"/>
      <c r="P32" s="18">
        <v>2E-3</v>
      </c>
      <c r="Q32" s="18">
        <v>0.05</v>
      </c>
      <c r="R32" s="18">
        <v>0.1</v>
      </c>
      <c r="S32" s="18">
        <v>0</v>
      </c>
      <c r="T32" s="26">
        <v>0</v>
      </c>
      <c r="U32" s="119"/>
    </row>
    <row r="33" spans="1:21" x14ac:dyDescent="0.25">
      <c r="A33" s="108" t="s">
        <v>178</v>
      </c>
      <c r="B33" s="79" t="s">
        <v>98</v>
      </c>
      <c r="C33" s="79" t="s">
        <v>53</v>
      </c>
      <c r="D33" s="72" t="s">
        <v>99</v>
      </c>
      <c r="E33" s="72" t="s">
        <v>17</v>
      </c>
      <c r="F33" s="167">
        <v>1000</v>
      </c>
      <c r="G33" s="70"/>
      <c r="H33" s="70"/>
      <c r="I33" s="70"/>
      <c r="J33" s="76">
        <f t="shared" si="1"/>
        <v>1000</v>
      </c>
      <c r="K33" s="72" t="s">
        <v>73</v>
      </c>
      <c r="L33" s="63"/>
      <c r="M33" s="140"/>
      <c r="N33" s="165">
        <v>1000</v>
      </c>
      <c r="O33" s="95"/>
      <c r="P33" s="18">
        <v>3.0000000000000001E-3</v>
      </c>
      <c r="Q33" s="18">
        <v>4.3299999999999998E-2</v>
      </c>
      <c r="R33" s="18">
        <v>0.1033</v>
      </c>
      <c r="S33" s="18">
        <v>0</v>
      </c>
      <c r="T33" s="26">
        <v>0</v>
      </c>
      <c r="U33" s="119"/>
    </row>
    <row r="34" spans="1:21" x14ac:dyDescent="0.25">
      <c r="A34" s="108" t="s">
        <v>178</v>
      </c>
      <c r="B34" s="79" t="s">
        <v>98</v>
      </c>
      <c r="C34" s="79" t="s">
        <v>53</v>
      </c>
      <c r="D34" s="72" t="s">
        <v>99</v>
      </c>
      <c r="E34" s="72" t="s">
        <v>17</v>
      </c>
      <c r="F34" s="167">
        <v>1000</v>
      </c>
      <c r="G34" s="70"/>
      <c r="H34" s="70"/>
      <c r="I34" s="70"/>
      <c r="J34" s="76">
        <f t="shared" si="1"/>
        <v>1000</v>
      </c>
      <c r="K34" s="72" t="s">
        <v>93</v>
      </c>
      <c r="L34" s="63"/>
      <c r="M34" s="140"/>
      <c r="N34" s="165">
        <v>1000</v>
      </c>
      <c r="O34" s="95"/>
      <c r="P34" s="18">
        <v>2E-3</v>
      </c>
      <c r="Q34" s="18">
        <v>4.3299999999999998E-2</v>
      </c>
      <c r="R34" s="18">
        <v>0.1133</v>
      </c>
      <c r="S34" s="18">
        <v>0</v>
      </c>
      <c r="T34" s="26">
        <v>0</v>
      </c>
      <c r="U34" s="119"/>
    </row>
    <row r="35" spans="1:21" x14ac:dyDescent="0.25">
      <c r="A35" s="108" t="s">
        <v>178</v>
      </c>
      <c r="B35" s="79" t="s">
        <v>98</v>
      </c>
      <c r="C35" s="79" t="s">
        <v>53</v>
      </c>
      <c r="D35" s="72" t="s">
        <v>99</v>
      </c>
      <c r="E35" s="72" t="s">
        <v>17</v>
      </c>
      <c r="F35" s="167">
        <v>1000</v>
      </c>
      <c r="G35" s="70"/>
      <c r="H35" s="70"/>
      <c r="I35" s="70"/>
      <c r="J35" s="76">
        <f t="shared" si="1"/>
        <v>1000</v>
      </c>
      <c r="K35" s="72" t="s">
        <v>94</v>
      </c>
      <c r="L35" s="63"/>
      <c r="M35" s="140"/>
      <c r="N35" s="165">
        <v>1000</v>
      </c>
      <c r="O35" s="95"/>
      <c r="P35" s="18">
        <v>1E-3</v>
      </c>
      <c r="Q35" s="18">
        <v>0.04</v>
      </c>
      <c r="R35" s="18">
        <v>0.12659999999999999</v>
      </c>
      <c r="S35" s="18">
        <v>0</v>
      </c>
      <c r="T35" s="26">
        <v>0</v>
      </c>
      <c r="U35" s="119"/>
    </row>
    <row r="36" spans="1:21" x14ac:dyDescent="0.25">
      <c r="A36" s="108" t="s">
        <v>183</v>
      </c>
      <c r="B36" s="79" t="s">
        <v>98</v>
      </c>
      <c r="C36" s="79" t="s">
        <v>77</v>
      </c>
      <c r="D36" s="72" t="s">
        <v>99</v>
      </c>
      <c r="E36" s="72" t="s">
        <v>17</v>
      </c>
      <c r="F36" s="167">
        <v>1000</v>
      </c>
      <c r="G36" s="70"/>
      <c r="H36" s="70"/>
      <c r="I36" s="70"/>
      <c r="J36" s="76">
        <f t="shared" si="1"/>
        <v>1000</v>
      </c>
      <c r="K36" s="72" t="s">
        <v>63</v>
      </c>
      <c r="L36" s="63"/>
      <c r="M36" s="140"/>
      <c r="N36" s="165">
        <v>1000</v>
      </c>
      <c r="O36" s="95"/>
      <c r="P36" s="18">
        <v>2E-3</v>
      </c>
      <c r="Q36" s="18">
        <v>4.6600000000000003E-2</v>
      </c>
      <c r="R36" s="18">
        <v>0.14330000000000001</v>
      </c>
      <c r="S36" s="18">
        <v>0</v>
      </c>
      <c r="T36" s="26">
        <v>0</v>
      </c>
      <c r="U36" s="119"/>
    </row>
    <row r="37" spans="1:21" x14ac:dyDescent="0.25">
      <c r="A37" s="108" t="s">
        <v>183</v>
      </c>
      <c r="B37" s="79" t="s">
        <v>98</v>
      </c>
      <c r="C37" s="79" t="s">
        <v>77</v>
      </c>
      <c r="D37" s="72" t="s">
        <v>99</v>
      </c>
      <c r="E37" s="72" t="s">
        <v>17</v>
      </c>
      <c r="F37" s="167">
        <v>1000</v>
      </c>
      <c r="G37" s="70"/>
      <c r="H37" s="70"/>
      <c r="I37" s="70"/>
      <c r="J37" s="76">
        <f t="shared" si="1"/>
        <v>1000</v>
      </c>
      <c r="K37" s="72" t="s">
        <v>64</v>
      </c>
      <c r="L37" s="63"/>
      <c r="M37" s="140"/>
      <c r="N37" s="165">
        <v>1000</v>
      </c>
      <c r="O37" s="95"/>
      <c r="P37" s="18">
        <v>0</v>
      </c>
      <c r="Q37" s="18">
        <v>0.03</v>
      </c>
      <c r="R37" s="18">
        <v>0.13</v>
      </c>
      <c r="S37" s="18">
        <v>0</v>
      </c>
      <c r="T37" s="26">
        <v>0</v>
      </c>
      <c r="U37" s="119"/>
    </row>
    <row r="38" spans="1:21" x14ac:dyDescent="0.25">
      <c r="A38" s="108" t="s">
        <v>183</v>
      </c>
      <c r="B38" s="79" t="s">
        <v>98</v>
      </c>
      <c r="C38" s="79" t="s">
        <v>77</v>
      </c>
      <c r="D38" s="72" t="s">
        <v>99</v>
      </c>
      <c r="E38" s="72" t="s">
        <v>17</v>
      </c>
      <c r="F38" s="167">
        <v>1000</v>
      </c>
      <c r="G38" s="70"/>
      <c r="H38" s="70"/>
      <c r="I38" s="70"/>
      <c r="J38" s="76">
        <f t="shared" si="1"/>
        <v>1000</v>
      </c>
      <c r="K38" s="72" t="s">
        <v>68</v>
      </c>
      <c r="L38" s="63"/>
      <c r="M38" s="140"/>
      <c r="N38" s="165">
        <v>1000</v>
      </c>
      <c r="O38" s="95"/>
      <c r="P38" s="18">
        <v>1E-3</v>
      </c>
      <c r="Q38" s="18">
        <v>0.02</v>
      </c>
      <c r="R38" s="18">
        <v>5.6599999999999998E-2</v>
      </c>
      <c r="S38" s="18">
        <v>0</v>
      </c>
      <c r="T38" s="26">
        <v>0</v>
      </c>
      <c r="U38" s="119"/>
    </row>
    <row r="39" spans="1:21" x14ac:dyDescent="0.25">
      <c r="A39" s="108" t="s">
        <v>183</v>
      </c>
      <c r="B39" s="79" t="s">
        <v>98</v>
      </c>
      <c r="C39" s="79" t="s">
        <v>77</v>
      </c>
      <c r="D39" s="72" t="s">
        <v>99</v>
      </c>
      <c r="E39" s="72" t="s">
        <v>17</v>
      </c>
      <c r="F39" s="167">
        <v>1000</v>
      </c>
      <c r="G39" s="70"/>
      <c r="H39" s="70"/>
      <c r="I39" s="70"/>
      <c r="J39" s="76">
        <f t="shared" si="1"/>
        <v>1000</v>
      </c>
      <c r="K39" s="72" t="s">
        <v>69</v>
      </c>
      <c r="L39" s="63"/>
      <c r="M39" s="140"/>
      <c r="N39" s="165">
        <v>1000</v>
      </c>
      <c r="O39" s="95"/>
      <c r="P39" s="18">
        <v>1E-3</v>
      </c>
      <c r="Q39" s="18">
        <v>1.3299999999999999E-2</v>
      </c>
      <c r="R39" s="18">
        <v>5.33E-2</v>
      </c>
      <c r="S39" s="18">
        <v>0</v>
      </c>
      <c r="T39" s="26">
        <v>0</v>
      </c>
      <c r="U39" s="119"/>
    </row>
    <row r="40" spans="1:21" x14ac:dyDescent="0.25">
      <c r="A40" s="108" t="s">
        <v>183</v>
      </c>
      <c r="B40" s="79" t="s">
        <v>98</v>
      </c>
      <c r="C40" s="79" t="s">
        <v>77</v>
      </c>
      <c r="D40" s="72" t="s">
        <v>99</v>
      </c>
      <c r="E40" s="72" t="s">
        <v>17</v>
      </c>
      <c r="F40" s="167">
        <v>962</v>
      </c>
      <c r="G40" s="70"/>
      <c r="H40" s="70"/>
      <c r="I40" s="70"/>
      <c r="J40" s="76">
        <f t="shared" si="1"/>
        <v>962</v>
      </c>
      <c r="K40" s="72" t="s">
        <v>70</v>
      </c>
      <c r="L40" s="63"/>
      <c r="M40" s="140"/>
      <c r="N40" s="165">
        <v>962</v>
      </c>
      <c r="O40" s="95"/>
      <c r="P40" s="18"/>
      <c r="Q40" s="18"/>
      <c r="R40" s="18"/>
      <c r="S40" s="18"/>
      <c r="T40" s="26"/>
      <c r="U40" s="119"/>
    </row>
    <row r="41" spans="1:21" x14ac:dyDescent="0.25">
      <c r="A41" s="108"/>
      <c r="B41" s="79"/>
      <c r="C41" s="79"/>
      <c r="D41" s="72"/>
      <c r="E41" s="72"/>
      <c r="F41" s="167"/>
      <c r="G41" s="70"/>
      <c r="H41" s="70"/>
      <c r="I41" s="70"/>
      <c r="J41" s="76">
        <f t="shared" si="1"/>
        <v>0</v>
      </c>
      <c r="K41" s="72"/>
      <c r="L41" s="63"/>
      <c r="M41" s="140"/>
      <c r="N41" s="165"/>
      <c r="O41" s="95"/>
      <c r="P41" s="18"/>
      <c r="Q41" s="18"/>
      <c r="R41" s="18"/>
      <c r="S41" s="18"/>
      <c r="T41" s="26"/>
      <c r="U41" s="119"/>
    </row>
    <row r="42" spans="1:21" x14ac:dyDescent="0.25">
      <c r="A42" s="114"/>
      <c r="B42" s="78"/>
      <c r="C42" s="30"/>
      <c r="D42" s="31" t="s">
        <v>18</v>
      </c>
      <c r="E42" s="32"/>
      <c r="F42" s="104"/>
      <c r="G42" s="104"/>
      <c r="H42" s="104"/>
      <c r="I42" s="104"/>
      <c r="J42" s="104"/>
      <c r="K42" s="33"/>
      <c r="L42" s="27"/>
      <c r="M42" s="140"/>
      <c r="N42" s="103"/>
      <c r="O42" s="95"/>
      <c r="P42" s="18"/>
      <c r="Q42" s="18"/>
      <c r="R42" s="18"/>
      <c r="S42" s="18"/>
      <c r="T42" s="26"/>
      <c r="U42" s="119"/>
    </row>
    <row r="43" spans="1:21" x14ac:dyDescent="0.25">
      <c r="A43" s="114"/>
      <c r="B43" s="78"/>
      <c r="C43" s="30"/>
      <c r="D43" s="31"/>
      <c r="E43" s="32"/>
      <c r="F43" s="104"/>
      <c r="G43" s="104"/>
      <c r="H43" s="104"/>
      <c r="I43" s="104"/>
      <c r="J43" s="104"/>
      <c r="K43" s="33"/>
      <c r="L43" s="27"/>
      <c r="M43" s="140"/>
      <c r="N43" s="103"/>
      <c r="O43" s="95"/>
      <c r="P43" s="18"/>
      <c r="Q43" s="18"/>
      <c r="R43" s="18"/>
      <c r="S43" s="18"/>
      <c r="T43" s="26"/>
      <c r="U43" s="119"/>
    </row>
    <row r="44" spans="1:21" x14ac:dyDescent="0.25">
      <c r="A44" s="114"/>
      <c r="B44" s="78"/>
      <c r="C44" s="30"/>
      <c r="D44" s="31" t="s">
        <v>100</v>
      </c>
      <c r="E44" s="32"/>
      <c r="F44" s="104"/>
      <c r="G44" s="104">
        <v>0</v>
      </c>
      <c r="H44" s="104"/>
      <c r="I44" s="104" t="s">
        <v>101</v>
      </c>
      <c r="J44" s="104"/>
      <c r="K44" s="33"/>
      <c r="L44" s="27"/>
      <c r="M44" s="140"/>
      <c r="N44" s="103"/>
      <c r="O44" s="95"/>
      <c r="P44" s="18"/>
      <c r="Q44" s="18"/>
      <c r="R44" s="18"/>
      <c r="S44" s="18"/>
      <c r="T44" s="26"/>
      <c r="U44" s="119"/>
    </row>
    <row r="45" spans="1:21" x14ac:dyDescent="0.25">
      <c r="A45" s="114"/>
      <c r="B45" s="78"/>
      <c r="C45" s="30"/>
      <c r="D45" s="31" t="s">
        <v>126</v>
      </c>
      <c r="E45" s="32"/>
      <c r="F45" s="104"/>
      <c r="G45" s="104">
        <v>0</v>
      </c>
      <c r="H45" s="104"/>
      <c r="I45" s="104" t="s">
        <v>101</v>
      </c>
      <c r="J45" s="104"/>
      <c r="K45" s="33"/>
      <c r="L45" s="27"/>
      <c r="M45" s="140"/>
      <c r="N45" s="103"/>
      <c r="O45" s="95"/>
      <c r="P45" s="18"/>
      <c r="Q45" s="18"/>
      <c r="R45" s="18"/>
      <c r="S45" s="18"/>
      <c r="T45" s="26"/>
      <c r="U45" s="119"/>
    </row>
    <row r="46" spans="1:21" x14ac:dyDescent="0.25">
      <c r="A46" s="114"/>
      <c r="B46" s="78"/>
      <c r="C46" s="30"/>
      <c r="D46" s="31" t="s">
        <v>162</v>
      </c>
      <c r="E46" s="32"/>
      <c r="F46" s="104"/>
      <c r="G46" s="104">
        <v>10000</v>
      </c>
      <c r="H46" s="104"/>
      <c r="I46" s="104" t="s">
        <v>101</v>
      </c>
      <c r="J46" s="104"/>
      <c r="K46" s="33"/>
      <c r="L46" s="27"/>
      <c r="M46" s="140"/>
      <c r="N46" s="103"/>
      <c r="O46" s="95"/>
      <c r="P46" s="18"/>
      <c r="Q46" s="18"/>
      <c r="R46" s="18"/>
      <c r="S46" s="18"/>
      <c r="T46" s="26"/>
      <c r="U46" s="119"/>
    </row>
    <row r="47" spans="1:21" x14ac:dyDescent="0.25">
      <c r="A47" s="114"/>
      <c r="B47" s="78"/>
      <c r="C47" s="78"/>
      <c r="D47" s="121"/>
      <c r="E47" s="83"/>
      <c r="F47" s="104"/>
      <c r="G47" s="104"/>
      <c r="H47" s="110"/>
      <c r="I47" s="105"/>
      <c r="J47" s="104"/>
      <c r="K47" s="33"/>
      <c r="L47" s="27"/>
      <c r="M47" s="140"/>
      <c r="N47" s="103"/>
      <c r="O47" s="95"/>
      <c r="P47" s="18"/>
      <c r="Q47" s="18"/>
      <c r="R47" s="18"/>
      <c r="S47" s="18"/>
      <c r="T47" s="26"/>
      <c r="U47" s="119"/>
    </row>
    <row r="48" spans="1:21" x14ac:dyDescent="0.25">
      <c r="A48" s="70"/>
      <c r="B48" s="79"/>
      <c r="C48" s="79"/>
      <c r="D48" s="23" t="s">
        <v>15</v>
      </c>
      <c r="E48" s="51" t="s">
        <v>17</v>
      </c>
      <c r="F48" s="23">
        <f>SUM(F18:F42)</f>
        <v>17962</v>
      </c>
      <c r="G48" s="23">
        <f>SUM(G18:G47)</f>
        <v>10000</v>
      </c>
      <c r="H48" s="23"/>
      <c r="I48" s="23"/>
      <c r="J48" s="23">
        <f>F48-G48</f>
        <v>7962</v>
      </c>
      <c r="K48" s="24" t="s">
        <v>16</v>
      </c>
      <c r="L48" s="25">
        <f>SUM(L18:L41)</f>
        <v>0</v>
      </c>
      <c r="M48" s="25">
        <f>SUM(M18:M41)</f>
        <v>0</v>
      </c>
      <c r="N48" s="25">
        <f>SUM(N18:N42)</f>
        <v>17962</v>
      </c>
      <c r="O48" s="25">
        <f>SUM(O18:O41)</f>
        <v>0</v>
      </c>
      <c r="P48" s="26"/>
      <c r="Q48" s="26"/>
      <c r="R48" s="26"/>
      <c r="S48" s="26"/>
      <c r="T48" s="26"/>
      <c r="U48" s="119"/>
    </row>
    <row r="49" spans="1:21" x14ac:dyDescent="0.25">
      <c r="A49" s="108" t="s">
        <v>169</v>
      </c>
      <c r="B49" s="79" t="s">
        <v>98</v>
      </c>
      <c r="C49" s="79" t="s">
        <v>52</v>
      </c>
      <c r="D49" s="72" t="s">
        <v>99</v>
      </c>
      <c r="E49" s="93" t="s">
        <v>19</v>
      </c>
      <c r="F49" s="58"/>
      <c r="G49" s="70"/>
      <c r="H49" s="70" t="s">
        <v>177</v>
      </c>
      <c r="I49" s="70"/>
      <c r="J49" s="70">
        <f t="shared" ref="J49:J82" si="2">F49-G49</f>
        <v>0</v>
      </c>
      <c r="K49" s="72" t="s">
        <v>72</v>
      </c>
      <c r="L49" s="63"/>
      <c r="M49" s="65"/>
      <c r="N49" s="66"/>
      <c r="O49" s="95"/>
      <c r="P49" s="18">
        <v>1E-3</v>
      </c>
      <c r="Q49" s="18">
        <v>1.3299999999999999E-2</v>
      </c>
      <c r="R49" s="18">
        <v>9.3299999999999994E-2</v>
      </c>
      <c r="S49" s="18">
        <v>0</v>
      </c>
      <c r="T49" s="26">
        <v>0</v>
      </c>
      <c r="U49" s="119"/>
    </row>
    <row r="50" spans="1:21" x14ac:dyDescent="0.25">
      <c r="A50" s="108" t="s">
        <v>169</v>
      </c>
      <c r="B50" s="79" t="s">
        <v>98</v>
      </c>
      <c r="C50" s="79" t="s">
        <v>52</v>
      </c>
      <c r="D50" s="72" t="s">
        <v>99</v>
      </c>
      <c r="E50" s="93" t="s">
        <v>19</v>
      </c>
      <c r="F50" s="58"/>
      <c r="G50" s="70"/>
      <c r="H50" s="70" t="s">
        <v>177</v>
      </c>
      <c r="I50" s="70"/>
      <c r="J50" s="70">
        <f t="shared" si="2"/>
        <v>0</v>
      </c>
      <c r="K50" s="72" t="s">
        <v>73</v>
      </c>
      <c r="L50" s="63"/>
      <c r="M50" s="65"/>
      <c r="N50" s="66"/>
      <c r="O50" s="95"/>
      <c r="P50" s="18">
        <v>2E-3</v>
      </c>
      <c r="Q50" s="18">
        <v>3.6600000000000001E-2</v>
      </c>
      <c r="R50" s="18">
        <v>0.1166</v>
      </c>
      <c r="S50" s="18">
        <v>0</v>
      </c>
      <c r="T50" s="26">
        <v>0</v>
      </c>
      <c r="U50" s="119"/>
    </row>
    <row r="51" spans="1:21" x14ac:dyDescent="0.25">
      <c r="A51" s="108" t="s">
        <v>169</v>
      </c>
      <c r="B51" s="79" t="s">
        <v>98</v>
      </c>
      <c r="C51" s="79" t="s">
        <v>52</v>
      </c>
      <c r="D51" s="72" t="s">
        <v>99</v>
      </c>
      <c r="E51" s="93" t="s">
        <v>19</v>
      </c>
      <c r="F51" s="58"/>
      <c r="G51" s="70"/>
      <c r="H51" s="70" t="s">
        <v>177</v>
      </c>
      <c r="I51" s="70"/>
      <c r="J51" s="70">
        <f t="shared" si="2"/>
        <v>0</v>
      </c>
      <c r="K51" s="72" t="s">
        <v>93</v>
      </c>
      <c r="L51" s="63"/>
      <c r="M51" s="65"/>
      <c r="N51" s="66"/>
      <c r="O51" s="95"/>
      <c r="P51" s="18">
        <v>2E-3</v>
      </c>
      <c r="Q51" s="18">
        <v>0.04</v>
      </c>
      <c r="R51" s="18">
        <v>9.6600000000000005E-2</v>
      </c>
      <c r="S51" s="18">
        <v>0</v>
      </c>
      <c r="T51" s="26">
        <v>0</v>
      </c>
      <c r="U51" s="119"/>
    </row>
    <row r="52" spans="1:21" x14ac:dyDescent="0.25">
      <c r="A52" s="108" t="s">
        <v>169</v>
      </c>
      <c r="B52" s="79" t="s">
        <v>98</v>
      </c>
      <c r="C52" s="79" t="s">
        <v>52</v>
      </c>
      <c r="D52" s="72" t="s">
        <v>99</v>
      </c>
      <c r="E52" s="93" t="s">
        <v>19</v>
      </c>
      <c r="F52" s="58"/>
      <c r="G52" s="70"/>
      <c r="H52" s="70" t="s">
        <v>177</v>
      </c>
      <c r="I52" s="70"/>
      <c r="J52" s="70">
        <f t="shared" si="2"/>
        <v>0</v>
      </c>
      <c r="K52" s="72" t="s">
        <v>94</v>
      </c>
      <c r="L52" s="63"/>
      <c r="M52" s="65"/>
      <c r="N52" s="66"/>
      <c r="O52" s="95"/>
      <c r="P52" s="18">
        <v>1E-3</v>
      </c>
      <c r="Q52" s="18">
        <v>3.6600000000000001E-2</v>
      </c>
      <c r="R52" s="18">
        <v>9.3299999999999994E-2</v>
      </c>
      <c r="S52" s="18">
        <v>0</v>
      </c>
      <c r="T52" s="26">
        <v>0</v>
      </c>
      <c r="U52" s="119"/>
    </row>
    <row r="53" spans="1:21" x14ac:dyDescent="0.25">
      <c r="A53" s="108" t="s">
        <v>169</v>
      </c>
      <c r="B53" s="79" t="s">
        <v>98</v>
      </c>
      <c r="C53" s="79" t="s">
        <v>52</v>
      </c>
      <c r="D53" s="72" t="s">
        <v>99</v>
      </c>
      <c r="E53" s="93" t="s">
        <v>19</v>
      </c>
      <c r="F53" s="58"/>
      <c r="G53" s="70"/>
      <c r="H53" s="70" t="s">
        <v>177</v>
      </c>
      <c r="I53" s="70"/>
      <c r="J53" s="70">
        <f t="shared" si="2"/>
        <v>0</v>
      </c>
      <c r="K53" s="72" t="s">
        <v>95</v>
      </c>
      <c r="L53" s="63"/>
      <c r="M53" s="65"/>
      <c r="N53" s="66"/>
      <c r="O53" s="95"/>
      <c r="P53" s="18">
        <v>1E-3</v>
      </c>
      <c r="Q53" s="18">
        <v>3.3300000000000003E-2</v>
      </c>
      <c r="R53" s="18">
        <v>0.1033</v>
      </c>
      <c r="S53" s="18">
        <v>0</v>
      </c>
      <c r="T53" s="26">
        <v>0</v>
      </c>
      <c r="U53" s="119"/>
    </row>
    <row r="54" spans="1:21" x14ac:dyDescent="0.25">
      <c r="A54" s="108" t="s">
        <v>169</v>
      </c>
      <c r="B54" s="79" t="s">
        <v>98</v>
      </c>
      <c r="C54" s="79" t="s">
        <v>52</v>
      </c>
      <c r="D54" s="72" t="s">
        <v>99</v>
      </c>
      <c r="E54" s="93" t="s">
        <v>19</v>
      </c>
      <c r="F54" s="58"/>
      <c r="G54" s="70"/>
      <c r="H54" s="70" t="s">
        <v>177</v>
      </c>
      <c r="I54" s="70"/>
      <c r="J54" s="70">
        <f t="shared" si="2"/>
        <v>0</v>
      </c>
      <c r="K54" s="72" t="s">
        <v>96</v>
      </c>
      <c r="L54" s="63"/>
      <c r="M54" s="65"/>
      <c r="N54" s="66"/>
      <c r="O54" s="95"/>
      <c r="P54" s="18">
        <v>0</v>
      </c>
      <c r="Q54" s="18">
        <v>0.03</v>
      </c>
      <c r="R54" s="18">
        <v>0.08</v>
      </c>
      <c r="S54" s="18">
        <v>0</v>
      </c>
      <c r="T54" s="26">
        <v>0</v>
      </c>
      <c r="U54" s="119"/>
    </row>
    <row r="55" spans="1:21" x14ac:dyDescent="0.25">
      <c r="A55" s="108" t="s">
        <v>169</v>
      </c>
      <c r="B55" s="79" t="s">
        <v>98</v>
      </c>
      <c r="C55" s="79" t="s">
        <v>52</v>
      </c>
      <c r="D55" s="72" t="s">
        <v>99</v>
      </c>
      <c r="E55" s="93" t="s">
        <v>19</v>
      </c>
      <c r="F55" s="58"/>
      <c r="G55" s="70"/>
      <c r="H55" s="70" t="s">
        <v>177</v>
      </c>
      <c r="I55" s="70"/>
      <c r="J55" s="70">
        <f t="shared" si="2"/>
        <v>0</v>
      </c>
      <c r="K55" s="72" t="s">
        <v>121</v>
      </c>
      <c r="L55" s="63"/>
      <c r="M55" s="65"/>
      <c r="N55" s="66"/>
      <c r="O55" s="95"/>
      <c r="P55" s="18">
        <v>0</v>
      </c>
      <c r="Q55" s="18">
        <v>3.6600000000000001E-2</v>
      </c>
      <c r="R55" s="18">
        <v>9.3299999999999994E-2</v>
      </c>
      <c r="S55" s="18">
        <v>0</v>
      </c>
      <c r="T55" s="26">
        <v>0</v>
      </c>
      <c r="U55" s="119"/>
    </row>
    <row r="56" spans="1:21" x14ac:dyDescent="0.25">
      <c r="A56" s="108" t="s">
        <v>169</v>
      </c>
      <c r="B56" s="79" t="s">
        <v>98</v>
      </c>
      <c r="C56" s="79" t="s">
        <v>52</v>
      </c>
      <c r="D56" s="72" t="s">
        <v>99</v>
      </c>
      <c r="E56" s="93" t="s">
        <v>19</v>
      </c>
      <c r="F56" s="58"/>
      <c r="G56" s="70"/>
      <c r="H56" s="70" t="s">
        <v>177</v>
      </c>
      <c r="I56" s="70"/>
      <c r="J56" s="70">
        <f t="shared" si="2"/>
        <v>0</v>
      </c>
      <c r="K56" s="72" t="s">
        <v>122</v>
      </c>
      <c r="L56" s="63"/>
      <c r="M56" s="65"/>
      <c r="N56" s="66"/>
      <c r="O56" s="95"/>
      <c r="P56" s="18">
        <v>1E-3</v>
      </c>
      <c r="Q56" s="18">
        <v>3.3300000000000003E-2</v>
      </c>
      <c r="R56" s="18">
        <v>8.6599999999999996E-2</v>
      </c>
      <c r="S56" s="18">
        <v>0</v>
      </c>
      <c r="T56" s="26">
        <v>0</v>
      </c>
      <c r="U56" s="119"/>
    </row>
    <row r="57" spans="1:21" x14ac:dyDescent="0.25">
      <c r="A57" s="108" t="s">
        <v>169</v>
      </c>
      <c r="B57" s="79" t="s">
        <v>98</v>
      </c>
      <c r="C57" s="79" t="s">
        <v>52</v>
      </c>
      <c r="D57" s="72" t="s">
        <v>99</v>
      </c>
      <c r="E57" s="93" t="s">
        <v>19</v>
      </c>
      <c r="F57" s="58">
        <v>1000</v>
      </c>
      <c r="G57" s="70"/>
      <c r="H57" s="70"/>
      <c r="I57" s="70"/>
      <c r="J57" s="70">
        <f t="shared" si="2"/>
        <v>1000</v>
      </c>
      <c r="K57" s="72" t="s">
        <v>123</v>
      </c>
      <c r="L57" s="63"/>
      <c r="M57" s="65"/>
      <c r="N57" s="66">
        <v>1000</v>
      </c>
      <c r="O57" s="95"/>
      <c r="P57" s="18">
        <v>2E-3</v>
      </c>
      <c r="Q57" s="18">
        <v>0.04</v>
      </c>
      <c r="R57" s="18">
        <v>0.12330000000000001</v>
      </c>
      <c r="S57" s="18">
        <v>0</v>
      </c>
      <c r="T57" s="26">
        <v>0</v>
      </c>
      <c r="U57" s="119"/>
    </row>
    <row r="58" spans="1:21" x14ac:dyDescent="0.25">
      <c r="A58" s="108" t="s">
        <v>169</v>
      </c>
      <c r="B58" s="79" t="s">
        <v>98</v>
      </c>
      <c r="C58" s="79" t="s">
        <v>52</v>
      </c>
      <c r="D58" s="72" t="s">
        <v>99</v>
      </c>
      <c r="E58" s="93" t="s">
        <v>19</v>
      </c>
      <c r="F58" s="58">
        <v>1000</v>
      </c>
      <c r="G58" s="70"/>
      <c r="H58" s="70"/>
      <c r="I58" s="70"/>
      <c r="J58" s="70">
        <f t="shared" si="2"/>
        <v>1000</v>
      </c>
      <c r="K58" s="72" t="s">
        <v>127</v>
      </c>
      <c r="L58" s="63"/>
      <c r="M58" s="65"/>
      <c r="N58" s="66">
        <v>1000</v>
      </c>
      <c r="O58" s="95"/>
      <c r="P58" s="18">
        <v>1E-3</v>
      </c>
      <c r="Q58" s="18">
        <v>0.04</v>
      </c>
      <c r="R58" s="18">
        <v>0.1633</v>
      </c>
      <c r="S58" s="18">
        <v>0</v>
      </c>
      <c r="T58" s="26">
        <v>0</v>
      </c>
      <c r="U58" s="119"/>
    </row>
    <row r="59" spans="1:21" x14ac:dyDescent="0.25">
      <c r="A59" s="108" t="s">
        <v>178</v>
      </c>
      <c r="B59" s="79" t="s">
        <v>98</v>
      </c>
      <c r="C59" s="79" t="s">
        <v>53</v>
      </c>
      <c r="D59" s="72" t="s">
        <v>99</v>
      </c>
      <c r="E59" s="93" t="s">
        <v>19</v>
      </c>
      <c r="F59" s="58">
        <v>1000</v>
      </c>
      <c r="G59" s="70"/>
      <c r="H59" s="70"/>
      <c r="I59" s="70"/>
      <c r="J59" s="70">
        <f t="shared" si="2"/>
        <v>1000</v>
      </c>
      <c r="K59" s="72" t="s">
        <v>63</v>
      </c>
      <c r="L59" s="63"/>
      <c r="M59" s="65"/>
      <c r="N59" s="66">
        <v>1000</v>
      </c>
      <c r="O59" s="95"/>
      <c r="P59" s="18">
        <v>2E-3</v>
      </c>
      <c r="Q59" s="18">
        <v>0.03</v>
      </c>
      <c r="R59" s="18">
        <v>0.12659999999999999</v>
      </c>
      <c r="S59" s="18">
        <v>0</v>
      </c>
      <c r="T59" s="26">
        <v>0</v>
      </c>
      <c r="U59" s="119"/>
    </row>
    <row r="60" spans="1:21" x14ac:dyDescent="0.25">
      <c r="A60" s="108" t="s">
        <v>178</v>
      </c>
      <c r="B60" s="79" t="s">
        <v>98</v>
      </c>
      <c r="C60" s="79" t="s">
        <v>53</v>
      </c>
      <c r="D60" s="72" t="s">
        <v>99</v>
      </c>
      <c r="E60" s="93" t="s">
        <v>19</v>
      </c>
      <c r="F60" s="58">
        <v>1000</v>
      </c>
      <c r="G60" s="70"/>
      <c r="H60" s="70"/>
      <c r="I60" s="70"/>
      <c r="J60" s="70">
        <f t="shared" si="2"/>
        <v>1000</v>
      </c>
      <c r="K60" s="72" t="s">
        <v>64</v>
      </c>
      <c r="L60" s="63"/>
      <c r="M60" s="65"/>
      <c r="N60" s="66">
        <v>1000</v>
      </c>
      <c r="O60" s="95"/>
      <c r="P60" s="18">
        <v>1E-3</v>
      </c>
      <c r="Q60" s="18">
        <v>2.6599999999999999E-2</v>
      </c>
      <c r="R60" s="18">
        <v>7.0000000000000007E-2</v>
      </c>
      <c r="S60" s="18">
        <v>0</v>
      </c>
      <c r="T60" s="26">
        <v>0</v>
      </c>
      <c r="U60" s="119"/>
    </row>
    <row r="61" spans="1:21" x14ac:dyDescent="0.25">
      <c r="A61" s="108" t="s">
        <v>178</v>
      </c>
      <c r="B61" s="79" t="s">
        <v>98</v>
      </c>
      <c r="C61" s="79" t="s">
        <v>53</v>
      </c>
      <c r="D61" s="72" t="s">
        <v>99</v>
      </c>
      <c r="E61" s="93" t="s">
        <v>19</v>
      </c>
      <c r="F61" s="58">
        <v>1000</v>
      </c>
      <c r="G61" s="70"/>
      <c r="H61" s="70"/>
      <c r="I61" s="70"/>
      <c r="J61" s="70">
        <f t="shared" si="2"/>
        <v>1000</v>
      </c>
      <c r="K61" s="72" t="s">
        <v>68</v>
      </c>
      <c r="L61" s="63"/>
      <c r="M61" s="65"/>
      <c r="N61" s="66">
        <v>1000</v>
      </c>
      <c r="O61" s="95"/>
      <c r="P61" s="18">
        <v>0</v>
      </c>
      <c r="Q61" s="18">
        <v>0.05</v>
      </c>
      <c r="R61" s="18">
        <v>0.1166</v>
      </c>
      <c r="S61" s="18">
        <v>0</v>
      </c>
      <c r="T61" s="26">
        <v>0</v>
      </c>
      <c r="U61" s="119"/>
    </row>
    <row r="62" spans="1:21" x14ac:dyDescent="0.25">
      <c r="A62" s="108" t="s">
        <v>178</v>
      </c>
      <c r="B62" s="79" t="s">
        <v>98</v>
      </c>
      <c r="C62" s="79" t="s">
        <v>53</v>
      </c>
      <c r="D62" s="72" t="s">
        <v>99</v>
      </c>
      <c r="E62" s="93" t="s">
        <v>19</v>
      </c>
      <c r="F62" s="58">
        <v>1000</v>
      </c>
      <c r="G62" s="70"/>
      <c r="H62" s="70"/>
      <c r="I62" s="70"/>
      <c r="J62" s="70">
        <f t="shared" si="2"/>
        <v>1000</v>
      </c>
      <c r="K62" s="72" t="s">
        <v>69</v>
      </c>
      <c r="L62" s="63"/>
      <c r="M62" s="65"/>
      <c r="N62" s="66">
        <v>1000</v>
      </c>
      <c r="O62" s="95"/>
      <c r="P62" s="18">
        <v>0</v>
      </c>
      <c r="Q62" s="18">
        <v>0.03</v>
      </c>
      <c r="R62" s="18">
        <v>0.1166</v>
      </c>
      <c r="S62" s="18">
        <v>0</v>
      </c>
      <c r="T62" s="26">
        <v>0</v>
      </c>
      <c r="U62" s="119"/>
    </row>
    <row r="63" spans="1:21" x14ac:dyDescent="0.25">
      <c r="A63" s="108" t="s">
        <v>178</v>
      </c>
      <c r="B63" s="79" t="s">
        <v>98</v>
      </c>
      <c r="C63" s="79" t="s">
        <v>53</v>
      </c>
      <c r="D63" s="72" t="s">
        <v>99</v>
      </c>
      <c r="E63" s="93" t="s">
        <v>19</v>
      </c>
      <c r="F63" s="58">
        <v>1000</v>
      </c>
      <c r="G63" s="70"/>
      <c r="H63" s="70"/>
      <c r="I63" s="70"/>
      <c r="J63" s="70">
        <f t="shared" si="2"/>
        <v>1000</v>
      </c>
      <c r="K63" s="72" t="s">
        <v>70</v>
      </c>
      <c r="L63" s="63"/>
      <c r="M63" s="65"/>
      <c r="N63" s="66">
        <v>1000</v>
      </c>
      <c r="O63" s="95"/>
      <c r="P63" s="18">
        <v>1E-3</v>
      </c>
      <c r="Q63" s="18">
        <v>4.3299999999999998E-2</v>
      </c>
      <c r="R63" s="18">
        <v>0.11</v>
      </c>
      <c r="S63" s="18">
        <v>0</v>
      </c>
      <c r="T63" s="26">
        <v>0</v>
      </c>
      <c r="U63" s="119"/>
    </row>
    <row r="64" spans="1:21" x14ac:dyDescent="0.25">
      <c r="A64" s="108" t="s">
        <v>178</v>
      </c>
      <c r="B64" s="79" t="s">
        <v>98</v>
      </c>
      <c r="C64" s="79" t="s">
        <v>53</v>
      </c>
      <c r="D64" s="72" t="s">
        <v>99</v>
      </c>
      <c r="E64" s="93" t="s">
        <v>19</v>
      </c>
      <c r="F64" s="58">
        <v>1000</v>
      </c>
      <c r="G64" s="70"/>
      <c r="H64" s="70"/>
      <c r="I64" s="70"/>
      <c r="J64" s="70">
        <f t="shared" si="2"/>
        <v>1000</v>
      </c>
      <c r="K64" s="72" t="s">
        <v>71</v>
      </c>
      <c r="L64" s="63"/>
      <c r="M64" s="65"/>
      <c r="N64" s="66">
        <v>1000</v>
      </c>
      <c r="O64" s="95"/>
      <c r="P64" s="18">
        <v>1E-3</v>
      </c>
      <c r="Q64" s="18">
        <v>3.6600000000000001E-2</v>
      </c>
      <c r="R64" s="18">
        <v>9.6600000000000005E-2</v>
      </c>
      <c r="S64" s="18">
        <v>0</v>
      </c>
      <c r="T64" s="26">
        <v>0</v>
      </c>
      <c r="U64" s="119"/>
    </row>
    <row r="65" spans="1:21" x14ac:dyDescent="0.25">
      <c r="A65" s="108" t="s">
        <v>178</v>
      </c>
      <c r="B65" s="79" t="s">
        <v>98</v>
      </c>
      <c r="C65" s="79" t="s">
        <v>53</v>
      </c>
      <c r="D65" s="72" t="s">
        <v>99</v>
      </c>
      <c r="E65" s="93" t="s">
        <v>19</v>
      </c>
      <c r="F65" s="58">
        <v>1000</v>
      </c>
      <c r="G65" s="70"/>
      <c r="H65" s="70"/>
      <c r="I65" s="70"/>
      <c r="J65" s="70">
        <f t="shared" si="2"/>
        <v>1000</v>
      </c>
      <c r="K65" s="72" t="s">
        <v>72</v>
      </c>
      <c r="L65" s="63"/>
      <c r="M65" s="65"/>
      <c r="N65" s="66">
        <v>1000</v>
      </c>
      <c r="O65" s="95"/>
      <c r="P65" s="18">
        <v>0</v>
      </c>
      <c r="Q65" s="18">
        <v>0.02</v>
      </c>
      <c r="R65" s="18">
        <v>0.1033</v>
      </c>
      <c r="S65" s="18">
        <v>0</v>
      </c>
      <c r="T65" s="26">
        <v>0</v>
      </c>
      <c r="U65" s="119"/>
    </row>
    <row r="66" spans="1:21" x14ac:dyDescent="0.25">
      <c r="A66" s="108" t="s">
        <v>178</v>
      </c>
      <c r="B66" s="79" t="s">
        <v>98</v>
      </c>
      <c r="C66" s="79" t="s">
        <v>53</v>
      </c>
      <c r="D66" s="72" t="s">
        <v>99</v>
      </c>
      <c r="E66" s="93" t="s">
        <v>19</v>
      </c>
      <c r="F66" s="58">
        <v>1000</v>
      </c>
      <c r="G66" s="70"/>
      <c r="H66" s="70"/>
      <c r="I66" s="70"/>
      <c r="J66" s="70">
        <f t="shared" si="2"/>
        <v>1000</v>
      </c>
      <c r="K66" s="72" t="s">
        <v>73</v>
      </c>
      <c r="L66" s="63"/>
      <c r="M66" s="65"/>
      <c r="N66" s="66">
        <v>1000</v>
      </c>
      <c r="O66" s="95"/>
      <c r="P66" s="18">
        <v>0</v>
      </c>
      <c r="Q66" s="18">
        <v>0.04</v>
      </c>
      <c r="R66" s="18">
        <v>0.09</v>
      </c>
      <c r="S66" s="18">
        <v>0</v>
      </c>
      <c r="T66" s="26">
        <v>0</v>
      </c>
      <c r="U66" s="119"/>
    </row>
    <row r="67" spans="1:21" x14ac:dyDescent="0.25">
      <c r="A67" s="108" t="s">
        <v>178</v>
      </c>
      <c r="B67" s="79" t="s">
        <v>98</v>
      </c>
      <c r="C67" s="79" t="s">
        <v>53</v>
      </c>
      <c r="D67" s="72" t="s">
        <v>99</v>
      </c>
      <c r="E67" s="93" t="s">
        <v>19</v>
      </c>
      <c r="F67" s="58">
        <v>1000</v>
      </c>
      <c r="G67" s="70"/>
      <c r="H67" s="70"/>
      <c r="I67" s="70"/>
      <c r="J67" s="70">
        <f t="shared" si="2"/>
        <v>1000</v>
      </c>
      <c r="K67" s="72" t="s">
        <v>93</v>
      </c>
      <c r="L67" s="63"/>
      <c r="M67" s="65"/>
      <c r="N67" s="66">
        <v>1000</v>
      </c>
      <c r="O67" s="95"/>
      <c r="P67" s="18">
        <v>2E-3</v>
      </c>
      <c r="Q67" s="18">
        <v>4.6600000000000003E-2</v>
      </c>
      <c r="R67" s="18">
        <v>6.6600000000000006E-2</v>
      </c>
      <c r="S67" s="18">
        <v>0</v>
      </c>
      <c r="T67" s="26">
        <v>0</v>
      </c>
      <c r="U67" s="119"/>
    </row>
    <row r="68" spans="1:21" x14ac:dyDescent="0.25">
      <c r="A68" s="108" t="s">
        <v>178</v>
      </c>
      <c r="B68" s="79" t="s">
        <v>98</v>
      </c>
      <c r="C68" s="79" t="s">
        <v>53</v>
      </c>
      <c r="D68" s="72" t="s">
        <v>99</v>
      </c>
      <c r="E68" s="93" t="s">
        <v>19</v>
      </c>
      <c r="F68" s="58">
        <v>1000</v>
      </c>
      <c r="G68" s="70"/>
      <c r="H68" s="70"/>
      <c r="I68" s="70"/>
      <c r="J68" s="70">
        <f t="shared" si="2"/>
        <v>1000</v>
      </c>
      <c r="K68" s="72" t="s">
        <v>94</v>
      </c>
      <c r="L68" s="63"/>
      <c r="M68" s="65"/>
      <c r="N68" s="66">
        <v>1000</v>
      </c>
      <c r="O68" s="95"/>
      <c r="P68" s="18">
        <v>2E-3</v>
      </c>
      <c r="Q68" s="18">
        <v>0.04</v>
      </c>
      <c r="R68" s="18">
        <v>9.6600000000000005E-2</v>
      </c>
      <c r="S68" s="18">
        <v>0</v>
      </c>
      <c r="T68" s="26">
        <v>0</v>
      </c>
      <c r="U68" s="119"/>
    </row>
    <row r="69" spans="1:21" x14ac:dyDescent="0.25">
      <c r="A69" s="108" t="s">
        <v>178</v>
      </c>
      <c r="B69" s="79" t="s">
        <v>98</v>
      </c>
      <c r="C69" s="79" t="s">
        <v>53</v>
      </c>
      <c r="D69" s="72" t="s">
        <v>99</v>
      </c>
      <c r="E69" s="93" t="s">
        <v>19</v>
      </c>
      <c r="F69" s="58">
        <v>1000</v>
      </c>
      <c r="G69" s="70"/>
      <c r="H69" s="70"/>
      <c r="I69" s="70"/>
      <c r="J69" s="70">
        <f t="shared" si="2"/>
        <v>1000</v>
      </c>
      <c r="K69" s="72" t="s">
        <v>95</v>
      </c>
      <c r="L69" s="63"/>
      <c r="M69" s="65"/>
      <c r="N69" s="66">
        <v>1000</v>
      </c>
      <c r="O69" s="95"/>
      <c r="P69" s="18">
        <v>2E-3</v>
      </c>
      <c r="Q69" s="18">
        <v>4.3299999999999998E-2</v>
      </c>
      <c r="R69" s="18">
        <v>9.3299999999999994E-2</v>
      </c>
      <c r="S69" s="18">
        <v>0</v>
      </c>
      <c r="T69" s="26">
        <v>0</v>
      </c>
      <c r="U69" s="119"/>
    </row>
    <row r="70" spans="1:21" x14ac:dyDescent="0.25">
      <c r="A70" s="108" t="s">
        <v>178</v>
      </c>
      <c r="B70" s="79" t="s">
        <v>98</v>
      </c>
      <c r="C70" s="79" t="s">
        <v>53</v>
      </c>
      <c r="D70" s="72" t="s">
        <v>99</v>
      </c>
      <c r="E70" s="93" t="s">
        <v>19</v>
      </c>
      <c r="F70" s="58">
        <v>1000</v>
      </c>
      <c r="G70" s="70"/>
      <c r="H70" s="70"/>
      <c r="I70" s="70"/>
      <c r="J70" s="70">
        <f t="shared" si="2"/>
        <v>1000</v>
      </c>
      <c r="K70" s="72" t="s">
        <v>96</v>
      </c>
      <c r="L70" s="63"/>
      <c r="M70" s="65"/>
      <c r="N70" s="66">
        <v>1000</v>
      </c>
      <c r="O70" s="95"/>
      <c r="P70" s="18">
        <v>2E-3</v>
      </c>
      <c r="Q70" s="18">
        <v>5.33E-2</v>
      </c>
      <c r="R70" s="18">
        <v>0.1066</v>
      </c>
      <c r="S70" s="18">
        <v>0</v>
      </c>
      <c r="T70" s="26">
        <v>0</v>
      </c>
      <c r="U70" s="119"/>
    </row>
    <row r="71" spans="1:21" x14ac:dyDescent="0.25">
      <c r="A71" s="108" t="s">
        <v>178</v>
      </c>
      <c r="B71" s="79" t="s">
        <v>98</v>
      </c>
      <c r="C71" s="79" t="s">
        <v>53</v>
      </c>
      <c r="D71" s="72" t="s">
        <v>99</v>
      </c>
      <c r="E71" s="93" t="s">
        <v>19</v>
      </c>
      <c r="F71" s="58">
        <v>1000</v>
      </c>
      <c r="G71" s="70"/>
      <c r="H71" s="70"/>
      <c r="I71" s="70"/>
      <c r="J71" s="70">
        <f t="shared" si="2"/>
        <v>1000</v>
      </c>
      <c r="K71" s="72" t="s">
        <v>121</v>
      </c>
      <c r="L71" s="63"/>
      <c r="M71" s="65"/>
      <c r="N71" s="66">
        <v>1000</v>
      </c>
      <c r="O71" s="95"/>
      <c r="P71" s="18">
        <v>0</v>
      </c>
      <c r="Q71" s="18">
        <v>4.3299999999999998E-2</v>
      </c>
      <c r="R71" s="18">
        <v>0.14000000000000001</v>
      </c>
      <c r="S71" s="18">
        <v>0</v>
      </c>
      <c r="T71" s="26">
        <v>0</v>
      </c>
      <c r="U71" s="119"/>
    </row>
    <row r="72" spans="1:21" x14ac:dyDescent="0.25">
      <c r="A72" s="108" t="s">
        <v>178</v>
      </c>
      <c r="B72" s="79" t="s">
        <v>98</v>
      </c>
      <c r="C72" s="79" t="s">
        <v>53</v>
      </c>
      <c r="D72" s="72" t="s">
        <v>99</v>
      </c>
      <c r="E72" s="93" t="s">
        <v>19</v>
      </c>
      <c r="F72" s="58">
        <v>1000</v>
      </c>
      <c r="G72" s="70"/>
      <c r="H72" s="70"/>
      <c r="I72" s="70"/>
      <c r="J72" s="70">
        <f t="shared" si="2"/>
        <v>1000</v>
      </c>
      <c r="K72" s="72" t="s">
        <v>122</v>
      </c>
      <c r="L72" s="63"/>
      <c r="M72" s="65"/>
      <c r="N72" s="66">
        <v>1000</v>
      </c>
      <c r="O72" s="95"/>
      <c r="P72" s="18">
        <v>1E-3</v>
      </c>
      <c r="Q72" s="18">
        <v>0.05</v>
      </c>
      <c r="R72" s="18">
        <v>0.12659999999999999</v>
      </c>
      <c r="S72" s="18">
        <v>0</v>
      </c>
      <c r="T72" s="26">
        <v>0</v>
      </c>
      <c r="U72" s="119"/>
    </row>
    <row r="73" spans="1:21" x14ac:dyDescent="0.25">
      <c r="A73" s="108" t="s">
        <v>178</v>
      </c>
      <c r="B73" s="79" t="s">
        <v>98</v>
      </c>
      <c r="C73" s="79" t="s">
        <v>53</v>
      </c>
      <c r="D73" s="72" t="s">
        <v>99</v>
      </c>
      <c r="E73" s="93" t="s">
        <v>19</v>
      </c>
      <c r="F73" s="58">
        <v>1000</v>
      </c>
      <c r="G73" s="70"/>
      <c r="H73" s="70"/>
      <c r="I73" s="70"/>
      <c r="J73" s="70">
        <f t="shared" si="2"/>
        <v>1000</v>
      </c>
      <c r="K73" s="72" t="s">
        <v>123</v>
      </c>
      <c r="L73" s="63"/>
      <c r="M73" s="65"/>
      <c r="N73" s="66">
        <v>1000</v>
      </c>
      <c r="O73" s="95"/>
      <c r="P73" s="18">
        <v>1E-3</v>
      </c>
      <c r="Q73" s="18">
        <v>4.6600000000000003E-2</v>
      </c>
      <c r="R73" s="18">
        <v>0.1333</v>
      </c>
      <c r="S73" s="18">
        <v>0</v>
      </c>
      <c r="T73" s="26">
        <v>0</v>
      </c>
      <c r="U73" s="119"/>
    </row>
    <row r="74" spans="1:21" x14ac:dyDescent="0.25">
      <c r="A74" s="108" t="s">
        <v>178</v>
      </c>
      <c r="B74" s="79" t="s">
        <v>98</v>
      </c>
      <c r="C74" s="79" t="s">
        <v>53</v>
      </c>
      <c r="D74" s="72" t="s">
        <v>99</v>
      </c>
      <c r="E74" s="93" t="s">
        <v>19</v>
      </c>
      <c r="F74" s="58">
        <v>1000</v>
      </c>
      <c r="G74" s="70"/>
      <c r="H74" s="70"/>
      <c r="I74" s="70"/>
      <c r="J74" s="70">
        <f t="shared" si="2"/>
        <v>1000</v>
      </c>
      <c r="K74" s="72" t="s">
        <v>127</v>
      </c>
      <c r="L74" s="63"/>
      <c r="M74" s="65"/>
      <c r="N74" s="66">
        <v>1000</v>
      </c>
      <c r="O74" s="95"/>
      <c r="P74" s="18">
        <v>2E-3</v>
      </c>
      <c r="Q74" s="18">
        <v>3.6600000000000001E-2</v>
      </c>
      <c r="R74" s="18">
        <v>0.16</v>
      </c>
      <c r="S74" s="18">
        <v>0</v>
      </c>
      <c r="T74" s="26">
        <v>0</v>
      </c>
      <c r="U74" s="119"/>
    </row>
    <row r="75" spans="1:21" x14ac:dyDescent="0.25">
      <c r="A75" s="108" t="s">
        <v>183</v>
      </c>
      <c r="B75" s="79" t="s">
        <v>98</v>
      </c>
      <c r="C75" s="79" t="s">
        <v>77</v>
      </c>
      <c r="D75" s="72" t="s">
        <v>99</v>
      </c>
      <c r="E75" s="93" t="s">
        <v>19</v>
      </c>
      <c r="F75" s="58">
        <v>1000</v>
      </c>
      <c r="G75" s="70"/>
      <c r="H75" s="70"/>
      <c r="I75" s="70"/>
      <c r="J75" s="70">
        <f t="shared" si="2"/>
        <v>1000</v>
      </c>
      <c r="K75" s="72" t="s">
        <v>63</v>
      </c>
      <c r="L75" s="63"/>
      <c r="M75" s="65"/>
      <c r="N75" s="66">
        <v>1000</v>
      </c>
      <c r="O75" s="95"/>
      <c r="P75" s="18">
        <v>1E-3</v>
      </c>
      <c r="Q75" s="18">
        <v>3.6600000000000001E-2</v>
      </c>
      <c r="R75" s="18">
        <v>0.12330000000000001</v>
      </c>
      <c r="S75" s="18">
        <v>0</v>
      </c>
      <c r="T75" s="26">
        <v>0</v>
      </c>
      <c r="U75" s="119"/>
    </row>
    <row r="76" spans="1:21" x14ac:dyDescent="0.25">
      <c r="A76" s="108" t="s">
        <v>183</v>
      </c>
      <c r="B76" s="79" t="s">
        <v>98</v>
      </c>
      <c r="C76" s="79" t="s">
        <v>77</v>
      </c>
      <c r="D76" s="72" t="s">
        <v>99</v>
      </c>
      <c r="E76" s="93" t="s">
        <v>19</v>
      </c>
      <c r="F76" s="58">
        <v>1000</v>
      </c>
      <c r="G76" s="70"/>
      <c r="H76" s="70"/>
      <c r="I76" s="70"/>
      <c r="J76" s="70">
        <f t="shared" si="2"/>
        <v>1000</v>
      </c>
      <c r="K76" s="72" t="s">
        <v>64</v>
      </c>
      <c r="L76" s="63"/>
      <c r="M76" s="65"/>
      <c r="N76" s="66">
        <v>1000</v>
      </c>
      <c r="O76" s="95"/>
      <c r="P76" s="18">
        <v>3.0000000000000001E-3</v>
      </c>
      <c r="Q76" s="18">
        <v>2.3300000000000001E-2</v>
      </c>
      <c r="R76" s="18">
        <v>0.1366</v>
      </c>
      <c r="S76" s="18">
        <v>0</v>
      </c>
      <c r="T76" s="26">
        <v>0</v>
      </c>
      <c r="U76" s="119"/>
    </row>
    <row r="77" spans="1:21" x14ac:dyDescent="0.25">
      <c r="A77" s="108" t="s">
        <v>183</v>
      </c>
      <c r="B77" s="79" t="s">
        <v>98</v>
      </c>
      <c r="C77" s="79" t="s">
        <v>77</v>
      </c>
      <c r="D77" s="72" t="s">
        <v>99</v>
      </c>
      <c r="E77" s="93" t="s">
        <v>19</v>
      </c>
      <c r="F77" s="58">
        <v>1000</v>
      </c>
      <c r="G77" s="70"/>
      <c r="H77" s="70"/>
      <c r="I77" s="70"/>
      <c r="J77" s="70">
        <f t="shared" si="2"/>
        <v>1000</v>
      </c>
      <c r="K77" s="72" t="s">
        <v>68</v>
      </c>
      <c r="L77" s="63"/>
      <c r="M77" s="65"/>
      <c r="N77" s="66">
        <v>1000</v>
      </c>
      <c r="O77" s="95"/>
      <c r="P77" s="18">
        <v>2E-3</v>
      </c>
      <c r="Q77" s="18">
        <v>0.02</v>
      </c>
      <c r="R77" s="18">
        <v>9.3299999999999994E-2</v>
      </c>
      <c r="S77" s="18">
        <v>0</v>
      </c>
      <c r="T77" s="26">
        <v>0</v>
      </c>
      <c r="U77" s="119"/>
    </row>
    <row r="78" spans="1:21" x14ac:dyDescent="0.25">
      <c r="A78" s="108" t="s">
        <v>183</v>
      </c>
      <c r="B78" s="79" t="s">
        <v>98</v>
      </c>
      <c r="C78" s="79" t="s">
        <v>77</v>
      </c>
      <c r="D78" s="72" t="s">
        <v>99</v>
      </c>
      <c r="E78" s="93" t="s">
        <v>19</v>
      </c>
      <c r="F78" s="58">
        <v>1000</v>
      </c>
      <c r="G78" s="70"/>
      <c r="H78" s="70"/>
      <c r="I78" s="70"/>
      <c r="J78" s="70">
        <f t="shared" si="2"/>
        <v>1000</v>
      </c>
      <c r="K78" s="72" t="s">
        <v>69</v>
      </c>
      <c r="L78" s="63"/>
      <c r="M78" s="65"/>
      <c r="N78" s="66">
        <v>1000</v>
      </c>
      <c r="O78" s="95"/>
      <c r="P78" s="18">
        <v>2E-3</v>
      </c>
      <c r="Q78" s="18">
        <v>2.3300000000000001E-2</v>
      </c>
      <c r="R78" s="18">
        <v>8.3299999999999999E-2</v>
      </c>
      <c r="S78" s="18">
        <v>0</v>
      </c>
      <c r="T78" s="26">
        <v>0</v>
      </c>
      <c r="U78" s="119"/>
    </row>
    <row r="79" spans="1:21" x14ac:dyDescent="0.25">
      <c r="A79" s="108" t="s">
        <v>183</v>
      </c>
      <c r="B79" s="79" t="s">
        <v>184</v>
      </c>
      <c r="C79" s="79" t="s">
        <v>77</v>
      </c>
      <c r="D79" s="72" t="s">
        <v>99</v>
      </c>
      <c r="E79" s="93" t="s">
        <v>19</v>
      </c>
      <c r="F79" s="58">
        <v>1000</v>
      </c>
      <c r="G79" s="70"/>
      <c r="H79" s="70"/>
      <c r="I79" s="70"/>
      <c r="J79" s="70">
        <f t="shared" si="2"/>
        <v>1000</v>
      </c>
      <c r="K79" s="72" t="s">
        <v>70</v>
      </c>
      <c r="L79" s="63"/>
      <c r="M79" s="65"/>
      <c r="N79" s="66">
        <v>1000</v>
      </c>
      <c r="O79" s="95"/>
      <c r="P79" s="18">
        <v>1E-3</v>
      </c>
      <c r="Q79" s="18">
        <v>1.66E-2</v>
      </c>
      <c r="R79" s="18">
        <v>7.3300000000000004E-2</v>
      </c>
      <c r="S79" s="18">
        <v>0</v>
      </c>
      <c r="T79" s="26">
        <v>0</v>
      </c>
      <c r="U79" s="119"/>
    </row>
    <row r="80" spans="1:21" x14ac:dyDescent="0.25">
      <c r="A80" s="108" t="s">
        <v>183</v>
      </c>
      <c r="B80" s="79" t="s">
        <v>184</v>
      </c>
      <c r="C80" s="79" t="s">
        <v>77</v>
      </c>
      <c r="D80" s="72" t="s">
        <v>99</v>
      </c>
      <c r="E80" s="93" t="s">
        <v>19</v>
      </c>
      <c r="F80" s="58">
        <v>1000</v>
      </c>
      <c r="G80" s="70"/>
      <c r="H80" s="70"/>
      <c r="I80" s="70"/>
      <c r="J80" s="70">
        <f t="shared" si="2"/>
        <v>1000</v>
      </c>
      <c r="K80" s="72" t="s">
        <v>71</v>
      </c>
      <c r="L80" s="63"/>
      <c r="M80" s="65"/>
      <c r="N80" s="66">
        <v>1000</v>
      </c>
      <c r="O80" s="95"/>
      <c r="P80" s="18">
        <v>1E-3</v>
      </c>
      <c r="Q80" s="18">
        <v>0.02</v>
      </c>
      <c r="R80" s="18">
        <v>6.6600000000000006E-2</v>
      </c>
      <c r="S80" s="18">
        <v>0</v>
      </c>
      <c r="T80" s="26">
        <v>0</v>
      </c>
      <c r="U80" s="119"/>
    </row>
    <row r="81" spans="1:21" x14ac:dyDescent="0.25">
      <c r="A81" s="108" t="s">
        <v>183</v>
      </c>
      <c r="B81" s="79" t="s">
        <v>184</v>
      </c>
      <c r="C81" s="79" t="s">
        <v>77</v>
      </c>
      <c r="D81" s="72" t="s">
        <v>99</v>
      </c>
      <c r="E81" s="93" t="s">
        <v>19</v>
      </c>
      <c r="F81" s="58">
        <v>1100</v>
      </c>
      <c r="G81" s="70"/>
      <c r="H81" s="70"/>
      <c r="I81" s="70"/>
      <c r="J81" s="70">
        <f t="shared" si="2"/>
        <v>1100</v>
      </c>
      <c r="K81" s="72" t="s">
        <v>72</v>
      </c>
      <c r="L81" s="63"/>
      <c r="M81" s="65"/>
      <c r="N81" s="66">
        <v>1100</v>
      </c>
      <c r="O81" s="95"/>
      <c r="P81" s="18">
        <v>2E-3</v>
      </c>
      <c r="Q81" s="18">
        <v>2.3300000000000001E-2</v>
      </c>
      <c r="R81" s="18">
        <v>7.0000000000000007E-2</v>
      </c>
      <c r="S81" s="18">
        <v>0</v>
      </c>
      <c r="T81" s="26">
        <v>0</v>
      </c>
      <c r="U81" s="119"/>
    </row>
    <row r="82" spans="1:21" x14ac:dyDescent="0.25">
      <c r="A82" s="108"/>
      <c r="B82" s="79"/>
      <c r="C82" s="79"/>
      <c r="D82" s="72"/>
      <c r="E82" s="93"/>
      <c r="F82" s="162"/>
      <c r="G82" s="70"/>
      <c r="H82" s="70"/>
      <c r="I82" s="70"/>
      <c r="J82" s="70">
        <f t="shared" si="2"/>
        <v>0</v>
      </c>
      <c r="K82" s="72"/>
      <c r="L82" s="63"/>
      <c r="M82" s="65"/>
      <c r="N82" s="66"/>
      <c r="O82" s="95"/>
      <c r="P82" s="18"/>
      <c r="Q82" s="18"/>
      <c r="R82" s="18"/>
      <c r="S82" s="18"/>
      <c r="T82" s="26"/>
      <c r="U82" s="119"/>
    </row>
    <row r="83" spans="1:21" x14ac:dyDescent="0.25">
      <c r="A83" s="34"/>
      <c r="B83" s="35"/>
      <c r="C83" s="35"/>
      <c r="D83" s="36" t="s">
        <v>102</v>
      </c>
      <c r="E83" s="37"/>
      <c r="F83" s="147"/>
      <c r="G83" s="147"/>
      <c r="H83" s="147"/>
      <c r="I83" s="147"/>
      <c r="J83" s="106"/>
      <c r="K83" s="38"/>
      <c r="L83" s="63"/>
      <c r="M83" s="65"/>
      <c r="N83" s="66"/>
      <c r="O83" s="95"/>
      <c r="P83" s="18"/>
      <c r="Q83" s="18"/>
      <c r="R83" s="18"/>
      <c r="S83" s="18"/>
      <c r="T83" s="26"/>
      <c r="U83" s="119"/>
    </row>
    <row r="84" spans="1:21" x14ac:dyDescent="0.25">
      <c r="A84" s="34"/>
      <c r="B84" s="35"/>
      <c r="C84" s="35"/>
      <c r="D84" s="36"/>
      <c r="E84" s="37"/>
      <c r="F84" s="147"/>
      <c r="G84" s="147"/>
      <c r="H84" s="147"/>
      <c r="I84" s="147"/>
      <c r="J84" s="106"/>
      <c r="K84" s="38"/>
      <c r="L84" s="63"/>
      <c r="M84" s="65"/>
      <c r="N84" s="66"/>
      <c r="O84" s="95"/>
      <c r="P84" s="18"/>
      <c r="Q84" s="18"/>
      <c r="R84" s="18"/>
      <c r="S84" s="18"/>
      <c r="T84" s="26"/>
      <c r="U84" s="119"/>
    </row>
    <row r="85" spans="1:21" x14ac:dyDescent="0.25">
      <c r="A85" s="34"/>
      <c r="B85" s="35"/>
      <c r="C85" s="35"/>
      <c r="D85" s="36" t="s">
        <v>126</v>
      </c>
      <c r="E85" s="37"/>
      <c r="F85" s="147"/>
      <c r="G85" s="147">
        <v>0</v>
      </c>
      <c r="H85" s="147"/>
      <c r="I85" s="189">
        <v>46296</v>
      </c>
      <c r="J85" s="106"/>
      <c r="K85" s="38"/>
      <c r="L85" s="27"/>
      <c r="M85" s="28"/>
      <c r="N85" s="103"/>
      <c r="O85" s="95"/>
      <c r="P85" s="18"/>
      <c r="Q85" s="29"/>
      <c r="R85" s="29"/>
      <c r="S85" s="29"/>
      <c r="T85" s="26"/>
      <c r="U85" s="119"/>
    </row>
    <row r="86" spans="1:21" x14ac:dyDescent="0.25">
      <c r="A86" s="34"/>
      <c r="B86" s="35"/>
      <c r="C86" s="80"/>
      <c r="D86" s="36" t="s">
        <v>162</v>
      </c>
      <c r="E86" s="37"/>
      <c r="F86" s="147"/>
      <c r="G86" s="147">
        <v>9730</v>
      </c>
      <c r="H86" s="147"/>
      <c r="I86" s="189">
        <v>46296</v>
      </c>
      <c r="J86" s="106"/>
      <c r="K86" s="38"/>
      <c r="L86" s="101"/>
      <c r="M86" s="102"/>
      <c r="N86" s="103"/>
      <c r="O86" s="95"/>
      <c r="P86" s="26"/>
      <c r="Q86" s="26"/>
      <c r="R86" s="26"/>
      <c r="S86" s="26"/>
      <c r="T86" s="26"/>
      <c r="U86" s="119"/>
    </row>
    <row r="87" spans="1:21" x14ac:dyDescent="0.25">
      <c r="A87" s="70"/>
      <c r="B87" s="131"/>
      <c r="C87" s="70"/>
      <c r="D87" s="23" t="s">
        <v>15</v>
      </c>
      <c r="E87" s="24" t="s">
        <v>19</v>
      </c>
      <c r="F87" s="23">
        <f>SUM(F49:F82)</f>
        <v>25100</v>
      </c>
      <c r="G87" s="23">
        <f>SUM(G49:G86)</f>
        <v>9730</v>
      </c>
      <c r="H87" s="23"/>
      <c r="I87" s="23"/>
      <c r="J87" s="23">
        <f>F87-G87</f>
        <v>15370</v>
      </c>
      <c r="K87" s="24" t="s">
        <v>16</v>
      </c>
      <c r="L87" s="25">
        <f>SUM(L49:L82)</f>
        <v>0</v>
      </c>
      <c r="M87" s="25">
        <f>SUM(M49:M86)</f>
        <v>0</v>
      </c>
      <c r="N87" s="25">
        <f>SUM(N49:N86)</f>
        <v>25100</v>
      </c>
      <c r="O87" s="25">
        <f>SUM(O44:O48)</f>
        <v>0</v>
      </c>
      <c r="P87" s="26"/>
      <c r="Q87" s="26"/>
      <c r="R87" s="26"/>
      <c r="S87" s="26"/>
      <c r="T87" s="26"/>
      <c r="U87" s="119"/>
    </row>
    <row r="88" spans="1:21" x14ac:dyDescent="0.25">
      <c r="A88" s="81" t="s">
        <v>165</v>
      </c>
      <c r="B88" s="79" t="s">
        <v>98</v>
      </c>
      <c r="C88" s="79" t="s">
        <v>50</v>
      </c>
      <c r="D88" s="157" t="s">
        <v>99</v>
      </c>
      <c r="E88" s="75" t="s">
        <v>22</v>
      </c>
      <c r="F88" s="157">
        <v>800</v>
      </c>
      <c r="G88" s="47"/>
      <c r="H88" s="191"/>
      <c r="I88" s="47"/>
      <c r="J88" s="70">
        <f t="shared" ref="J88:J103" si="3">F88-G88</f>
        <v>800</v>
      </c>
      <c r="K88" s="75" t="s">
        <v>78</v>
      </c>
      <c r="L88" s="63"/>
      <c r="M88" s="65"/>
      <c r="N88" s="177">
        <v>800</v>
      </c>
      <c r="O88" s="115"/>
      <c r="P88" s="174">
        <v>2.3E-2</v>
      </c>
      <c r="Q88" s="175">
        <v>0</v>
      </c>
      <c r="R88" s="175">
        <v>0</v>
      </c>
      <c r="S88" s="175">
        <v>0</v>
      </c>
      <c r="T88" s="174">
        <v>0</v>
      </c>
      <c r="U88" s="119"/>
    </row>
    <row r="89" spans="1:21" x14ac:dyDescent="0.25">
      <c r="A89" s="81" t="s">
        <v>165</v>
      </c>
      <c r="B89" s="79" t="s">
        <v>98</v>
      </c>
      <c r="C89" s="79" t="s">
        <v>51</v>
      </c>
      <c r="D89" s="157" t="s">
        <v>99</v>
      </c>
      <c r="E89" s="75" t="s">
        <v>22</v>
      </c>
      <c r="F89" s="157">
        <v>800</v>
      </c>
      <c r="G89" s="47"/>
      <c r="H89" s="191"/>
      <c r="I89" s="47"/>
      <c r="J89" s="70">
        <f t="shared" si="3"/>
        <v>800</v>
      </c>
      <c r="K89" s="75" t="s">
        <v>78</v>
      </c>
      <c r="L89" s="63"/>
      <c r="M89" s="65"/>
      <c r="N89" s="177">
        <v>800</v>
      </c>
      <c r="O89" s="115"/>
      <c r="P89" s="174">
        <v>1.9E-2</v>
      </c>
      <c r="Q89" s="175">
        <v>0</v>
      </c>
      <c r="R89" s="175">
        <v>0</v>
      </c>
      <c r="S89" s="175">
        <v>0</v>
      </c>
      <c r="T89" s="174">
        <v>0</v>
      </c>
      <c r="U89" s="119"/>
    </row>
    <row r="90" spans="1:21" x14ac:dyDescent="0.25">
      <c r="A90" s="81" t="s">
        <v>165</v>
      </c>
      <c r="B90" s="79" t="s">
        <v>98</v>
      </c>
      <c r="C90" s="79" t="s">
        <v>51</v>
      </c>
      <c r="D90" s="157" t="s">
        <v>99</v>
      </c>
      <c r="E90" s="75" t="s">
        <v>22</v>
      </c>
      <c r="F90" s="69">
        <v>700</v>
      </c>
      <c r="G90" s="46"/>
      <c r="H90" s="191"/>
      <c r="I90" s="46"/>
      <c r="J90" s="70">
        <f t="shared" si="3"/>
        <v>700</v>
      </c>
      <c r="K90" s="75" t="s">
        <v>78</v>
      </c>
      <c r="L90" s="63"/>
      <c r="M90" s="28"/>
      <c r="N90" s="164">
        <v>700</v>
      </c>
      <c r="O90" s="95"/>
      <c r="P90" s="18">
        <v>1.6E-2</v>
      </c>
      <c r="Q90" s="26">
        <v>0</v>
      </c>
      <c r="R90" s="26">
        <v>0</v>
      </c>
      <c r="S90" s="26">
        <v>0</v>
      </c>
      <c r="T90" s="18">
        <v>0</v>
      </c>
      <c r="U90" s="119"/>
    </row>
    <row r="91" spans="1:21" x14ac:dyDescent="0.25">
      <c r="A91" s="108" t="s">
        <v>105</v>
      </c>
      <c r="B91" s="79" t="s">
        <v>98</v>
      </c>
      <c r="C91" s="79" t="s">
        <v>51</v>
      </c>
      <c r="D91" s="157" t="s">
        <v>99</v>
      </c>
      <c r="E91" s="75" t="s">
        <v>92</v>
      </c>
      <c r="F91" s="58"/>
      <c r="G91" s="47"/>
      <c r="H91" s="157" t="s">
        <v>161</v>
      </c>
      <c r="I91" s="47"/>
      <c r="J91" s="70">
        <f t="shared" si="3"/>
        <v>0</v>
      </c>
      <c r="K91" s="68" t="s">
        <v>78</v>
      </c>
      <c r="L91" s="63"/>
      <c r="M91" s="65"/>
      <c r="N91" s="66"/>
      <c r="O91" s="115"/>
      <c r="P91" s="18">
        <v>1.2E-2</v>
      </c>
      <c r="Q91" s="18">
        <v>0</v>
      </c>
      <c r="R91" s="18">
        <v>0</v>
      </c>
      <c r="S91" s="18">
        <v>0</v>
      </c>
      <c r="T91" s="94">
        <v>8.9999999999999993E-3</v>
      </c>
      <c r="U91" s="123"/>
    </row>
    <row r="92" spans="1:21" x14ac:dyDescent="0.25">
      <c r="A92" s="108"/>
      <c r="B92" s="79"/>
      <c r="C92" s="79"/>
      <c r="D92" s="157"/>
      <c r="E92" s="75"/>
      <c r="F92" s="58"/>
      <c r="G92" s="47"/>
      <c r="H92" s="47"/>
      <c r="I92" s="47"/>
      <c r="J92" s="70">
        <f t="shared" si="3"/>
        <v>0</v>
      </c>
      <c r="K92" s="68"/>
      <c r="L92" s="63"/>
      <c r="M92" s="65"/>
      <c r="N92" s="66"/>
      <c r="O92" s="115"/>
      <c r="P92" s="18"/>
      <c r="Q92" s="18"/>
      <c r="R92" s="18"/>
      <c r="S92" s="18"/>
      <c r="T92" s="94"/>
      <c r="U92" s="123"/>
    </row>
    <row r="93" spans="1:21" x14ac:dyDescent="0.25">
      <c r="A93" s="108"/>
      <c r="B93" s="79"/>
      <c r="C93" s="79"/>
      <c r="D93" s="157"/>
      <c r="E93" s="75"/>
      <c r="F93" s="58"/>
      <c r="G93" s="47"/>
      <c r="H93" s="47"/>
      <c r="I93" s="47"/>
      <c r="J93" s="70">
        <f t="shared" si="3"/>
        <v>0</v>
      </c>
      <c r="K93" s="68"/>
      <c r="L93" s="63"/>
      <c r="M93" s="65"/>
      <c r="N93" s="66"/>
      <c r="O93" s="115"/>
      <c r="P93" s="18"/>
      <c r="Q93" s="18"/>
      <c r="R93" s="18"/>
      <c r="S93" s="18"/>
      <c r="T93" s="94"/>
      <c r="U93" s="123"/>
    </row>
    <row r="94" spans="1:21" x14ac:dyDescent="0.25">
      <c r="A94" s="108" t="s">
        <v>169</v>
      </c>
      <c r="B94" s="79" t="s">
        <v>98</v>
      </c>
      <c r="C94" s="79" t="s">
        <v>171</v>
      </c>
      <c r="D94" s="157" t="s">
        <v>76</v>
      </c>
      <c r="E94" s="75" t="s">
        <v>22</v>
      </c>
      <c r="F94" s="58">
        <v>990</v>
      </c>
      <c r="G94" s="47"/>
      <c r="H94" s="47"/>
      <c r="I94" s="47"/>
      <c r="J94" s="70">
        <f t="shared" si="3"/>
        <v>990</v>
      </c>
      <c r="K94" s="68" t="s">
        <v>78</v>
      </c>
      <c r="L94" s="63"/>
      <c r="M94" s="65"/>
      <c r="N94" s="66">
        <v>990</v>
      </c>
      <c r="O94" s="115"/>
      <c r="P94" s="18">
        <v>0.36499999999999999</v>
      </c>
      <c r="Q94" s="18">
        <v>0</v>
      </c>
      <c r="R94" s="18">
        <v>0</v>
      </c>
      <c r="S94" s="18">
        <v>0</v>
      </c>
      <c r="T94" s="94">
        <v>0.13900000000000001</v>
      </c>
      <c r="U94" s="123"/>
    </row>
    <row r="95" spans="1:21" x14ac:dyDescent="0.25">
      <c r="A95" s="108" t="s">
        <v>169</v>
      </c>
      <c r="B95" s="79" t="s">
        <v>98</v>
      </c>
      <c r="C95" s="79" t="s">
        <v>171</v>
      </c>
      <c r="D95" s="157" t="s">
        <v>76</v>
      </c>
      <c r="E95" s="75" t="s">
        <v>22</v>
      </c>
      <c r="F95" s="58">
        <v>872</v>
      </c>
      <c r="G95" s="47"/>
      <c r="H95" s="47"/>
      <c r="I95" s="47"/>
      <c r="J95" s="70">
        <f t="shared" si="3"/>
        <v>872</v>
      </c>
      <c r="K95" s="68" t="s">
        <v>78</v>
      </c>
      <c r="L95" s="63"/>
      <c r="M95" s="65"/>
      <c r="N95" s="66">
        <v>872</v>
      </c>
      <c r="O95" s="115"/>
      <c r="P95" s="18">
        <v>0.39200000000000002</v>
      </c>
      <c r="Q95" s="18">
        <v>0</v>
      </c>
      <c r="R95" s="18">
        <v>0</v>
      </c>
      <c r="S95" s="18">
        <v>0</v>
      </c>
      <c r="T95" s="94">
        <v>0.16400000000000001</v>
      </c>
      <c r="U95" s="123"/>
    </row>
    <row r="96" spans="1:21" x14ac:dyDescent="0.25">
      <c r="A96" s="108" t="s">
        <v>178</v>
      </c>
      <c r="B96" s="79" t="s">
        <v>98</v>
      </c>
      <c r="C96" s="79" t="s">
        <v>179</v>
      </c>
      <c r="D96" s="157" t="s">
        <v>76</v>
      </c>
      <c r="E96" s="75" t="s">
        <v>22</v>
      </c>
      <c r="F96" s="58">
        <v>931</v>
      </c>
      <c r="G96" s="47"/>
      <c r="H96" s="47"/>
      <c r="I96" s="47"/>
      <c r="J96" s="70">
        <f t="shared" si="3"/>
        <v>931</v>
      </c>
      <c r="K96" s="68" t="s">
        <v>78</v>
      </c>
      <c r="L96" s="63"/>
      <c r="M96" s="65"/>
      <c r="N96" s="66">
        <v>931</v>
      </c>
      <c r="O96" s="115"/>
      <c r="P96" s="18">
        <v>0.35599999999999998</v>
      </c>
      <c r="Q96" s="18">
        <v>0</v>
      </c>
      <c r="R96" s="18">
        <v>0</v>
      </c>
      <c r="S96" s="18">
        <v>0</v>
      </c>
      <c r="T96" s="94">
        <v>0.23599999999999999</v>
      </c>
      <c r="U96" s="123"/>
    </row>
    <row r="97" spans="1:21" x14ac:dyDescent="0.25">
      <c r="A97" s="108" t="s">
        <v>178</v>
      </c>
      <c r="B97" s="79" t="s">
        <v>98</v>
      </c>
      <c r="C97" s="79" t="s">
        <v>179</v>
      </c>
      <c r="D97" s="157" t="s">
        <v>76</v>
      </c>
      <c r="E97" s="75" t="s">
        <v>22</v>
      </c>
      <c r="F97" s="58">
        <v>949</v>
      </c>
      <c r="G97" s="47"/>
      <c r="H97" s="47"/>
      <c r="I97" s="47"/>
      <c r="J97" s="70">
        <f t="shared" si="3"/>
        <v>949</v>
      </c>
      <c r="K97" s="68" t="s">
        <v>78</v>
      </c>
      <c r="L97" s="63"/>
      <c r="M97" s="65"/>
      <c r="N97" s="66">
        <v>949</v>
      </c>
      <c r="O97" s="115"/>
      <c r="P97" s="18">
        <v>0.41299999999999998</v>
      </c>
      <c r="Q97" s="18">
        <v>0</v>
      </c>
      <c r="R97" s="18">
        <v>0</v>
      </c>
      <c r="S97" s="18">
        <v>0</v>
      </c>
      <c r="T97" s="94">
        <v>0.19700000000000001</v>
      </c>
      <c r="U97" s="123"/>
    </row>
    <row r="98" spans="1:21" x14ac:dyDescent="0.25">
      <c r="A98" s="108" t="s">
        <v>178</v>
      </c>
      <c r="B98" s="79" t="s">
        <v>98</v>
      </c>
      <c r="C98" s="79" t="s">
        <v>179</v>
      </c>
      <c r="D98" s="157" t="s">
        <v>76</v>
      </c>
      <c r="E98" s="75" t="s">
        <v>22</v>
      </c>
      <c r="F98" s="58">
        <v>1026</v>
      </c>
      <c r="G98" s="47"/>
      <c r="H98" s="47"/>
      <c r="I98" s="47"/>
      <c r="J98" s="70">
        <f t="shared" si="3"/>
        <v>1026</v>
      </c>
      <c r="K98" s="68" t="s">
        <v>78</v>
      </c>
      <c r="L98" s="63"/>
      <c r="M98" s="65"/>
      <c r="N98" s="66">
        <v>1026</v>
      </c>
      <c r="O98" s="115"/>
      <c r="P98" s="18">
        <v>8.9999999999999993E-3</v>
      </c>
      <c r="Q98" s="18">
        <v>0</v>
      </c>
      <c r="R98" s="18">
        <v>0</v>
      </c>
      <c r="S98" s="18">
        <v>0</v>
      </c>
      <c r="T98" s="94">
        <v>4.0000000000000001E-3</v>
      </c>
      <c r="U98" s="123"/>
    </row>
    <row r="99" spans="1:21" x14ac:dyDescent="0.25">
      <c r="A99" s="108" t="s">
        <v>178</v>
      </c>
      <c r="B99" s="79" t="s">
        <v>98</v>
      </c>
      <c r="C99" s="79" t="s">
        <v>179</v>
      </c>
      <c r="D99" s="157" t="s">
        <v>76</v>
      </c>
      <c r="E99" s="75" t="s">
        <v>22</v>
      </c>
      <c r="F99" s="58">
        <v>926</v>
      </c>
      <c r="G99" s="47"/>
      <c r="H99" s="47"/>
      <c r="I99" s="47"/>
      <c r="J99" s="70">
        <f t="shared" si="3"/>
        <v>926</v>
      </c>
      <c r="K99" s="68" t="s">
        <v>78</v>
      </c>
      <c r="L99" s="63"/>
      <c r="M99" s="65"/>
      <c r="N99" s="66">
        <v>926</v>
      </c>
      <c r="O99" s="115"/>
      <c r="P99" s="18">
        <v>0.307</v>
      </c>
      <c r="Q99" s="18">
        <v>0</v>
      </c>
      <c r="R99" s="18">
        <v>0</v>
      </c>
      <c r="S99" s="18">
        <v>0</v>
      </c>
      <c r="T99" s="94">
        <v>0.158</v>
      </c>
      <c r="U99" s="123"/>
    </row>
    <row r="100" spans="1:21" x14ac:dyDescent="0.25">
      <c r="A100" s="108" t="s">
        <v>183</v>
      </c>
      <c r="B100" s="79" t="s">
        <v>98</v>
      </c>
      <c r="C100" s="79" t="s">
        <v>77</v>
      </c>
      <c r="D100" s="157" t="s">
        <v>76</v>
      </c>
      <c r="E100" s="75" t="s">
        <v>22</v>
      </c>
      <c r="F100" s="58">
        <v>890</v>
      </c>
      <c r="G100" s="47"/>
      <c r="H100" s="47"/>
      <c r="I100" s="47"/>
      <c r="J100" s="70">
        <f t="shared" si="3"/>
        <v>890</v>
      </c>
      <c r="K100" s="68" t="s">
        <v>78</v>
      </c>
      <c r="L100" s="63"/>
      <c r="M100" s="65"/>
      <c r="N100" s="66">
        <v>890</v>
      </c>
      <c r="O100" s="115"/>
      <c r="P100" s="18">
        <v>0.27500000000000002</v>
      </c>
      <c r="Q100" s="18">
        <v>0</v>
      </c>
      <c r="R100" s="18">
        <v>0</v>
      </c>
      <c r="S100" s="18">
        <v>0</v>
      </c>
      <c r="T100" s="94">
        <v>0.11600000000000001</v>
      </c>
      <c r="U100" s="123"/>
    </row>
    <row r="101" spans="1:21" x14ac:dyDescent="0.25">
      <c r="A101" s="108" t="s">
        <v>183</v>
      </c>
      <c r="B101" s="79" t="s">
        <v>98</v>
      </c>
      <c r="C101" s="79" t="s">
        <v>77</v>
      </c>
      <c r="D101" s="157" t="s">
        <v>76</v>
      </c>
      <c r="E101" s="75" t="s">
        <v>22</v>
      </c>
      <c r="F101" s="58">
        <v>940</v>
      </c>
      <c r="G101" s="47"/>
      <c r="H101" s="47"/>
      <c r="I101" s="47"/>
      <c r="J101" s="70">
        <f t="shared" si="3"/>
        <v>940</v>
      </c>
      <c r="K101" s="68" t="s">
        <v>78</v>
      </c>
      <c r="L101" s="63"/>
      <c r="M101" s="65"/>
      <c r="N101" s="66">
        <v>940</v>
      </c>
      <c r="O101" s="115"/>
      <c r="P101" s="18">
        <v>0.28399999999999997</v>
      </c>
      <c r="Q101" s="18">
        <v>0</v>
      </c>
      <c r="R101" s="18">
        <v>0</v>
      </c>
      <c r="S101" s="18">
        <v>0</v>
      </c>
      <c r="T101" s="94">
        <v>0.158</v>
      </c>
      <c r="U101" s="123"/>
    </row>
    <row r="102" spans="1:21" x14ac:dyDescent="0.25">
      <c r="A102" s="108" t="s">
        <v>183</v>
      </c>
      <c r="B102" s="79" t="s">
        <v>184</v>
      </c>
      <c r="C102" s="79" t="s">
        <v>77</v>
      </c>
      <c r="D102" s="157" t="s">
        <v>76</v>
      </c>
      <c r="E102" s="75" t="s">
        <v>22</v>
      </c>
      <c r="F102" s="58">
        <v>746</v>
      </c>
      <c r="G102" s="47"/>
      <c r="H102" s="47"/>
      <c r="I102" s="47"/>
      <c r="J102" s="70">
        <f t="shared" si="3"/>
        <v>746</v>
      </c>
      <c r="K102" s="68" t="s">
        <v>78</v>
      </c>
      <c r="L102" s="63"/>
      <c r="M102" s="65"/>
      <c r="N102" s="66">
        <v>746</v>
      </c>
      <c r="O102" s="115"/>
      <c r="P102" s="18">
        <v>1.2E-2</v>
      </c>
      <c r="Q102" s="18">
        <v>0</v>
      </c>
      <c r="R102" s="18">
        <v>0</v>
      </c>
      <c r="S102" s="18">
        <v>0</v>
      </c>
      <c r="T102" s="94">
        <v>8.0000000000000002E-3</v>
      </c>
      <c r="U102" s="123"/>
    </row>
    <row r="103" spans="1:21" x14ac:dyDescent="0.25">
      <c r="A103" s="81"/>
      <c r="B103" s="132"/>
      <c r="C103" s="82"/>
      <c r="D103" s="70"/>
      <c r="E103" s="57"/>
      <c r="F103" s="58"/>
      <c r="G103" s="47"/>
      <c r="H103" s="47"/>
      <c r="I103" s="47"/>
      <c r="J103" s="70">
        <f t="shared" si="3"/>
        <v>0</v>
      </c>
      <c r="K103" s="55"/>
      <c r="L103" s="63"/>
      <c r="M103" s="65"/>
      <c r="N103" s="107"/>
      <c r="O103" s="115"/>
      <c r="P103" s="18"/>
      <c r="Q103" s="18"/>
      <c r="R103" s="18"/>
      <c r="S103" s="29"/>
      <c r="T103" s="29"/>
      <c r="U103" s="123"/>
    </row>
    <row r="104" spans="1:21" x14ac:dyDescent="0.25">
      <c r="A104" s="124"/>
      <c r="B104" s="133"/>
      <c r="C104" s="125"/>
      <c r="D104" s="126"/>
      <c r="E104" s="87"/>
      <c r="F104" s="88"/>
      <c r="G104" s="89"/>
      <c r="H104" s="89"/>
      <c r="I104" s="89"/>
      <c r="J104" s="127"/>
      <c r="K104" s="90"/>
      <c r="L104" s="63"/>
      <c r="M104" s="64"/>
      <c r="N104" s="107"/>
      <c r="O104" s="115"/>
      <c r="P104" s="18"/>
      <c r="Q104" s="18"/>
      <c r="R104" s="18"/>
      <c r="S104" s="18"/>
      <c r="T104" s="18"/>
      <c r="U104" s="122"/>
    </row>
    <row r="105" spans="1:21" x14ac:dyDescent="0.25">
      <c r="A105" s="124"/>
      <c r="B105" s="133"/>
      <c r="C105" s="125"/>
      <c r="D105" s="127"/>
      <c r="E105" s="87"/>
      <c r="F105" s="88"/>
      <c r="G105" s="91"/>
      <c r="H105" s="91"/>
      <c r="I105" s="91"/>
      <c r="J105" s="127"/>
      <c r="K105" s="144"/>
      <c r="L105" s="63"/>
      <c r="M105" s="65"/>
      <c r="N105" s="107"/>
      <c r="O105" s="115"/>
      <c r="P105" s="18"/>
      <c r="Q105" s="18"/>
      <c r="R105" s="18"/>
      <c r="S105" s="18"/>
      <c r="T105" s="18"/>
      <c r="U105" s="122"/>
    </row>
    <row r="106" spans="1:21" x14ac:dyDescent="0.25">
      <c r="A106" s="127"/>
      <c r="B106" s="134"/>
      <c r="C106" s="125"/>
      <c r="D106" s="127"/>
      <c r="E106" s="87"/>
      <c r="F106" s="88"/>
      <c r="G106" s="91"/>
      <c r="H106" s="91"/>
      <c r="I106" s="91"/>
      <c r="J106" s="127"/>
      <c r="K106" s="90"/>
      <c r="L106" s="56"/>
      <c r="M106" s="65"/>
      <c r="N106" s="107"/>
      <c r="O106" s="115"/>
      <c r="P106" s="18"/>
      <c r="Q106" s="18"/>
      <c r="R106" s="18"/>
      <c r="S106" s="18"/>
      <c r="T106" s="18"/>
      <c r="U106" s="123"/>
    </row>
    <row r="107" spans="1:21" x14ac:dyDescent="0.25">
      <c r="A107" s="128"/>
      <c r="B107" s="135"/>
      <c r="C107" s="129"/>
      <c r="D107" s="23" t="s">
        <v>15</v>
      </c>
      <c r="E107" s="52" t="s">
        <v>22</v>
      </c>
      <c r="F107" s="23">
        <f>SUM(F88:F106)</f>
        <v>10570</v>
      </c>
      <c r="G107" s="23">
        <f>SUM(G88:G106)</f>
        <v>0</v>
      </c>
      <c r="H107" s="23"/>
      <c r="I107" s="23"/>
      <c r="J107" s="23">
        <f>F107-G107</f>
        <v>10570</v>
      </c>
      <c r="K107" s="24" t="s">
        <v>16</v>
      </c>
      <c r="L107" s="25">
        <f>SUM(L88:L103)</f>
        <v>0</v>
      </c>
      <c r="M107" s="25">
        <f>SUM(M88:M103)</f>
        <v>0</v>
      </c>
      <c r="N107" s="25">
        <f>SUM(N88:N106)</f>
        <v>10570</v>
      </c>
      <c r="O107" s="25">
        <f>SUM(O88:O106)</f>
        <v>0</v>
      </c>
      <c r="P107" s="18"/>
      <c r="Q107" s="18"/>
      <c r="R107" s="18"/>
      <c r="S107" s="18"/>
      <c r="T107" s="18"/>
      <c r="U107" s="123"/>
    </row>
    <row r="108" spans="1:21" x14ac:dyDescent="0.25">
      <c r="A108" s="128"/>
      <c r="B108" s="135"/>
      <c r="C108" s="129"/>
      <c r="D108" s="23"/>
      <c r="E108" s="52"/>
      <c r="F108" s="23"/>
      <c r="G108" s="23"/>
      <c r="H108" s="23"/>
      <c r="I108" s="23"/>
      <c r="J108" s="23"/>
      <c r="K108" s="24"/>
      <c r="L108" s="25"/>
      <c r="M108" s="25"/>
      <c r="N108" s="25"/>
      <c r="O108" s="25"/>
      <c r="P108" s="18"/>
      <c r="Q108" s="18"/>
      <c r="R108" s="18"/>
      <c r="S108" s="18"/>
      <c r="T108" s="18"/>
      <c r="U108" s="123"/>
    </row>
    <row r="109" spans="1:21" x14ac:dyDescent="0.25">
      <c r="A109" s="81" t="s">
        <v>178</v>
      </c>
      <c r="B109" s="79" t="s">
        <v>98</v>
      </c>
      <c r="C109" s="79" t="s">
        <v>182</v>
      </c>
      <c r="D109" s="157" t="s">
        <v>76</v>
      </c>
      <c r="E109" s="75" t="s">
        <v>138</v>
      </c>
      <c r="F109" s="172">
        <v>665</v>
      </c>
      <c r="G109" s="47"/>
      <c r="H109" s="47"/>
      <c r="I109" s="47"/>
      <c r="J109" s="70"/>
      <c r="K109" s="68" t="s">
        <v>78</v>
      </c>
      <c r="L109" s="63"/>
      <c r="M109" s="64"/>
      <c r="N109" s="177">
        <v>665</v>
      </c>
      <c r="O109" s="25"/>
      <c r="P109" s="18">
        <v>0.36499999999999999</v>
      </c>
      <c r="Q109" s="18">
        <v>0.22</v>
      </c>
      <c r="R109" s="18">
        <v>0.18</v>
      </c>
      <c r="S109" s="18">
        <v>0</v>
      </c>
      <c r="T109" s="18">
        <v>5.0000000000000001E-3</v>
      </c>
      <c r="U109" s="123"/>
    </row>
    <row r="110" spans="1:21" x14ac:dyDescent="0.25">
      <c r="A110" s="81" t="s">
        <v>178</v>
      </c>
      <c r="B110" s="79" t="s">
        <v>98</v>
      </c>
      <c r="C110" s="79" t="s">
        <v>182</v>
      </c>
      <c r="D110" s="157" t="s">
        <v>76</v>
      </c>
      <c r="E110" s="75" t="s">
        <v>137</v>
      </c>
      <c r="F110" s="173">
        <v>653</v>
      </c>
      <c r="G110" s="46"/>
      <c r="H110" s="47"/>
      <c r="I110" s="46"/>
      <c r="J110" s="70"/>
      <c r="K110" s="68" t="s">
        <v>78</v>
      </c>
      <c r="L110" s="63"/>
      <c r="M110" s="65"/>
      <c r="N110" s="177">
        <v>653</v>
      </c>
      <c r="O110" s="115"/>
      <c r="P110" s="18">
        <v>0.32900000000000001</v>
      </c>
      <c r="Q110" s="18">
        <v>0.25</v>
      </c>
      <c r="R110" s="18">
        <v>0.23</v>
      </c>
      <c r="S110" s="18">
        <v>0</v>
      </c>
      <c r="T110" s="18">
        <v>1.9E-2</v>
      </c>
      <c r="U110" s="123"/>
    </row>
    <row r="111" spans="1:21" x14ac:dyDescent="0.25">
      <c r="A111" s="70"/>
      <c r="B111" s="131"/>
      <c r="C111" s="70"/>
      <c r="D111" s="23" t="s">
        <v>15</v>
      </c>
      <c r="E111" s="52" t="s">
        <v>39</v>
      </c>
      <c r="F111" s="25">
        <f>SUM(F109:F110)</f>
        <v>1318</v>
      </c>
      <c r="G111" s="25">
        <f>SUM(G109:G110)</f>
        <v>0</v>
      </c>
      <c r="H111" s="23"/>
      <c r="I111" s="23"/>
      <c r="J111" s="25">
        <f>F111-G111</f>
        <v>1318</v>
      </c>
      <c r="K111" s="24" t="s">
        <v>16</v>
      </c>
      <c r="L111" s="25">
        <f>SUM(L109:L110)</f>
        <v>0</v>
      </c>
      <c r="M111" s="25">
        <f>SUM(M91:M110)</f>
        <v>0</v>
      </c>
      <c r="N111" s="25">
        <f>SUM(N109:N110)</f>
        <v>1318</v>
      </c>
      <c r="O111" s="25">
        <f>SUM(O91:O110)</f>
        <v>0</v>
      </c>
      <c r="P111" s="26"/>
      <c r="Q111" s="26"/>
      <c r="R111" s="26"/>
      <c r="S111" s="26"/>
      <c r="T111" s="26"/>
      <c r="U111" s="111"/>
    </row>
    <row r="112" spans="1:21" x14ac:dyDescent="0.25">
      <c r="A112" s="70"/>
      <c r="B112" s="131"/>
      <c r="C112" s="81"/>
      <c r="D112" s="70"/>
      <c r="E112" s="108"/>
      <c r="F112" s="70"/>
      <c r="G112" s="70"/>
      <c r="H112" s="70"/>
      <c r="I112" s="70"/>
      <c r="J112" s="70"/>
      <c r="K112" s="70"/>
      <c r="L112" s="101"/>
      <c r="M112" s="109"/>
      <c r="N112" s="107"/>
      <c r="O112" s="115"/>
      <c r="P112" s="26"/>
      <c r="Q112" s="26"/>
      <c r="R112" s="26"/>
      <c r="S112" s="26"/>
      <c r="T112" s="26"/>
      <c r="U112" s="111"/>
    </row>
    <row r="113" spans="1:21" x14ac:dyDescent="0.25">
      <c r="A113" s="70"/>
      <c r="B113" s="131"/>
      <c r="C113" s="70"/>
      <c r="D113" s="70"/>
      <c r="E113" s="70"/>
      <c r="F113" s="70"/>
      <c r="G113" s="70"/>
      <c r="H113" s="70"/>
      <c r="I113" s="70"/>
      <c r="J113" s="70"/>
      <c r="K113" s="70"/>
      <c r="L113" s="101"/>
      <c r="M113" s="109"/>
      <c r="N113" s="107"/>
      <c r="O113" s="115"/>
      <c r="P113" s="26"/>
      <c r="Q113" s="26"/>
      <c r="R113" s="26"/>
      <c r="S113" s="26"/>
      <c r="T113" s="70"/>
      <c r="U113" s="111"/>
    </row>
    <row r="114" spans="1:21" x14ac:dyDescent="0.25">
      <c r="A114" s="70"/>
      <c r="B114" s="131"/>
      <c r="C114" s="70"/>
      <c r="D114" s="204" t="s">
        <v>24</v>
      </c>
      <c r="E114" s="205"/>
      <c r="F114" s="39">
        <f>SUM(F17,F48,F87,F107,F111)</f>
        <v>60596</v>
      </c>
      <c r="G114" s="39">
        <f>SUM(G17,G48,G87,G107,G111)</f>
        <v>19730</v>
      </c>
      <c r="H114" s="39"/>
      <c r="I114" s="39"/>
      <c r="J114" s="39">
        <f>SUM(F114-G114)</f>
        <v>40866</v>
      </c>
      <c r="K114" s="40" t="s">
        <v>16</v>
      </c>
      <c r="L114" s="39">
        <f>SUM(L17,L48,L87,L107,L111)</f>
        <v>0</v>
      </c>
      <c r="M114" s="39">
        <f>SUM(M17,M48,M87,M107,M111)</f>
        <v>0</v>
      </c>
      <c r="N114" s="39">
        <f>SUM(N17,N48,N87,N107,N111)</f>
        <v>60596</v>
      </c>
      <c r="O114" s="39">
        <f>SUM(O17,O48,O87,O107,O111)</f>
        <v>0</v>
      </c>
      <c r="P114" s="26"/>
      <c r="Q114" s="26"/>
      <c r="R114" s="26"/>
      <c r="S114" s="26"/>
      <c r="T114" s="70"/>
      <c r="U114" s="111"/>
    </row>
    <row r="115" spans="1:21" x14ac:dyDescent="0.25">
      <c r="A115" s="111"/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6"/>
      <c r="Q115" s="116"/>
      <c r="R115" s="116"/>
      <c r="S115" s="116"/>
      <c r="T115" s="111"/>
      <c r="U115" s="111"/>
    </row>
    <row r="116" spans="1:21" ht="18" x14ac:dyDescent="0.25">
      <c r="A116" s="111"/>
      <c r="B116" s="111"/>
      <c r="C116" s="111"/>
      <c r="D116" s="41"/>
      <c r="E116" s="111"/>
      <c r="F116" s="111"/>
      <c r="G116" s="111"/>
      <c r="H116" s="111"/>
      <c r="I116" s="111"/>
      <c r="J116" s="111"/>
      <c r="K116" s="42" t="s">
        <v>20</v>
      </c>
      <c r="L116" s="42">
        <f>F114-L114-M114-N114-O114</f>
        <v>0</v>
      </c>
      <c r="M116" s="111"/>
      <c r="N116" s="111"/>
      <c r="O116" s="111"/>
      <c r="P116" s="111"/>
      <c r="Q116" s="111"/>
      <c r="R116" s="111"/>
      <c r="S116" s="111"/>
      <c r="T116" s="111"/>
      <c r="U116" s="111"/>
    </row>
    <row r="117" spans="1:21" x14ac:dyDescent="0.25">
      <c r="A117" s="111"/>
      <c r="B117" s="111"/>
      <c r="C117" s="111"/>
      <c r="D117" s="43"/>
      <c r="E117" s="111"/>
      <c r="F117" s="111"/>
      <c r="G117" s="111"/>
      <c r="H117" s="111"/>
      <c r="I117" s="111"/>
      <c r="J117" s="111"/>
      <c r="K117" s="111"/>
      <c r="L117" s="111"/>
      <c r="M117" s="111"/>
      <c r="N117" s="111"/>
      <c r="O117" s="111"/>
      <c r="P117" s="111"/>
      <c r="Q117" s="111"/>
      <c r="R117" s="111"/>
      <c r="S117" s="111"/>
      <c r="T117" s="111"/>
      <c r="U117" s="111"/>
    </row>
    <row r="118" spans="1:21" x14ac:dyDescent="0.25">
      <c r="A118" s="111"/>
      <c r="B118" s="111"/>
      <c r="C118" s="111"/>
      <c r="D118" s="43"/>
      <c r="E118" s="111"/>
      <c r="F118" s="111"/>
      <c r="G118" s="48"/>
      <c r="H118" s="48"/>
      <c r="I118" s="48"/>
      <c r="J118" s="48"/>
      <c r="K118" s="111"/>
      <c r="L118" s="111"/>
      <c r="M118" s="111"/>
      <c r="N118" s="111"/>
      <c r="O118" s="111"/>
      <c r="P118" s="111"/>
      <c r="Q118" s="111"/>
      <c r="R118" s="111"/>
      <c r="S118" s="111"/>
      <c r="T118" s="111"/>
      <c r="U118" s="111"/>
    </row>
    <row r="119" spans="1:21" x14ac:dyDescent="0.25">
      <c r="A119" s="111"/>
      <c r="B119" s="111"/>
      <c r="C119" s="111"/>
      <c r="D119" s="43"/>
      <c r="E119" s="111"/>
      <c r="F119" s="111"/>
      <c r="G119" s="111"/>
      <c r="H119" s="111"/>
      <c r="I119" s="111"/>
      <c r="J119" s="111"/>
      <c r="K119" s="111"/>
      <c r="L119" s="111"/>
      <c r="M119" s="111"/>
      <c r="N119" s="111"/>
      <c r="O119" s="111"/>
      <c r="P119" s="111"/>
      <c r="Q119" s="111"/>
      <c r="R119" s="111"/>
      <c r="S119" s="111"/>
      <c r="T119" s="111"/>
      <c r="U119" s="111"/>
    </row>
    <row r="120" spans="1:21" x14ac:dyDescent="0.25">
      <c r="A120" s="111"/>
      <c r="B120" s="111"/>
      <c r="C120" s="111"/>
      <c r="D120" s="43"/>
      <c r="E120" s="111"/>
      <c r="F120" s="111"/>
      <c r="G120" s="111"/>
      <c r="H120" s="111"/>
      <c r="I120" s="111"/>
      <c r="J120" s="111"/>
      <c r="K120" s="111"/>
      <c r="L120" s="111"/>
      <c r="M120" s="111"/>
      <c r="N120" s="111"/>
      <c r="O120" s="111"/>
      <c r="P120" s="111"/>
      <c r="Q120" s="111"/>
      <c r="R120" s="111"/>
      <c r="S120" s="111"/>
      <c r="T120" s="111"/>
      <c r="U120" s="111"/>
    </row>
    <row r="121" spans="1:21" x14ac:dyDescent="0.25">
      <c r="A121" s="111"/>
      <c r="B121" s="111"/>
      <c r="C121" s="111"/>
      <c r="D121" s="111"/>
      <c r="E121" s="111"/>
      <c r="F121" s="111"/>
      <c r="G121" s="111"/>
      <c r="H121" s="111"/>
      <c r="I121" s="111"/>
      <c r="J121" s="111"/>
      <c r="K121" s="111"/>
      <c r="L121" s="111"/>
      <c r="M121" s="111"/>
      <c r="N121" s="111"/>
      <c r="O121" s="111"/>
      <c r="P121" s="111"/>
      <c r="Q121" s="111"/>
      <c r="R121" s="111"/>
      <c r="S121" s="111"/>
      <c r="T121" s="111"/>
      <c r="U121" s="111"/>
    </row>
    <row r="122" spans="1:21" x14ac:dyDescent="0.25">
      <c r="A122" s="111"/>
      <c r="B122" s="111"/>
      <c r="C122" s="111"/>
      <c r="D122" s="111"/>
      <c r="E122" s="111"/>
      <c r="F122" s="111"/>
      <c r="G122" s="111"/>
      <c r="H122" s="111"/>
      <c r="I122" s="111"/>
      <c r="J122" s="111"/>
      <c r="K122" s="111"/>
      <c r="L122" s="111"/>
      <c r="M122" s="111"/>
      <c r="N122" s="111"/>
      <c r="O122" s="111"/>
      <c r="P122" s="111"/>
      <c r="Q122" s="111"/>
      <c r="R122" s="111"/>
      <c r="S122" s="111"/>
      <c r="T122" s="111"/>
      <c r="U122" s="111"/>
    </row>
    <row r="123" spans="1:21" ht="33" x14ac:dyDescent="0.45">
      <c r="A123" s="111"/>
      <c r="B123" s="111"/>
      <c r="C123" s="111"/>
      <c r="D123" s="222" t="s">
        <v>48</v>
      </c>
      <c r="E123" s="223"/>
      <c r="F123" s="223"/>
      <c r="G123" s="223"/>
      <c r="H123" s="223"/>
      <c r="I123" s="223"/>
      <c r="J123" s="223"/>
      <c r="K123" s="223"/>
      <c r="L123" s="223"/>
      <c r="M123" s="224"/>
      <c r="N123" s="111"/>
      <c r="O123" s="111"/>
      <c r="P123" s="111"/>
      <c r="Q123" s="111"/>
      <c r="R123" s="111"/>
      <c r="S123" s="111"/>
      <c r="T123" s="111"/>
      <c r="U123" s="111"/>
    </row>
    <row r="124" spans="1:21" x14ac:dyDescent="0.25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  <c r="M124" s="111"/>
      <c r="N124" s="111"/>
      <c r="O124" s="111"/>
      <c r="P124" s="111"/>
      <c r="Q124" s="111"/>
      <c r="R124" s="111"/>
      <c r="S124" s="111"/>
      <c r="T124" s="111"/>
      <c r="U124" s="111"/>
    </row>
    <row r="125" spans="1:21" x14ac:dyDescent="0.25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  <c r="M125" s="111"/>
      <c r="N125" s="111"/>
      <c r="O125" s="111"/>
      <c r="P125" s="111"/>
      <c r="Q125" s="111"/>
      <c r="R125" s="111"/>
      <c r="S125" s="111"/>
      <c r="T125" s="111"/>
      <c r="U125" s="111"/>
    </row>
    <row r="126" spans="1:21" x14ac:dyDescent="0.25">
      <c r="A126" s="225" t="s">
        <v>25</v>
      </c>
      <c r="B126" s="226"/>
      <c r="C126" s="227"/>
      <c r="D126" s="44" t="s">
        <v>26</v>
      </c>
      <c r="E126" s="59" t="s">
        <v>34</v>
      </c>
      <c r="F126" s="61" t="s">
        <v>33</v>
      </c>
      <c r="G126" s="225" t="s">
        <v>27</v>
      </c>
      <c r="H126" s="227"/>
      <c r="I126" s="225" t="s">
        <v>28</v>
      </c>
      <c r="J126" s="227"/>
      <c r="K126" s="111"/>
      <c r="L126" s="111"/>
      <c r="M126" s="111"/>
      <c r="N126" s="111"/>
      <c r="O126" s="111"/>
      <c r="P126" s="111"/>
      <c r="Q126" s="111"/>
      <c r="R126" s="111"/>
      <c r="S126" s="111"/>
      <c r="T126" s="111"/>
      <c r="U126" s="111"/>
    </row>
    <row r="127" spans="1:21" x14ac:dyDescent="0.25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220" t="s">
        <v>35</v>
      </c>
      <c r="M127" s="221"/>
      <c r="N127" s="221"/>
      <c r="O127" s="221"/>
      <c r="P127" s="221"/>
      <c r="Q127" s="221"/>
      <c r="R127" s="221"/>
      <c r="S127" s="221"/>
      <c r="T127" s="221"/>
      <c r="U127" s="221"/>
    </row>
    <row r="128" spans="1:21" x14ac:dyDescent="0.25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</row>
    <row r="129" spans="1:21" x14ac:dyDescent="0.25">
      <c r="A129" s="206" t="s">
        <v>50</v>
      </c>
      <c r="B129" s="207"/>
      <c r="C129" s="208"/>
      <c r="D129" s="49"/>
      <c r="E129" s="84">
        <v>80240</v>
      </c>
      <c r="F129" s="153">
        <v>0.40699999999999997</v>
      </c>
      <c r="G129" s="209">
        <f>E129*0.407</f>
        <v>32657.679999999997</v>
      </c>
      <c r="H129" s="210"/>
      <c r="I129" s="211">
        <v>32</v>
      </c>
      <c r="J129" s="212"/>
      <c r="K129" s="111"/>
      <c r="L129" s="70"/>
      <c r="M129" s="70"/>
      <c r="N129" s="70"/>
      <c r="O129" s="70"/>
      <c r="P129" s="70"/>
      <c r="Q129" s="70"/>
      <c r="R129" s="70"/>
      <c r="S129" s="70"/>
      <c r="T129" s="70"/>
      <c r="U129" s="70"/>
    </row>
    <row r="130" spans="1:21" x14ac:dyDescent="0.25">
      <c r="A130" s="206" t="s">
        <v>51</v>
      </c>
      <c r="B130" s="207"/>
      <c r="C130" s="208"/>
      <c r="D130" s="49"/>
      <c r="E130" s="84">
        <v>90710</v>
      </c>
      <c r="F130" s="153">
        <v>0.376</v>
      </c>
      <c r="G130" s="209">
        <f>E130*0.376</f>
        <v>34106.959999999999</v>
      </c>
      <c r="H130" s="210"/>
      <c r="I130" s="211">
        <v>34</v>
      </c>
      <c r="J130" s="212"/>
      <c r="K130" s="111"/>
      <c r="L130" s="70"/>
      <c r="M130" s="70"/>
      <c r="N130" s="70"/>
      <c r="O130" s="70"/>
      <c r="P130" s="70"/>
      <c r="Q130" s="70"/>
      <c r="R130" s="70"/>
      <c r="S130" s="70"/>
      <c r="T130" s="70"/>
      <c r="U130" s="70"/>
    </row>
    <row r="131" spans="1:21" x14ac:dyDescent="0.25">
      <c r="A131" s="206" t="s">
        <v>52</v>
      </c>
      <c r="B131" s="207"/>
      <c r="C131" s="208"/>
      <c r="D131" s="49"/>
      <c r="E131" s="84">
        <v>81600</v>
      </c>
      <c r="F131" s="153">
        <v>0.40799999999999997</v>
      </c>
      <c r="G131" s="209">
        <f>E131*0.408</f>
        <v>33292.799999999996</v>
      </c>
      <c r="H131" s="210"/>
      <c r="I131" s="211">
        <v>33</v>
      </c>
      <c r="J131" s="212"/>
      <c r="K131" s="111"/>
      <c r="L131" s="70"/>
      <c r="M131" s="70"/>
      <c r="N131" s="70"/>
      <c r="O131" s="70"/>
      <c r="P131" s="70"/>
      <c r="Q131" s="70"/>
      <c r="R131" s="70"/>
      <c r="S131" s="70"/>
      <c r="T131" s="70"/>
      <c r="U131" s="70"/>
    </row>
    <row r="132" spans="1:21" x14ac:dyDescent="0.25">
      <c r="A132" s="206" t="s">
        <v>53</v>
      </c>
      <c r="B132" s="207"/>
      <c r="C132" s="208"/>
      <c r="D132" s="49"/>
      <c r="E132" s="148">
        <v>89.73</v>
      </c>
      <c r="F132" s="71">
        <v>0.35</v>
      </c>
      <c r="G132" s="228">
        <f>E132*0.35</f>
        <v>31.4055</v>
      </c>
      <c r="H132" s="229"/>
      <c r="I132" s="213">
        <v>31</v>
      </c>
      <c r="J132" s="214"/>
      <c r="K132" s="111"/>
      <c r="L132" s="70"/>
      <c r="M132" s="70"/>
      <c r="N132" s="70"/>
      <c r="O132" s="70"/>
      <c r="P132" s="70"/>
      <c r="Q132" s="70"/>
      <c r="R132" s="70"/>
      <c r="S132" s="70"/>
      <c r="T132" s="70"/>
      <c r="U132" s="70"/>
    </row>
    <row r="133" spans="1:21" x14ac:dyDescent="0.25">
      <c r="A133" s="149"/>
      <c r="B133" s="150" t="s">
        <v>77</v>
      </c>
      <c r="C133" s="151"/>
      <c r="D133" s="49"/>
      <c r="E133" s="84">
        <v>34600</v>
      </c>
      <c r="F133" s="71">
        <v>0.45400000000000001</v>
      </c>
      <c r="G133" s="209">
        <f>E133*0.454</f>
        <v>15708.4</v>
      </c>
      <c r="H133" s="210"/>
      <c r="I133" s="213">
        <v>15</v>
      </c>
      <c r="J133" s="214"/>
      <c r="K133" s="111"/>
      <c r="L133" s="70"/>
      <c r="M133" s="70"/>
      <c r="N133" s="70"/>
      <c r="O133" s="70"/>
      <c r="P133" s="70"/>
      <c r="Q133" s="70"/>
      <c r="R133" s="70"/>
      <c r="S133" s="70"/>
      <c r="T133" s="70"/>
      <c r="U133" s="70"/>
    </row>
    <row r="134" spans="1:21" x14ac:dyDescent="0.25">
      <c r="A134" s="215" t="s">
        <v>29</v>
      </c>
      <c r="B134" s="216"/>
      <c r="C134" s="217"/>
      <c r="D134" s="50">
        <f>SUM(D129:D133)</f>
        <v>0</v>
      </c>
      <c r="E134" s="86">
        <f>SUM(E129:E133)</f>
        <v>287239.73</v>
      </c>
      <c r="F134" s="60"/>
      <c r="G134" s="218">
        <f>SUM(G129:G133)</f>
        <v>115797.24549999999</v>
      </c>
      <c r="H134" s="219"/>
      <c r="I134" s="215">
        <f>SUM(I129:I133)</f>
        <v>145</v>
      </c>
      <c r="J134" s="217"/>
    </row>
  </sheetData>
  <mergeCells count="25">
    <mergeCell ref="A134:C134"/>
    <mergeCell ref="G134:H134"/>
    <mergeCell ref="I134:J134"/>
    <mergeCell ref="G1:N1"/>
    <mergeCell ref="G133:H133"/>
    <mergeCell ref="A131:C131"/>
    <mergeCell ref="G131:H131"/>
    <mergeCell ref="I131:J131"/>
    <mergeCell ref="A132:C132"/>
    <mergeCell ref="G132:H132"/>
    <mergeCell ref="I132:J132"/>
    <mergeCell ref="I133:J133"/>
    <mergeCell ref="L127:U127"/>
    <mergeCell ref="A129:C129"/>
    <mergeCell ref="G129:H129"/>
    <mergeCell ref="I129:J129"/>
    <mergeCell ref="A130:C130"/>
    <mergeCell ref="G130:H130"/>
    <mergeCell ref="I130:J130"/>
    <mergeCell ref="A1:C1"/>
    <mergeCell ref="D114:E114"/>
    <mergeCell ref="D123:M123"/>
    <mergeCell ref="A126:C126"/>
    <mergeCell ref="G126:H126"/>
    <mergeCell ref="I126:J126"/>
  </mergeCells>
  <phoneticPr fontId="15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BCFC-8D99-4CB2-8136-DC59AB3A3D2A}">
  <dimension ref="A1:T137"/>
  <sheetViews>
    <sheetView topLeftCell="B1" zoomScaleNormal="100" workbookViewId="0">
      <selection activeCell="K85" sqref="K85"/>
    </sheetView>
  </sheetViews>
  <sheetFormatPr defaultRowHeight="15" x14ac:dyDescent="0.25"/>
  <cols>
    <col min="1" max="2" width="11.7109375" customWidth="1"/>
    <col min="3" max="3" width="11.85546875" customWidth="1"/>
    <col min="4" max="4" width="34.28515625" customWidth="1"/>
    <col min="5" max="5" width="18.85546875" customWidth="1"/>
    <col min="6" max="6" width="12.28515625" customWidth="1"/>
    <col min="7" max="7" width="13.85546875" customWidth="1"/>
    <col min="8" max="8" width="14.7109375" customWidth="1"/>
    <col min="9" max="9" width="13.7109375" customWidth="1"/>
    <col min="10" max="10" width="14.85546875" customWidth="1"/>
    <col min="11" max="11" width="21.5703125" customWidth="1"/>
    <col min="12" max="12" width="13.5703125" customWidth="1"/>
    <col min="13" max="15" width="10.28515625" customWidth="1"/>
    <col min="16" max="16" width="9.140625" customWidth="1"/>
    <col min="17" max="17" width="7.140625" customWidth="1"/>
    <col min="18" max="19" width="9.28515625" customWidth="1"/>
  </cols>
  <sheetData>
    <row r="1" spans="1:20" ht="27" thickBot="1" x14ac:dyDescent="0.45">
      <c r="A1" s="198" t="s">
        <v>0</v>
      </c>
      <c r="B1" s="198"/>
      <c r="C1" s="198"/>
      <c r="D1" s="1">
        <v>46120</v>
      </c>
      <c r="E1" s="2"/>
      <c r="F1" s="3"/>
      <c r="G1" s="199" t="s">
        <v>133</v>
      </c>
      <c r="H1" s="200"/>
      <c r="I1" s="200"/>
      <c r="J1" s="201"/>
      <c r="K1" s="202" t="s">
        <v>43</v>
      </c>
      <c r="L1" s="203"/>
    </row>
    <row r="2" spans="1:20" ht="39" thickTop="1" x14ac:dyDescent="0.25">
      <c r="A2" s="6" t="s">
        <v>2</v>
      </c>
      <c r="B2" s="73" t="s">
        <v>38</v>
      </c>
      <c r="C2" s="7" t="s">
        <v>37</v>
      </c>
      <c r="D2" s="8" t="s">
        <v>3</v>
      </c>
      <c r="E2" s="8" t="s">
        <v>4</v>
      </c>
      <c r="F2" s="9" t="s">
        <v>30</v>
      </c>
      <c r="G2" s="8" t="s">
        <v>5</v>
      </c>
      <c r="H2" s="8" t="s">
        <v>6</v>
      </c>
      <c r="I2" s="8" t="s">
        <v>7</v>
      </c>
      <c r="J2" s="9" t="s">
        <v>8</v>
      </c>
      <c r="K2" s="8" t="s">
        <v>23</v>
      </c>
      <c r="L2" s="10" t="s">
        <v>9</v>
      </c>
      <c r="M2" s="11" t="s">
        <v>31</v>
      </c>
      <c r="N2" s="136" t="s">
        <v>32</v>
      </c>
      <c r="O2" s="54" t="s">
        <v>40</v>
      </c>
      <c r="P2" s="12" t="s">
        <v>10</v>
      </c>
      <c r="Q2" s="12" t="s">
        <v>11</v>
      </c>
      <c r="R2" s="12" t="s">
        <v>12</v>
      </c>
      <c r="S2" s="12" t="s">
        <v>82</v>
      </c>
      <c r="T2" s="67" t="s">
        <v>36</v>
      </c>
    </row>
    <row r="3" spans="1:20" x14ac:dyDescent="0.25">
      <c r="A3" s="81"/>
      <c r="B3" s="118"/>
      <c r="C3" s="45"/>
      <c r="D3" s="70"/>
      <c r="E3" s="72"/>
      <c r="F3" s="167"/>
      <c r="G3" s="76"/>
      <c r="H3" s="76"/>
      <c r="I3" s="76"/>
      <c r="J3" s="76">
        <f t="shared" ref="J3:J6" si="0">F3-G3</f>
        <v>0</v>
      </c>
      <c r="K3" s="154"/>
      <c r="L3" s="63"/>
      <c r="M3" s="141"/>
      <c r="N3" s="156"/>
      <c r="O3" s="142"/>
      <c r="P3" s="16"/>
      <c r="Q3" s="18"/>
      <c r="R3" s="18"/>
      <c r="S3" s="16"/>
      <c r="T3" s="13"/>
    </row>
    <row r="4" spans="1:20" x14ac:dyDescent="0.25">
      <c r="A4" s="81" t="s">
        <v>119</v>
      </c>
      <c r="B4" s="118" t="s">
        <v>98</v>
      </c>
      <c r="C4" s="45" t="s">
        <v>139</v>
      </c>
      <c r="D4" s="70" t="s">
        <v>99</v>
      </c>
      <c r="E4" s="72" t="s">
        <v>14</v>
      </c>
      <c r="F4" s="70">
        <v>1000</v>
      </c>
      <c r="G4" s="76"/>
      <c r="H4" s="76"/>
      <c r="I4" s="76"/>
      <c r="J4" s="76">
        <f t="shared" si="0"/>
        <v>1000</v>
      </c>
      <c r="K4" s="154" t="s">
        <v>63</v>
      </c>
      <c r="L4" s="63"/>
      <c r="M4" s="141">
        <v>1000</v>
      </c>
      <c r="N4" s="156"/>
      <c r="O4" s="142"/>
      <c r="P4" s="16">
        <v>3.0000000000000001E-3</v>
      </c>
      <c r="Q4" s="18">
        <v>3.6600000000000001E-2</v>
      </c>
      <c r="R4" s="18">
        <v>5.6599999999999998E-2</v>
      </c>
      <c r="S4" s="16">
        <v>0</v>
      </c>
      <c r="T4" s="13">
        <v>0</v>
      </c>
    </row>
    <row r="5" spans="1:20" x14ac:dyDescent="0.25">
      <c r="A5" s="81"/>
      <c r="B5" s="118"/>
      <c r="C5" s="45"/>
      <c r="D5" s="70"/>
      <c r="E5" s="72"/>
      <c r="F5" s="70"/>
      <c r="G5" s="76"/>
      <c r="H5" s="76"/>
      <c r="I5" s="76"/>
      <c r="J5" s="76">
        <f t="shared" si="0"/>
        <v>0</v>
      </c>
      <c r="K5" s="154"/>
      <c r="L5" s="63"/>
      <c r="M5" s="141"/>
      <c r="N5" s="156"/>
      <c r="O5" s="142"/>
      <c r="P5" s="16"/>
      <c r="Q5" s="18"/>
      <c r="R5" s="18"/>
      <c r="S5" s="16"/>
      <c r="T5" s="13"/>
    </row>
    <row r="6" spans="1:20" x14ac:dyDescent="0.25">
      <c r="A6" s="81"/>
      <c r="B6" s="118"/>
      <c r="C6" s="45"/>
      <c r="D6" s="70"/>
      <c r="E6" s="72"/>
      <c r="F6" s="167"/>
      <c r="G6" s="76"/>
      <c r="H6" s="76"/>
      <c r="I6" s="76"/>
      <c r="J6" s="76">
        <f t="shared" si="0"/>
        <v>0</v>
      </c>
      <c r="K6" s="154"/>
      <c r="L6" s="63"/>
      <c r="M6" s="141"/>
      <c r="N6" s="156"/>
      <c r="O6" s="142"/>
      <c r="P6" s="16"/>
      <c r="Q6" s="18"/>
      <c r="R6" s="18"/>
      <c r="S6" s="16"/>
      <c r="T6" s="13"/>
    </row>
    <row r="7" spans="1:20" x14ac:dyDescent="0.25">
      <c r="A7" s="19"/>
      <c r="B7" s="74"/>
      <c r="C7" s="96"/>
      <c r="D7" s="20" t="s">
        <v>21</v>
      </c>
      <c r="E7" s="97"/>
      <c r="F7" s="98"/>
      <c r="G7" s="98"/>
      <c r="H7" s="98"/>
      <c r="I7" s="98"/>
      <c r="J7" s="98"/>
      <c r="K7" s="21"/>
      <c r="L7" s="14"/>
      <c r="M7" s="143"/>
      <c r="N7" s="156"/>
      <c r="O7" s="53"/>
      <c r="P7" s="16"/>
      <c r="Q7" s="17"/>
      <c r="R7" s="17"/>
      <c r="S7" s="17"/>
      <c r="T7" s="13"/>
    </row>
    <row r="8" spans="1:20" x14ac:dyDescent="0.25">
      <c r="A8" s="19"/>
      <c r="B8" s="74"/>
      <c r="C8" s="96"/>
      <c r="D8" s="20"/>
      <c r="E8" s="97"/>
      <c r="F8" s="98"/>
      <c r="G8" s="98"/>
      <c r="H8" s="98"/>
      <c r="I8" s="98"/>
      <c r="J8" s="98"/>
      <c r="K8" s="21"/>
      <c r="L8" s="14"/>
      <c r="M8" s="143"/>
      <c r="N8" s="15"/>
      <c r="O8" s="53"/>
      <c r="P8" s="16"/>
      <c r="Q8" s="17"/>
      <c r="R8" s="17"/>
      <c r="S8" s="17"/>
      <c r="T8" s="13"/>
    </row>
    <row r="9" spans="1:20" x14ac:dyDescent="0.25">
      <c r="A9" s="112"/>
      <c r="B9" s="96"/>
      <c r="C9" s="99"/>
      <c r="D9" s="100"/>
      <c r="E9" s="120"/>
      <c r="F9" s="98"/>
      <c r="G9" s="98"/>
      <c r="H9" s="98"/>
      <c r="I9" s="176"/>
      <c r="J9" s="98"/>
      <c r="K9" s="21"/>
      <c r="L9" s="22"/>
      <c r="M9" s="143"/>
      <c r="N9" s="15"/>
      <c r="O9" s="53"/>
      <c r="P9" s="13"/>
      <c r="Q9" s="13"/>
      <c r="R9" s="13"/>
      <c r="S9" s="13"/>
      <c r="T9" s="13"/>
    </row>
    <row r="10" spans="1:20" x14ac:dyDescent="0.25">
      <c r="A10" s="113"/>
      <c r="B10" s="111"/>
      <c r="C10" s="70"/>
      <c r="D10" s="23" t="s">
        <v>15</v>
      </c>
      <c r="E10" s="51" t="s">
        <v>14</v>
      </c>
      <c r="F10" s="23">
        <f>SUM(F3:F9)</f>
        <v>1000</v>
      </c>
      <c r="G10" s="23">
        <f>SUM(G3:G9)</f>
        <v>0</v>
      </c>
      <c r="H10" s="23"/>
      <c r="I10" s="23"/>
      <c r="J10" s="23">
        <f>F10-G10</f>
        <v>1000</v>
      </c>
      <c r="K10" s="24" t="s">
        <v>16</v>
      </c>
      <c r="L10" s="25">
        <f>SUM(L3:L9)</f>
        <v>0</v>
      </c>
      <c r="M10" s="25">
        <f>SUM(M3:M9)</f>
        <v>1000</v>
      </c>
      <c r="N10" s="25">
        <f>SUM(N3:N9)</f>
        <v>0</v>
      </c>
      <c r="O10" s="25">
        <f>SUM(O3:O9)</f>
        <v>0</v>
      </c>
      <c r="P10" s="26"/>
      <c r="Q10" s="26"/>
      <c r="R10" s="26"/>
      <c r="S10" s="26"/>
      <c r="T10" s="26"/>
    </row>
    <row r="11" spans="1:20" x14ac:dyDescent="0.25">
      <c r="A11" s="81"/>
      <c r="B11" s="118"/>
      <c r="C11" s="45"/>
      <c r="D11" s="70"/>
      <c r="E11" s="72"/>
      <c r="F11" s="70"/>
      <c r="G11" s="70"/>
      <c r="H11" s="76"/>
      <c r="I11" s="70"/>
      <c r="J11" s="76"/>
      <c r="K11" s="154"/>
      <c r="L11" s="63"/>
      <c r="M11" s="140"/>
      <c r="N11" s="156"/>
      <c r="O11" s="95"/>
      <c r="P11" s="18"/>
      <c r="Q11" s="18"/>
      <c r="R11" s="18"/>
      <c r="S11" s="18"/>
      <c r="T11" s="26"/>
    </row>
    <row r="12" spans="1:20" x14ac:dyDescent="0.25">
      <c r="A12" s="81" t="s">
        <v>79</v>
      </c>
      <c r="B12" s="118"/>
      <c r="C12" s="45" t="s">
        <v>80</v>
      </c>
      <c r="D12" s="70" t="s">
        <v>81</v>
      </c>
      <c r="E12" s="72" t="s">
        <v>17</v>
      </c>
      <c r="F12" s="70">
        <v>500</v>
      </c>
      <c r="G12" s="70"/>
      <c r="H12" s="76"/>
      <c r="I12" s="70"/>
      <c r="J12" s="76">
        <f t="shared" ref="J12" si="1">F12-G12</f>
        <v>500</v>
      </c>
      <c r="K12" s="154" t="s">
        <v>87</v>
      </c>
      <c r="L12" s="63"/>
      <c r="M12" s="140">
        <v>500</v>
      </c>
      <c r="N12" s="103"/>
      <c r="O12" s="95"/>
      <c r="P12" s="18">
        <v>0.11799999999999999</v>
      </c>
      <c r="Q12" s="18">
        <v>0.08</v>
      </c>
      <c r="R12" s="18">
        <v>6.3299999999999995E-2</v>
      </c>
      <c r="S12" s="18">
        <v>1.7999999999999999E-2</v>
      </c>
      <c r="T12" s="26">
        <v>0.2</v>
      </c>
    </row>
    <row r="13" spans="1:20" x14ac:dyDescent="0.25">
      <c r="A13" s="81"/>
      <c r="B13" s="118"/>
      <c r="C13" s="45"/>
      <c r="D13" s="70"/>
      <c r="E13" s="72"/>
      <c r="F13" s="70"/>
      <c r="G13" s="70"/>
      <c r="H13" s="76"/>
      <c r="I13" s="70"/>
      <c r="J13" s="76"/>
      <c r="K13" s="154"/>
      <c r="L13" s="63"/>
      <c r="M13" s="140"/>
      <c r="N13" s="103"/>
      <c r="O13" s="95"/>
      <c r="P13" s="18"/>
      <c r="Q13" s="18"/>
      <c r="R13" s="18"/>
      <c r="S13" s="18"/>
      <c r="T13" s="26"/>
    </row>
    <row r="14" spans="1:20" x14ac:dyDescent="0.25">
      <c r="A14" s="81" t="s">
        <v>105</v>
      </c>
      <c r="B14" s="118"/>
      <c r="C14" s="45" t="s">
        <v>106</v>
      </c>
      <c r="D14" s="70" t="s">
        <v>81</v>
      </c>
      <c r="E14" s="72" t="s">
        <v>17</v>
      </c>
      <c r="F14" s="70">
        <v>1000</v>
      </c>
      <c r="G14" s="70"/>
      <c r="H14" s="76"/>
      <c r="I14" s="70"/>
      <c r="J14" s="70">
        <f t="shared" ref="J14" si="2">F14-G14</f>
        <v>1000</v>
      </c>
      <c r="K14" s="154" t="s">
        <v>83</v>
      </c>
      <c r="L14" s="63"/>
      <c r="M14" s="140">
        <v>1000</v>
      </c>
      <c r="N14" s="103"/>
      <c r="O14" s="95"/>
      <c r="P14" s="18">
        <v>2E-3</v>
      </c>
      <c r="Q14" s="18">
        <v>3.6600000000000001E-2</v>
      </c>
      <c r="R14" s="18">
        <v>3.3300000000000003E-2</v>
      </c>
      <c r="S14" s="18">
        <v>8.9999999999999993E-3</v>
      </c>
      <c r="T14" s="26"/>
    </row>
    <row r="15" spans="1:20" x14ac:dyDescent="0.25">
      <c r="A15" s="81" t="s">
        <v>105</v>
      </c>
      <c r="B15" s="118"/>
      <c r="C15" s="45" t="s">
        <v>106</v>
      </c>
      <c r="D15" s="70" t="s">
        <v>81</v>
      </c>
      <c r="E15" s="72" t="s">
        <v>17</v>
      </c>
      <c r="F15" s="167">
        <v>1000</v>
      </c>
      <c r="G15" s="70"/>
      <c r="H15" s="76"/>
      <c r="I15" s="70"/>
      <c r="J15" s="70">
        <f t="shared" ref="J15:J51" si="3">F15-G15</f>
        <v>1000</v>
      </c>
      <c r="K15" s="154" t="s">
        <v>84</v>
      </c>
      <c r="L15" s="63"/>
      <c r="M15" s="140">
        <v>1000</v>
      </c>
      <c r="N15" s="103"/>
      <c r="O15" s="95"/>
      <c r="P15" s="18">
        <v>3.0000000000000001E-3</v>
      </c>
      <c r="Q15" s="18">
        <v>3.6600000000000001E-2</v>
      </c>
      <c r="R15" s="18">
        <v>0.04</v>
      </c>
      <c r="S15" s="18">
        <v>8.9999999999999993E-3</v>
      </c>
      <c r="T15" s="26"/>
    </row>
    <row r="16" spans="1:20" x14ac:dyDescent="0.25">
      <c r="A16" s="81" t="s">
        <v>124</v>
      </c>
      <c r="B16" s="118"/>
      <c r="C16" s="45" t="s">
        <v>106</v>
      </c>
      <c r="D16" s="70" t="s">
        <v>81</v>
      </c>
      <c r="E16" s="72" t="s">
        <v>17</v>
      </c>
      <c r="F16" s="167">
        <v>1000</v>
      </c>
      <c r="G16" s="70"/>
      <c r="H16" s="76"/>
      <c r="I16" s="70"/>
      <c r="J16" s="70">
        <f t="shared" si="3"/>
        <v>1000</v>
      </c>
      <c r="K16" s="154" t="s">
        <v>85</v>
      </c>
      <c r="L16" s="63"/>
      <c r="M16" s="140">
        <v>1000</v>
      </c>
      <c r="N16" s="103"/>
      <c r="O16" s="95"/>
      <c r="P16" s="18">
        <v>2E-3</v>
      </c>
      <c r="Q16" s="18">
        <v>0.03</v>
      </c>
      <c r="R16" s="18">
        <v>0.04</v>
      </c>
      <c r="S16" s="18">
        <v>8.0000000000000002E-3</v>
      </c>
      <c r="T16" s="26"/>
    </row>
    <row r="17" spans="1:20" x14ac:dyDescent="0.25">
      <c r="A17" s="81" t="s">
        <v>124</v>
      </c>
      <c r="B17" s="118"/>
      <c r="C17" s="45" t="s">
        <v>106</v>
      </c>
      <c r="D17" s="70" t="s">
        <v>81</v>
      </c>
      <c r="E17" s="72" t="s">
        <v>17</v>
      </c>
      <c r="F17" s="167">
        <v>1000</v>
      </c>
      <c r="G17" s="70"/>
      <c r="H17" s="76"/>
      <c r="I17" s="70"/>
      <c r="J17" s="70">
        <f t="shared" si="3"/>
        <v>1000</v>
      </c>
      <c r="K17" s="154" t="s">
        <v>86</v>
      </c>
      <c r="L17" s="63"/>
      <c r="M17" s="140">
        <v>1000</v>
      </c>
      <c r="N17" s="103"/>
      <c r="O17" s="95"/>
      <c r="P17" s="18">
        <v>2E-3</v>
      </c>
      <c r="Q17" s="18">
        <v>0.03</v>
      </c>
      <c r="R17" s="18">
        <v>0.06</v>
      </c>
      <c r="S17" s="18">
        <v>5.0000000000000001E-3</v>
      </c>
      <c r="T17" s="26"/>
    </row>
    <row r="18" spans="1:20" x14ac:dyDescent="0.25">
      <c r="A18" s="81" t="s">
        <v>124</v>
      </c>
      <c r="B18" s="118"/>
      <c r="C18" s="45" t="s">
        <v>106</v>
      </c>
      <c r="D18" s="70" t="s">
        <v>81</v>
      </c>
      <c r="E18" s="72" t="s">
        <v>17</v>
      </c>
      <c r="F18" s="167">
        <v>1000</v>
      </c>
      <c r="G18" s="70"/>
      <c r="H18" s="76"/>
      <c r="I18" s="70"/>
      <c r="J18" s="70">
        <f t="shared" si="3"/>
        <v>1000</v>
      </c>
      <c r="K18" s="154" t="s">
        <v>87</v>
      </c>
      <c r="L18" s="63"/>
      <c r="M18" s="140">
        <v>1000</v>
      </c>
      <c r="N18" s="103"/>
      <c r="O18" s="95"/>
      <c r="P18" s="18">
        <v>2E-3</v>
      </c>
      <c r="Q18" s="18">
        <v>3.3300000000000003E-2</v>
      </c>
      <c r="R18" s="18">
        <v>0.02</v>
      </c>
      <c r="S18" s="18">
        <v>8.9999999999999993E-3</v>
      </c>
      <c r="T18" s="26"/>
    </row>
    <row r="19" spans="1:20" x14ac:dyDescent="0.25">
      <c r="A19" s="81" t="s">
        <v>142</v>
      </c>
      <c r="B19" s="118"/>
      <c r="C19" s="45" t="s">
        <v>141</v>
      </c>
      <c r="D19" s="70" t="s">
        <v>81</v>
      </c>
      <c r="E19" s="72" t="s">
        <v>17</v>
      </c>
      <c r="F19" s="167">
        <v>500</v>
      </c>
      <c r="G19" s="70"/>
      <c r="H19" s="76"/>
      <c r="I19" s="70"/>
      <c r="J19" s="70">
        <f t="shared" si="3"/>
        <v>500</v>
      </c>
      <c r="K19" s="154" t="s">
        <v>88</v>
      </c>
      <c r="L19" s="63"/>
      <c r="M19" s="140">
        <v>500</v>
      </c>
      <c r="N19" s="103"/>
      <c r="O19" s="95"/>
      <c r="P19" s="18">
        <v>2E-3</v>
      </c>
      <c r="Q19" s="18">
        <v>0.04</v>
      </c>
      <c r="R19" s="18">
        <v>0.04</v>
      </c>
      <c r="S19" s="18">
        <v>1.4999999999999999E-2</v>
      </c>
      <c r="T19" s="26"/>
    </row>
    <row r="20" spans="1:20" x14ac:dyDescent="0.25">
      <c r="A20" s="81" t="s">
        <v>142</v>
      </c>
      <c r="B20" s="118"/>
      <c r="C20" s="45" t="s">
        <v>141</v>
      </c>
      <c r="D20" s="70" t="s">
        <v>81</v>
      </c>
      <c r="E20" s="72" t="s">
        <v>17</v>
      </c>
      <c r="F20" s="167">
        <v>1000</v>
      </c>
      <c r="G20" s="70"/>
      <c r="H20" s="76"/>
      <c r="I20" s="70"/>
      <c r="J20" s="70">
        <f t="shared" si="3"/>
        <v>1000</v>
      </c>
      <c r="K20" s="154" t="s">
        <v>89</v>
      </c>
      <c r="L20" s="63"/>
      <c r="M20" s="140">
        <v>1000</v>
      </c>
      <c r="N20" s="103"/>
      <c r="O20" s="95"/>
      <c r="P20" s="18">
        <v>2E-3</v>
      </c>
      <c r="Q20" s="18">
        <v>0.02</v>
      </c>
      <c r="R20" s="18">
        <v>0.06</v>
      </c>
      <c r="S20" s="18">
        <v>1.2999999999999999E-2</v>
      </c>
      <c r="T20" s="26"/>
    </row>
    <row r="21" spans="1:20" x14ac:dyDescent="0.25">
      <c r="A21" s="81" t="s">
        <v>142</v>
      </c>
      <c r="B21" s="118"/>
      <c r="C21" s="45" t="s">
        <v>141</v>
      </c>
      <c r="D21" s="70" t="s">
        <v>81</v>
      </c>
      <c r="E21" s="72" t="s">
        <v>17</v>
      </c>
      <c r="F21" s="167">
        <v>1000</v>
      </c>
      <c r="G21" s="70"/>
      <c r="H21" s="76"/>
      <c r="I21" s="70"/>
      <c r="J21" s="70">
        <f t="shared" si="3"/>
        <v>1000</v>
      </c>
      <c r="K21" s="154" t="s">
        <v>90</v>
      </c>
      <c r="L21" s="63"/>
      <c r="M21" s="140">
        <v>1000</v>
      </c>
      <c r="N21" s="103"/>
      <c r="O21" s="95"/>
      <c r="P21" s="18">
        <v>3.0000000000000001E-3</v>
      </c>
      <c r="Q21" s="18">
        <v>2.6599999999999999E-2</v>
      </c>
      <c r="R21" s="18">
        <v>0.03</v>
      </c>
      <c r="S21" s="18">
        <v>1.2E-2</v>
      </c>
      <c r="T21" s="26"/>
    </row>
    <row r="22" spans="1:20" x14ac:dyDescent="0.25">
      <c r="A22" s="81" t="s">
        <v>142</v>
      </c>
      <c r="B22" s="118"/>
      <c r="C22" s="45" t="s">
        <v>141</v>
      </c>
      <c r="D22" s="70" t="s">
        <v>81</v>
      </c>
      <c r="E22" s="72" t="s">
        <v>17</v>
      </c>
      <c r="F22" s="167">
        <v>1000</v>
      </c>
      <c r="G22" s="70"/>
      <c r="H22" s="76"/>
      <c r="I22" s="70"/>
      <c r="J22" s="70">
        <f t="shared" si="3"/>
        <v>1000</v>
      </c>
      <c r="K22" s="154" t="s">
        <v>91</v>
      </c>
      <c r="L22" s="63"/>
      <c r="M22" s="140">
        <v>1000</v>
      </c>
      <c r="N22" s="103"/>
      <c r="O22" s="95"/>
      <c r="P22" s="18">
        <v>1E-3</v>
      </c>
      <c r="Q22" s="18">
        <v>0.03</v>
      </c>
      <c r="R22" s="18">
        <v>0.03</v>
      </c>
      <c r="S22" s="18">
        <v>8.0000000000000002E-3</v>
      </c>
      <c r="T22" s="26"/>
    </row>
    <row r="23" spans="1:20" x14ac:dyDescent="0.25">
      <c r="A23" s="81" t="s">
        <v>142</v>
      </c>
      <c r="B23" s="118"/>
      <c r="C23" s="45" t="s">
        <v>141</v>
      </c>
      <c r="D23" s="70" t="s">
        <v>81</v>
      </c>
      <c r="E23" s="72" t="s">
        <v>17</v>
      </c>
      <c r="F23" s="167">
        <v>1000</v>
      </c>
      <c r="G23" s="70"/>
      <c r="H23" s="76"/>
      <c r="I23" s="70"/>
      <c r="J23" s="70">
        <f t="shared" si="3"/>
        <v>1000</v>
      </c>
      <c r="K23" s="154" t="s">
        <v>110</v>
      </c>
      <c r="L23" s="63"/>
      <c r="M23" s="140">
        <v>1000</v>
      </c>
      <c r="N23" s="103"/>
      <c r="O23" s="95"/>
      <c r="P23" s="18">
        <v>3.0000000000000001E-3</v>
      </c>
      <c r="Q23" s="18">
        <v>3.6600000000000001E-2</v>
      </c>
      <c r="R23" s="18">
        <v>3.3300000000000003E-2</v>
      </c>
      <c r="S23" s="18">
        <v>1.0999999999999999E-2</v>
      </c>
      <c r="T23" s="26"/>
    </row>
    <row r="24" spans="1:20" x14ac:dyDescent="0.25">
      <c r="A24" s="81" t="s">
        <v>142</v>
      </c>
      <c r="B24" s="118"/>
      <c r="C24" s="45" t="s">
        <v>141</v>
      </c>
      <c r="D24" s="70" t="s">
        <v>81</v>
      </c>
      <c r="E24" s="72" t="s">
        <v>17</v>
      </c>
      <c r="F24" s="167">
        <v>1000</v>
      </c>
      <c r="G24" s="70"/>
      <c r="H24" s="76"/>
      <c r="I24" s="70"/>
      <c r="J24" s="70">
        <f t="shared" si="3"/>
        <v>1000</v>
      </c>
      <c r="K24" s="154" t="s">
        <v>111</v>
      </c>
      <c r="L24" s="63"/>
      <c r="M24" s="140">
        <v>1000</v>
      </c>
      <c r="N24" s="103"/>
      <c r="O24" s="95"/>
      <c r="P24" s="18">
        <v>1E-3</v>
      </c>
      <c r="Q24" s="18">
        <v>0.03</v>
      </c>
      <c r="R24" s="18">
        <v>3.3300000000000003E-2</v>
      </c>
      <c r="S24" s="18">
        <v>1.0999999999999999E-2</v>
      </c>
      <c r="T24" s="26"/>
    </row>
    <row r="25" spans="1:20" x14ac:dyDescent="0.25">
      <c r="A25" s="81" t="s">
        <v>157</v>
      </c>
      <c r="B25" s="118"/>
      <c r="C25" s="45" t="s">
        <v>141</v>
      </c>
      <c r="D25" s="70" t="s">
        <v>81</v>
      </c>
      <c r="E25" s="72" t="s">
        <v>17</v>
      </c>
      <c r="F25" s="167">
        <v>1000</v>
      </c>
      <c r="G25" s="70"/>
      <c r="H25" s="76"/>
      <c r="I25" s="70"/>
      <c r="J25" s="70">
        <f t="shared" si="3"/>
        <v>1000</v>
      </c>
      <c r="K25" s="154" t="s">
        <v>112</v>
      </c>
      <c r="L25" s="63"/>
      <c r="M25" s="140">
        <v>1000</v>
      </c>
      <c r="N25" s="103"/>
      <c r="O25" s="95"/>
      <c r="P25" s="18">
        <v>2E-3</v>
      </c>
      <c r="Q25" s="18">
        <v>2.6599999999999999E-2</v>
      </c>
      <c r="R25" s="18">
        <v>0.06</v>
      </c>
      <c r="S25" s="18">
        <v>8.9999999999999993E-3</v>
      </c>
      <c r="T25" s="26"/>
    </row>
    <row r="26" spans="1:20" x14ac:dyDescent="0.25">
      <c r="A26" s="81" t="s">
        <v>157</v>
      </c>
      <c r="B26" s="118"/>
      <c r="C26" s="45" t="s">
        <v>141</v>
      </c>
      <c r="D26" s="70" t="s">
        <v>81</v>
      </c>
      <c r="E26" s="72" t="s">
        <v>17</v>
      </c>
      <c r="F26" s="167">
        <v>1000</v>
      </c>
      <c r="G26" s="70"/>
      <c r="H26" s="76"/>
      <c r="I26" s="70"/>
      <c r="J26" s="70">
        <f t="shared" si="3"/>
        <v>1000</v>
      </c>
      <c r="K26" s="154" t="s">
        <v>113</v>
      </c>
      <c r="L26" s="63"/>
      <c r="M26" s="140">
        <v>1000</v>
      </c>
      <c r="N26" s="103"/>
      <c r="O26" s="95"/>
      <c r="P26" s="18">
        <v>4.0000000000000001E-3</v>
      </c>
      <c r="Q26" s="18">
        <v>2.6599999999999999E-2</v>
      </c>
      <c r="R26" s="18">
        <v>0.04</v>
      </c>
      <c r="S26" s="18">
        <v>6.0000000000000001E-3</v>
      </c>
      <c r="T26" s="26"/>
    </row>
    <row r="27" spans="1:20" x14ac:dyDescent="0.25">
      <c r="A27" s="81" t="s">
        <v>157</v>
      </c>
      <c r="B27" s="118"/>
      <c r="C27" s="45" t="s">
        <v>141</v>
      </c>
      <c r="D27" s="70" t="s">
        <v>81</v>
      </c>
      <c r="E27" s="72" t="s">
        <v>17</v>
      </c>
      <c r="F27" s="167">
        <v>1000</v>
      </c>
      <c r="G27" s="70"/>
      <c r="H27" s="76"/>
      <c r="I27" s="70"/>
      <c r="J27" s="70">
        <f t="shared" si="3"/>
        <v>1000</v>
      </c>
      <c r="K27" s="154" t="s">
        <v>160</v>
      </c>
      <c r="L27" s="63"/>
      <c r="M27" s="140">
        <v>1000</v>
      </c>
      <c r="N27" s="103"/>
      <c r="O27" s="95"/>
      <c r="P27" s="18">
        <v>3.0000000000000001E-3</v>
      </c>
      <c r="Q27" s="18">
        <v>3.6600000000000001E-2</v>
      </c>
      <c r="R27" s="18">
        <v>4.3299999999999998E-2</v>
      </c>
      <c r="S27" s="18">
        <v>8.0000000000000002E-3</v>
      </c>
      <c r="T27" s="26"/>
    </row>
    <row r="28" spans="1:20" x14ac:dyDescent="0.25">
      <c r="A28" s="81" t="s">
        <v>157</v>
      </c>
      <c r="B28" s="118"/>
      <c r="C28" s="45" t="s">
        <v>141</v>
      </c>
      <c r="D28" s="70" t="s">
        <v>81</v>
      </c>
      <c r="E28" s="72" t="s">
        <v>17</v>
      </c>
      <c r="F28" s="167">
        <v>1000</v>
      </c>
      <c r="G28" s="70"/>
      <c r="H28" s="76"/>
      <c r="I28" s="70"/>
      <c r="J28" s="70">
        <f t="shared" si="3"/>
        <v>1000</v>
      </c>
      <c r="K28" s="154" t="s">
        <v>114</v>
      </c>
      <c r="L28" s="63"/>
      <c r="M28" s="140">
        <v>1000</v>
      </c>
      <c r="N28" s="103"/>
      <c r="O28" s="95"/>
      <c r="P28" s="18">
        <v>6.0000000000000001E-3</v>
      </c>
      <c r="Q28" s="18">
        <v>0.03</v>
      </c>
      <c r="R28" s="18">
        <v>4.6600000000000003E-2</v>
      </c>
      <c r="S28" s="18">
        <v>4.0000000000000001E-3</v>
      </c>
      <c r="T28" s="26"/>
    </row>
    <row r="29" spans="1:20" x14ac:dyDescent="0.25">
      <c r="A29" s="81"/>
      <c r="B29" s="118"/>
      <c r="C29" s="45"/>
      <c r="D29" s="70"/>
      <c r="E29" s="72"/>
      <c r="F29" s="167"/>
      <c r="G29" s="70"/>
      <c r="H29" s="76"/>
      <c r="I29" s="70"/>
      <c r="J29" s="70">
        <f t="shared" si="3"/>
        <v>0</v>
      </c>
      <c r="K29" s="154"/>
      <c r="L29" s="63"/>
      <c r="M29" s="140"/>
      <c r="N29" s="103"/>
      <c r="O29" s="95"/>
      <c r="P29" s="18"/>
      <c r="Q29" s="18"/>
      <c r="R29" s="18"/>
      <c r="S29" s="18"/>
      <c r="T29" s="26"/>
    </row>
    <row r="30" spans="1:20" x14ac:dyDescent="0.25">
      <c r="A30" s="81" t="s">
        <v>109</v>
      </c>
      <c r="B30" s="118" t="s">
        <v>98</v>
      </c>
      <c r="C30" s="45" t="s">
        <v>117</v>
      </c>
      <c r="D30" s="70" t="s">
        <v>99</v>
      </c>
      <c r="E30" s="72" t="s">
        <v>17</v>
      </c>
      <c r="F30" s="167">
        <v>1000</v>
      </c>
      <c r="G30" s="70"/>
      <c r="H30" s="76"/>
      <c r="I30" s="70"/>
      <c r="J30" s="70">
        <f t="shared" si="3"/>
        <v>1000</v>
      </c>
      <c r="K30" s="154" t="s">
        <v>64</v>
      </c>
      <c r="L30" s="63"/>
      <c r="M30" s="140">
        <v>1000</v>
      </c>
      <c r="N30" s="103"/>
      <c r="O30" s="95"/>
      <c r="P30" s="18">
        <v>2E-3</v>
      </c>
      <c r="Q30" s="18">
        <v>2.3300000000000001E-2</v>
      </c>
      <c r="R30" s="18">
        <v>6.3299999999999995E-2</v>
      </c>
      <c r="S30" s="18">
        <v>0</v>
      </c>
      <c r="T30" s="26">
        <v>0</v>
      </c>
    </row>
    <row r="31" spans="1:20" x14ac:dyDescent="0.25">
      <c r="A31" s="81" t="s">
        <v>109</v>
      </c>
      <c r="B31" s="118" t="s">
        <v>98</v>
      </c>
      <c r="C31" s="45" t="s">
        <v>117</v>
      </c>
      <c r="D31" s="70" t="s">
        <v>99</v>
      </c>
      <c r="E31" s="72" t="s">
        <v>17</v>
      </c>
      <c r="F31" s="167">
        <v>1000</v>
      </c>
      <c r="G31" s="70"/>
      <c r="H31" s="76"/>
      <c r="I31" s="70"/>
      <c r="J31" s="70">
        <f t="shared" si="3"/>
        <v>1000</v>
      </c>
      <c r="K31" s="154" t="s">
        <v>68</v>
      </c>
      <c r="L31" s="63"/>
      <c r="M31" s="140">
        <v>1000</v>
      </c>
      <c r="N31" s="103"/>
      <c r="O31" s="95"/>
      <c r="P31" s="18">
        <v>2E-3</v>
      </c>
      <c r="Q31" s="18">
        <v>2.6599999999999999E-2</v>
      </c>
      <c r="R31" s="18">
        <v>6.3299999999999995E-2</v>
      </c>
      <c r="S31" s="18">
        <v>0</v>
      </c>
      <c r="T31" s="26">
        <v>0</v>
      </c>
    </row>
    <row r="32" spans="1:20" x14ac:dyDescent="0.25">
      <c r="A32" s="81" t="s">
        <v>109</v>
      </c>
      <c r="B32" s="118" t="s">
        <v>98</v>
      </c>
      <c r="C32" s="45" t="s">
        <v>117</v>
      </c>
      <c r="D32" s="70" t="s">
        <v>99</v>
      </c>
      <c r="E32" s="72" t="s">
        <v>17</v>
      </c>
      <c r="F32" s="167">
        <v>1000</v>
      </c>
      <c r="G32" s="70"/>
      <c r="H32" s="76"/>
      <c r="I32" s="70"/>
      <c r="J32" s="70">
        <f t="shared" si="3"/>
        <v>1000</v>
      </c>
      <c r="K32" s="154" t="s">
        <v>70</v>
      </c>
      <c r="L32" s="63"/>
      <c r="M32" s="140">
        <v>1000</v>
      </c>
      <c r="N32" s="103"/>
      <c r="O32" s="95"/>
      <c r="P32" s="18">
        <v>1E-3</v>
      </c>
      <c r="Q32" s="18">
        <v>0.03</v>
      </c>
      <c r="R32" s="18">
        <v>8.6599999999999996E-2</v>
      </c>
      <c r="S32" s="18">
        <v>0</v>
      </c>
      <c r="T32" s="26">
        <v>0</v>
      </c>
    </row>
    <row r="33" spans="1:20" x14ac:dyDescent="0.25">
      <c r="A33" s="81" t="s">
        <v>109</v>
      </c>
      <c r="B33" s="118" t="s">
        <v>98</v>
      </c>
      <c r="C33" s="45" t="s">
        <v>117</v>
      </c>
      <c r="D33" s="70" t="s">
        <v>99</v>
      </c>
      <c r="E33" s="72" t="s">
        <v>17</v>
      </c>
      <c r="F33" s="167">
        <v>1000</v>
      </c>
      <c r="G33" s="70"/>
      <c r="H33" s="76"/>
      <c r="I33" s="70"/>
      <c r="J33" s="70">
        <f t="shared" si="3"/>
        <v>1000</v>
      </c>
      <c r="K33" s="154" t="s">
        <v>71</v>
      </c>
      <c r="L33" s="63"/>
      <c r="M33" s="140">
        <v>1000</v>
      </c>
      <c r="N33" s="103"/>
      <c r="O33" s="95"/>
      <c r="P33" s="18">
        <v>1E-3</v>
      </c>
      <c r="Q33" s="18">
        <v>2.6599999999999999E-2</v>
      </c>
      <c r="R33" s="18">
        <v>9.3299999999999994E-2</v>
      </c>
      <c r="S33" s="18">
        <v>0</v>
      </c>
      <c r="T33" s="26">
        <v>0</v>
      </c>
    </row>
    <row r="34" spans="1:20" x14ac:dyDescent="0.25">
      <c r="A34" s="81" t="s">
        <v>109</v>
      </c>
      <c r="B34" s="118" t="s">
        <v>98</v>
      </c>
      <c r="C34" s="45" t="s">
        <v>117</v>
      </c>
      <c r="D34" s="70" t="s">
        <v>99</v>
      </c>
      <c r="E34" s="72" t="s">
        <v>17</v>
      </c>
      <c r="F34" s="167">
        <v>1000</v>
      </c>
      <c r="G34" s="70"/>
      <c r="H34" s="76"/>
      <c r="I34" s="70"/>
      <c r="J34" s="70">
        <f t="shared" si="3"/>
        <v>1000</v>
      </c>
      <c r="K34" s="154" t="s">
        <v>72</v>
      </c>
      <c r="L34" s="63"/>
      <c r="M34" s="140">
        <v>1000</v>
      </c>
      <c r="N34" s="103"/>
      <c r="O34" s="95"/>
      <c r="P34" s="18">
        <v>0</v>
      </c>
      <c r="Q34" s="18">
        <v>2.3300000000000001E-2</v>
      </c>
      <c r="R34" s="18">
        <v>0.1066</v>
      </c>
      <c r="S34" s="18">
        <v>0</v>
      </c>
      <c r="T34" s="26">
        <v>0</v>
      </c>
    </row>
    <row r="35" spans="1:20" ht="29.25" x14ac:dyDescent="0.25">
      <c r="A35" s="81" t="s">
        <v>109</v>
      </c>
      <c r="B35" s="118" t="s">
        <v>98</v>
      </c>
      <c r="C35" s="45" t="s">
        <v>117</v>
      </c>
      <c r="D35" s="70" t="s">
        <v>99</v>
      </c>
      <c r="E35" s="72" t="s">
        <v>17</v>
      </c>
      <c r="F35" s="167">
        <v>450</v>
      </c>
      <c r="G35" s="70"/>
      <c r="H35" s="76" t="s">
        <v>185</v>
      </c>
      <c r="I35" s="70"/>
      <c r="J35" s="70">
        <f t="shared" si="3"/>
        <v>450</v>
      </c>
      <c r="K35" s="154" t="s">
        <v>73</v>
      </c>
      <c r="L35" s="63"/>
      <c r="M35" s="140">
        <v>450</v>
      </c>
      <c r="N35" s="103"/>
      <c r="O35" s="95"/>
      <c r="P35" s="18">
        <v>1E-3</v>
      </c>
      <c r="Q35" s="18">
        <v>0.03</v>
      </c>
      <c r="R35" s="18">
        <v>6.6600000000000006E-2</v>
      </c>
      <c r="S35" s="18">
        <v>0</v>
      </c>
      <c r="T35" s="26">
        <v>0</v>
      </c>
    </row>
    <row r="36" spans="1:20" x14ac:dyDescent="0.25">
      <c r="A36" s="81" t="s">
        <v>109</v>
      </c>
      <c r="B36" s="118" t="s">
        <v>98</v>
      </c>
      <c r="C36" s="45" t="s">
        <v>117</v>
      </c>
      <c r="D36" s="70" t="s">
        <v>99</v>
      </c>
      <c r="E36" s="72" t="s">
        <v>17</v>
      </c>
      <c r="F36" s="167">
        <v>1000</v>
      </c>
      <c r="G36" s="70"/>
      <c r="H36" s="76"/>
      <c r="I36" s="70"/>
      <c r="J36" s="70">
        <f t="shared" si="3"/>
        <v>1000</v>
      </c>
      <c r="K36" s="154" t="s">
        <v>93</v>
      </c>
      <c r="L36" s="63"/>
      <c r="M36" s="140">
        <v>1000</v>
      </c>
      <c r="N36" s="103"/>
      <c r="O36" s="95"/>
      <c r="P36" s="18">
        <v>1E-3</v>
      </c>
      <c r="Q36" s="18">
        <v>1.3299999999999999E-2</v>
      </c>
      <c r="R36" s="18">
        <v>5.33E-2</v>
      </c>
      <c r="S36" s="18">
        <v>0</v>
      </c>
      <c r="T36" s="26">
        <v>0</v>
      </c>
    </row>
    <row r="37" spans="1:20" x14ac:dyDescent="0.25">
      <c r="A37" s="81" t="s">
        <v>109</v>
      </c>
      <c r="B37" s="118" t="s">
        <v>98</v>
      </c>
      <c r="C37" s="45" t="s">
        <v>117</v>
      </c>
      <c r="D37" s="70" t="s">
        <v>99</v>
      </c>
      <c r="E37" s="72" t="s">
        <v>17</v>
      </c>
      <c r="F37" s="167">
        <v>1000</v>
      </c>
      <c r="G37" s="70"/>
      <c r="H37" s="76"/>
      <c r="I37" s="70"/>
      <c r="J37" s="70">
        <f t="shared" si="3"/>
        <v>1000</v>
      </c>
      <c r="K37" s="154" t="s">
        <v>94</v>
      </c>
      <c r="L37" s="63"/>
      <c r="M37" s="140">
        <v>1000</v>
      </c>
      <c r="N37" s="103"/>
      <c r="O37" s="95"/>
      <c r="P37" s="18">
        <v>0</v>
      </c>
      <c r="Q37" s="18">
        <v>0.01</v>
      </c>
      <c r="R37" s="18">
        <v>3.3300000000000003E-2</v>
      </c>
      <c r="S37" s="18">
        <v>0</v>
      </c>
      <c r="T37" s="26">
        <v>0</v>
      </c>
    </row>
    <row r="38" spans="1:20" x14ac:dyDescent="0.25">
      <c r="A38" s="81" t="s">
        <v>109</v>
      </c>
      <c r="B38" s="118" t="s">
        <v>98</v>
      </c>
      <c r="C38" s="45" t="s">
        <v>117</v>
      </c>
      <c r="D38" s="70" t="s">
        <v>99</v>
      </c>
      <c r="E38" s="72" t="s">
        <v>17</v>
      </c>
      <c r="F38" s="167">
        <v>1000</v>
      </c>
      <c r="G38" s="70"/>
      <c r="H38" s="76"/>
      <c r="I38" s="70"/>
      <c r="J38" s="70">
        <f t="shared" si="3"/>
        <v>1000</v>
      </c>
      <c r="K38" s="154" t="s">
        <v>95</v>
      </c>
      <c r="L38" s="63"/>
      <c r="M38" s="140">
        <v>1000</v>
      </c>
      <c r="N38" s="103"/>
      <c r="O38" s="95"/>
      <c r="P38" s="18">
        <v>0</v>
      </c>
      <c r="Q38" s="18">
        <v>0.02</v>
      </c>
      <c r="R38" s="18">
        <v>4.6600000000000003E-2</v>
      </c>
      <c r="S38" s="18">
        <v>0</v>
      </c>
      <c r="T38" s="26">
        <v>0</v>
      </c>
    </row>
    <row r="39" spans="1:20" x14ac:dyDescent="0.25">
      <c r="A39" s="81" t="s">
        <v>109</v>
      </c>
      <c r="B39" s="118" t="s">
        <v>98</v>
      </c>
      <c r="C39" s="45" t="s">
        <v>117</v>
      </c>
      <c r="D39" s="70" t="s">
        <v>99</v>
      </c>
      <c r="E39" s="72" t="s">
        <v>17</v>
      </c>
      <c r="F39" s="167">
        <v>1000</v>
      </c>
      <c r="G39" s="70"/>
      <c r="H39" s="76"/>
      <c r="I39" s="70"/>
      <c r="J39" s="70">
        <f t="shared" si="3"/>
        <v>1000</v>
      </c>
      <c r="K39" s="154" t="s">
        <v>96</v>
      </c>
      <c r="L39" s="63"/>
      <c r="M39" s="140">
        <v>1000</v>
      </c>
      <c r="N39" s="103"/>
      <c r="O39" s="95"/>
      <c r="P39" s="18">
        <v>1E-3</v>
      </c>
      <c r="Q39" s="18">
        <v>3.3E-3</v>
      </c>
      <c r="R39" s="18">
        <v>0.04</v>
      </c>
      <c r="S39" s="18">
        <v>0</v>
      </c>
      <c r="T39" s="26">
        <v>0</v>
      </c>
    </row>
    <row r="40" spans="1:20" x14ac:dyDescent="0.25">
      <c r="A40" s="81" t="s">
        <v>109</v>
      </c>
      <c r="B40" s="118" t="s">
        <v>98</v>
      </c>
      <c r="C40" s="45" t="s">
        <v>117</v>
      </c>
      <c r="D40" s="70" t="s">
        <v>99</v>
      </c>
      <c r="E40" s="72" t="s">
        <v>17</v>
      </c>
      <c r="F40" s="167">
        <v>1000</v>
      </c>
      <c r="G40" s="70"/>
      <c r="H40" s="76"/>
      <c r="I40" s="70"/>
      <c r="J40" s="70">
        <f t="shared" si="3"/>
        <v>1000</v>
      </c>
      <c r="K40" s="154" t="s">
        <v>121</v>
      </c>
      <c r="L40" s="63"/>
      <c r="M40" s="140">
        <v>1000</v>
      </c>
      <c r="N40" s="103"/>
      <c r="O40" s="95"/>
      <c r="P40" s="18">
        <v>0</v>
      </c>
      <c r="Q40" s="18">
        <v>0</v>
      </c>
      <c r="R40" s="18">
        <v>0.03</v>
      </c>
      <c r="S40" s="18">
        <v>0</v>
      </c>
      <c r="T40" s="26">
        <v>0</v>
      </c>
    </row>
    <row r="41" spans="1:20" x14ac:dyDescent="0.25">
      <c r="A41" s="81" t="s">
        <v>109</v>
      </c>
      <c r="B41" s="118" t="s">
        <v>98</v>
      </c>
      <c r="C41" s="45" t="s">
        <v>117</v>
      </c>
      <c r="D41" s="70" t="s">
        <v>99</v>
      </c>
      <c r="E41" s="72" t="s">
        <v>17</v>
      </c>
      <c r="F41" s="167">
        <v>1000</v>
      </c>
      <c r="G41" s="70"/>
      <c r="H41" s="76"/>
      <c r="I41" s="70"/>
      <c r="J41" s="70">
        <f t="shared" si="3"/>
        <v>1000</v>
      </c>
      <c r="K41" s="154" t="s">
        <v>122</v>
      </c>
      <c r="L41" s="63"/>
      <c r="M41" s="140">
        <v>1000</v>
      </c>
      <c r="N41" s="103"/>
      <c r="O41" s="95"/>
      <c r="P41" s="18">
        <v>1E-3</v>
      </c>
      <c r="Q41" s="18">
        <v>6.6E-3</v>
      </c>
      <c r="R41" s="18">
        <v>4.3299999999999998E-2</v>
      </c>
      <c r="S41" s="18">
        <v>0</v>
      </c>
      <c r="T41" s="26">
        <v>0</v>
      </c>
    </row>
    <row r="42" spans="1:20" x14ac:dyDescent="0.25">
      <c r="A42" s="81" t="s">
        <v>109</v>
      </c>
      <c r="B42" s="118" t="s">
        <v>98</v>
      </c>
      <c r="C42" s="45" t="s">
        <v>117</v>
      </c>
      <c r="D42" s="70" t="s">
        <v>99</v>
      </c>
      <c r="E42" s="72" t="s">
        <v>17</v>
      </c>
      <c r="F42" s="167">
        <v>1000</v>
      </c>
      <c r="G42" s="70"/>
      <c r="H42" s="76"/>
      <c r="I42" s="70"/>
      <c r="J42" s="70">
        <f t="shared" si="3"/>
        <v>1000</v>
      </c>
      <c r="K42" s="154" t="s">
        <v>123</v>
      </c>
      <c r="L42" s="63"/>
      <c r="M42" s="140">
        <v>1000</v>
      </c>
      <c r="N42" s="103"/>
      <c r="O42" s="95"/>
      <c r="P42" s="18">
        <v>0</v>
      </c>
      <c r="Q42" s="18">
        <v>3.3E-3</v>
      </c>
      <c r="R42" s="18">
        <v>1.66E-2</v>
      </c>
      <c r="S42" s="18">
        <v>0</v>
      </c>
      <c r="T42" s="26">
        <v>0</v>
      </c>
    </row>
    <row r="43" spans="1:20" x14ac:dyDescent="0.25">
      <c r="A43" s="81" t="s">
        <v>109</v>
      </c>
      <c r="B43" s="118" t="s">
        <v>98</v>
      </c>
      <c r="C43" s="45" t="s">
        <v>117</v>
      </c>
      <c r="D43" s="70" t="s">
        <v>99</v>
      </c>
      <c r="E43" s="72" t="s">
        <v>17</v>
      </c>
      <c r="F43" s="167">
        <v>1000</v>
      </c>
      <c r="G43" s="70"/>
      <c r="H43" s="76"/>
      <c r="I43" s="70"/>
      <c r="J43" s="70">
        <f t="shared" si="3"/>
        <v>1000</v>
      </c>
      <c r="K43" s="154" t="s">
        <v>127</v>
      </c>
      <c r="L43" s="63"/>
      <c r="M43" s="140">
        <v>1000</v>
      </c>
      <c r="N43" s="103"/>
      <c r="O43" s="95"/>
      <c r="P43" s="18">
        <v>1E-3</v>
      </c>
      <c r="Q43" s="18">
        <v>0.02</v>
      </c>
      <c r="R43" s="18">
        <v>3.6600000000000001E-2</v>
      </c>
      <c r="S43" s="18">
        <v>0</v>
      </c>
      <c r="T43" s="26">
        <v>0</v>
      </c>
    </row>
    <row r="44" spans="1:20" x14ac:dyDescent="0.25">
      <c r="A44" s="81" t="s">
        <v>109</v>
      </c>
      <c r="B44" s="118" t="s">
        <v>98</v>
      </c>
      <c r="C44" s="45" t="s">
        <v>117</v>
      </c>
      <c r="D44" s="70" t="s">
        <v>99</v>
      </c>
      <c r="E44" s="72" t="s">
        <v>17</v>
      </c>
      <c r="F44" s="167">
        <v>1000</v>
      </c>
      <c r="G44" s="70"/>
      <c r="H44" s="76"/>
      <c r="I44" s="70"/>
      <c r="J44" s="70">
        <f t="shared" si="3"/>
        <v>1000</v>
      </c>
      <c r="K44" s="154" t="s">
        <v>128</v>
      </c>
      <c r="L44" s="63"/>
      <c r="M44" s="140">
        <v>1000</v>
      </c>
      <c r="N44" s="103"/>
      <c r="O44" s="95"/>
      <c r="P44" s="18">
        <v>1E-3</v>
      </c>
      <c r="Q44" s="18">
        <v>1.3299999999999999E-2</v>
      </c>
      <c r="R44" s="18">
        <v>0.04</v>
      </c>
      <c r="S44" s="18">
        <v>0</v>
      </c>
      <c r="T44" s="26">
        <v>0</v>
      </c>
    </row>
    <row r="45" spans="1:20" x14ac:dyDescent="0.25">
      <c r="A45" s="81" t="s">
        <v>109</v>
      </c>
      <c r="B45" s="118" t="s">
        <v>98</v>
      </c>
      <c r="C45" s="45" t="s">
        <v>117</v>
      </c>
      <c r="D45" s="70" t="s">
        <v>99</v>
      </c>
      <c r="E45" s="72" t="s">
        <v>17</v>
      </c>
      <c r="F45" s="167">
        <v>1000</v>
      </c>
      <c r="G45" s="70"/>
      <c r="H45" s="76"/>
      <c r="I45" s="70"/>
      <c r="J45" s="70">
        <f t="shared" si="3"/>
        <v>1000</v>
      </c>
      <c r="K45" s="154" t="s">
        <v>129</v>
      </c>
      <c r="L45" s="63"/>
      <c r="M45" s="140">
        <v>1000</v>
      </c>
      <c r="N45" s="103"/>
      <c r="O45" s="95"/>
      <c r="P45" s="18">
        <v>0</v>
      </c>
      <c r="Q45" s="18">
        <v>6.6E-3</v>
      </c>
      <c r="R45" s="18">
        <v>2.6599999999999999E-2</v>
      </c>
      <c r="S45" s="18">
        <v>0</v>
      </c>
      <c r="T45" s="26">
        <v>0</v>
      </c>
    </row>
    <row r="46" spans="1:20" x14ac:dyDescent="0.25">
      <c r="A46" s="81" t="s">
        <v>109</v>
      </c>
      <c r="B46" s="118" t="s">
        <v>98</v>
      </c>
      <c r="C46" s="45" t="s">
        <v>117</v>
      </c>
      <c r="D46" s="70" t="s">
        <v>99</v>
      </c>
      <c r="E46" s="72" t="s">
        <v>17</v>
      </c>
      <c r="F46" s="167">
        <v>1000</v>
      </c>
      <c r="G46" s="70"/>
      <c r="H46" s="76"/>
      <c r="I46" s="70"/>
      <c r="J46" s="70">
        <f t="shared" si="3"/>
        <v>1000</v>
      </c>
      <c r="K46" s="154" t="s">
        <v>130</v>
      </c>
      <c r="L46" s="63"/>
      <c r="M46" s="140">
        <v>1000</v>
      </c>
      <c r="N46" s="103"/>
      <c r="O46" s="95"/>
      <c r="P46" s="18">
        <v>0</v>
      </c>
      <c r="Q46" s="18">
        <v>0.01</v>
      </c>
      <c r="R46" s="18">
        <v>3.6600000000000001E-2</v>
      </c>
      <c r="S46" s="18">
        <v>0</v>
      </c>
      <c r="T46" s="26">
        <v>0</v>
      </c>
    </row>
    <row r="47" spans="1:20" x14ac:dyDescent="0.25">
      <c r="A47" s="81" t="s">
        <v>109</v>
      </c>
      <c r="B47" s="118" t="s">
        <v>98</v>
      </c>
      <c r="C47" s="45" t="s">
        <v>117</v>
      </c>
      <c r="D47" s="70" t="s">
        <v>99</v>
      </c>
      <c r="E47" s="72" t="s">
        <v>17</v>
      </c>
      <c r="F47" s="167">
        <v>1000</v>
      </c>
      <c r="G47" s="70"/>
      <c r="H47" s="76"/>
      <c r="I47" s="70"/>
      <c r="J47" s="70">
        <f t="shared" si="3"/>
        <v>1000</v>
      </c>
      <c r="K47" s="154" t="s">
        <v>131</v>
      </c>
      <c r="L47" s="63"/>
      <c r="M47" s="140">
        <v>1000</v>
      </c>
      <c r="N47" s="103"/>
      <c r="O47" s="95"/>
      <c r="P47" s="18">
        <v>0</v>
      </c>
      <c r="Q47" s="18">
        <v>0.02</v>
      </c>
      <c r="R47" s="18">
        <v>3.3300000000000003E-2</v>
      </c>
      <c r="S47" s="18">
        <v>0</v>
      </c>
      <c r="T47" s="26">
        <v>0</v>
      </c>
    </row>
    <row r="48" spans="1:20" x14ac:dyDescent="0.25">
      <c r="A48" s="81" t="s">
        <v>109</v>
      </c>
      <c r="B48" s="118" t="s">
        <v>98</v>
      </c>
      <c r="C48" s="45" t="s">
        <v>117</v>
      </c>
      <c r="D48" s="70" t="s">
        <v>99</v>
      </c>
      <c r="E48" s="72" t="s">
        <v>17</v>
      </c>
      <c r="F48" s="167">
        <v>1000</v>
      </c>
      <c r="G48" s="70"/>
      <c r="H48" s="76"/>
      <c r="I48" s="70"/>
      <c r="J48" s="70">
        <f t="shared" si="3"/>
        <v>1000</v>
      </c>
      <c r="K48" s="154" t="s">
        <v>132</v>
      </c>
      <c r="L48" s="63"/>
      <c r="M48" s="140">
        <v>1000</v>
      </c>
      <c r="N48" s="103"/>
      <c r="O48" s="95"/>
      <c r="P48" s="18">
        <v>0</v>
      </c>
      <c r="Q48" s="18">
        <v>1.66E-2</v>
      </c>
      <c r="R48" s="18">
        <v>3.6600000000000001E-2</v>
      </c>
      <c r="S48" s="18">
        <v>0</v>
      </c>
      <c r="T48" s="26">
        <v>0</v>
      </c>
    </row>
    <row r="49" spans="1:20" x14ac:dyDescent="0.25">
      <c r="A49" s="81" t="s">
        <v>119</v>
      </c>
      <c r="B49" s="118" t="s">
        <v>98</v>
      </c>
      <c r="C49" s="45" t="s">
        <v>139</v>
      </c>
      <c r="D49" s="70" t="s">
        <v>99</v>
      </c>
      <c r="E49" s="72" t="s">
        <v>17</v>
      </c>
      <c r="F49" s="167">
        <v>1000</v>
      </c>
      <c r="G49" s="70"/>
      <c r="H49" s="76"/>
      <c r="I49" s="70"/>
      <c r="J49" s="70">
        <f t="shared" si="3"/>
        <v>1000</v>
      </c>
      <c r="K49" s="154" t="s">
        <v>60</v>
      </c>
      <c r="L49" s="63"/>
      <c r="M49" s="139">
        <v>1000</v>
      </c>
      <c r="N49" s="103"/>
      <c r="O49" s="95"/>
      <c r="P49" s="18">
        <v>0</v>
      </c>
      <c r="Q49" s="18">
        <v>6.6E-3</v>
      </c>
      <c r="R49" s="18">
        <v>2.6599999999999999E-2</v>
      </c>
      <c r="S49" s="18">
        <v>0</v>
      </c>
      <c r="T49" s="26">
        <v>0</v>
      </c>
    </row>
    <row r="50" spans="1:20" x14ac:dyDescent="0.25">
      <c r="A50" s="81" t="s">
        <v>119</v>
      </c>
      <c r="B50" s="118" t="s">
        <v>98</v>
      </c>
      <c r="C50" s="45" t="s">
        <v>139</v>
      </c>
      <c r="D50" s="70" t="s">
        <v>99</v>
      </c>
      <c r="E50" s="72" t="s">
        <v>17</v>
      </c>
      <c r="F50" s="167">
        <v>1000</v>
      </c>
      <c r="G50" s="70"/>
      <c r="H50" s="76"/>
      <c r="I50" s="70"/>
      <c r="J50" s="70">
        <f t="shared" si="3"/>
        <v>1000</v>
      </c>
      <c r="K50" s="154" t="s">
        <v>62</v>
      </c>
      <c r="L50" s="63"/>
      <c r="M50" s="139">
        <v>1000</v>
      </c>
      <c r="N50" s="103"/>
      <c r="O50" s="95"/>
      <c r="P50" s="18">
        <v>0</v>
      </c>
      <c r="Q50" s="18">
        <v>0.01</v>
      </c>
      <c r="R50" s="18">
        <v>4.3299999999999998E-2</v>
      </c>
      <c r="S50" s="18">
        <v>0</v>
      </c>
      <c r="T50" s="26">
        <v>0</v>
      </c>
    </row>
    <row r="51" spans="1:20" x14ac:dyDescent="0.25">
      <c r="A51" s="81"/>
      <c r="B51" s="118"/>
      <c r="C51" s="45"/>
      <c r="D51" s="70"/>
      <c r="E51" s="72"/>
      <c r="F51" s="167"/>
      <c r="G51" s="70"/>
      <c r="H51" s="76"/>
      <c r="I51" s="70"/>
      <c r="J51" s="70">
        <f t="shared" si="3"/>
        <v>0</v>
      </c>
      <c r="K51" s="154"/>
      <c r="L51" s="63"/>
      <c r="M51" s="139"/>
      <c r="N51" s="103"/>
      <c r="O51" s="95"/>
      <c r="P51" s="18"/>
      <c r="Q51" s="18"/>
      <c r="R51" s="18"/>
      <c r="S51" s="18"/>
      <c r="T51" s="26"/>
    </row>
    <row r="52" spans="1:20" x14ac:dyDescent="0.25">
      <c r="A52" s="114"/>
      <c r="B52" s="78"/>
      <c r="C52" s="30"/>
      <c r="D52" s="31" t="s">
        <v>18</v>
      </c>
      <c r="E52" s="32"/>
      <c r="F52" s="104"/>
      <c r="G52" s="104"/>
      <c r="H52" s="104"/>
      <c r="I52" s="104"/>
      <c r="J52" s="104"/>
      <c r="K52" s="33"/>
      <c r="L52" s="27"/>
      <c r="M52" s="140"/>
      <c r="N52" s="103"/>
      <c r="O52" s="95"/>
      <c r="P52" s="18"/>
      <c r="Q52" s="18"/>
      <c r="R52" s="18"/>
      <c r="S52" s="18"/>
      <c r="T52" s="26"/>
    </row>
    <row r="53" spans="1:20" x14ac:dyDescent="0.25">
      <c r="A53" s="114"/>
      <c r="B53" s="78"/>
      <c r="C53" s="30"/>
      <c r="D53" s="31"/>
      <c r="E53" s="32"/>
      <c r="F53" s="104"/>
      <c r="G53" s="104"/>
      <c r="H53" s="104"/>
      <c r="I53" s="104"/>
      <c r="J53" s="104"/>
      <c r="K53" s="33"/>
      <c r="L53" s="27"/>
      <c r="M53" s="140"/>
      <c r="N53" s="103"/>
      <c r="O53" s="95"/>
      <c r="P53" s="18"/>
      <c r="Q53" s="18"/>
      <c r="R53" s="18"/>
      <c r="S53" s="18"/>
      <c r="T53" s="26"/>
    </row>
    <row r="54" spans="1:20" x14ac:dyDescent="0.25">
      <c r="A54" s="114"/>
      <c r="B54" s="78"/>
      <c r="C54" s="30"/>
      <c r="D54" s="31" t="s">
        <v>166</v>
      </c>
      <c r="E54" s="32"/>
      <c r="F54" s="104"/>
      <c r="G54" s="104"/>
      <c r="H54" s="104" t="s">
        <v>167</v>
      </c>
      <c r="I54" s="104" t="s">
        <v>168</v>
      </c>
      <c r="J54" s="104"/>
      <c r="K54" s="33"/>
      <c r="L54" s="27"/>
      <c r="M54" s="140"/>
      <c r="N54" s="103"/>
      <c r="O54" s="95"/>
      <c r="P54" s="18"/>
      <c r="Q54" s="18"/>
      <c r="R54" s="18"/>
      <c r="S54" s="18"/>
      <c r="T54" s="26"/>
    </row>
    <row r="55" spans="1:20" x14ac:dyDescent="0.25">
      <c r="A55" s="114"/>
      <c r="B55" s="78"/>
      <c r="C55" s="30"/>
      <c r="D55" s="31"/>
      <c r="E55" s="32"/>
      <c r="F55" s="104"/>
      <c r="G55" s="104"/>
      <c r="H55" s="104"/>
      <c r="I55" s="104"/>
      <c r="J55" s="104"/>
      <c r="K55" s="33"/>
      <c r="L55" s="27"/>
      <c r="M55" s="140"/>
      <c r="N55" s="103"/>
      <c r="O55" s="95"/>
      <c r="P55" s="18"/>
      <c r="Q55" s="18"/>
      <c r="R55" s="18"/>
      <c r="S55" s="18"/>
      <c r="T55" s="26"/>
    </row>
    <row r="56" spans="1:20" x14ac:dyDescent="0.25">
      <c r="A56" s="70"/>
      <c r="B56" s="79"/>
      <c r="C56" s="79"/>
      <c r="D56" s="23" t="s">
        <v>15</v>
      </c>
      <c r="E56" s="51" t="s">
        <v>17</v>
      </c>
      <c r="F56" s="23">
        <f>SUM(F11:F51)</f>
        <v>35450</v>
      </c>
      <c r="G56" s="155">
        <f>SUM(G11:G55)</f>
        <v>0</v>
      </c>
      <c r="H56" s="23"/>
      <c r="I56" s="23"/>
      <c r="J56" s="23">
        <f>F56-G56</f>
        <v>35450</v>
      </c>
      <c r="K56" s="24" t="s">
        <v>16</v>
      </c>
      <c r="L56" s="25">
        <f>SUM(L11:L55)</f>
        <v>0</v>
      </c>
      <c r="M56" s="25">
        <f>SUM(M11:M55)</f>
        <v>35450</v>
      </c>
      <c r="N56" s="25">
        <f>SUM(N11:N51)</f>
        <v>0</v>
      </c>
      <c r="O56" s="25">
        <f>SUM(O11:O55)</f>
        <v>0</v>
      </c>
      <c r="P56" s="26"/>
      <c r="Q56" s="26"/>
      <c r="R56" s="26"/>
      <c r="S56" s="26"/>
      <c r="T56" s="26"/>
    </row>
    <row r="57" spans="1:20" x14ac:dyDescent="0.25">
      <c r="A57" s="81"/>
      <c r="B57" s="118"/>
      <c r="C57" s="45"/>
      <c r="D57" s="70"/>
      <c r="E57" s="93"/>
      <c r="F57" s="70"/>
      <c r="G57" s="70"/>
      <c r="H57" s="70"/>
      <c r="I57" s="70"/>
      <c r="J57" s="70"/>
      <c r="K57" s="154"/>
      <c r="L57" s="63"/>
      <c r="M57" s="65"/>
      <c r="N57" s="158"/>
      <c r="O57" s="95"/>
      <c r="P57" s="18"/>
      <c r="Q57" s="18"/>
      <c r="R57" s="18"/>
      <c r="S57" s="18"/>
      <c r="T57" s="26"/>
    </row>
    <row r="58" spans="1:20" x14ac:dyDescent="0.25">
      <c r="A58" s="81" t="s">
        <v>79</v>
      </c>
      <c r="B58" s="118"/>
      <c r="C58" s="45" t="s">
        <v>80</v>
      </c>
      <c r="D58" s="70" t="s">
        <v>81</v>
      </c>
      <c r="E58" s="72" t="s">
        <v>19</v>
      </c>
      <c r="F58" s="70">
        <v>1000</v>
      </c>
      <c r="G58" s="70"/>
      <c r="H58" s="70"/>
      <c r="I58" s="70"/>
      <c r="J58" s="76">
        <f t="shared" ref="J58:J97" si="4">F58-G58</f>
        <v>1000</v>
      </c>
      <c r="K58" s="154" t="s">
        <v>87</v>
      </c>
      <c r="L58" s="63"/>
      <c r="M58" s="65">
        <v>1000</v>
      </c>
      <c r="N58" s="158"/>
      <c r="O58" s="95"/>
      <c r="P58" s="18">
        <v>0.13</v>
      </c>
      <c r="Q58" s="18">
        <v>4.6600000000000003E-2</v>
      </c>
      <c r="R58" s="18">
        <v>7.6600000000000001E-2</v>
      </c>
      <c r="S58" s="18">
        <v>5.0000000000000001E-3</v>
      </c>
      <c r="T58" s="26">
        <v>0.5</v>
      </c>
    </row>
    <row r="59" spans="1:20" x14ac:dyDescent="0.25">
      <c r="A59" s="81" t="s">
        <v>79</v>
      </c>
      <c r="B59" s="118"/>
      <c r="C59" s="45" t="s">
        <v>80</v>
      </c>
      <c r="D59" s="70" t="s">
        <v>81</v>
      </c>
      <c r="E59" s="72" t="s">
        <v>19</v>
      </c>
      <c r="F59" s="70">
        <v>1000</v>
      </c>
      <c r="G59" s="70"/>
      <c r="H59" s="70"/>
      <c r="I59" s="70"/>
      <c r="J59" s="76">
        <f t="shared" si="4"/>
        <v>1000</v>
      </c>
      <c r="K59" s="154" t="s">
        <v>89</v>
      </c>
      <c r="L59" s="63"/>
      <c r="M59" s="65">
        <v>1000</v>
      </c>
      <c r="N59" s="158"/>
      <c r="O59" s="95"/>
      <c r="P59" s="18">
        <v>0.11</v>
      </c>
      <c r="Q59" s="18">
        <v>8.6599999999999996E-2</v>
      </c>
      <c r="R59" s="18">
        <v>5.6599999999999998E-2</v>
      </c>
      <c r="S59" s="18">
        <v>8.0000000000000002E-3</v>
      </c>
      <c r="T59" s="26"/>
    </row>
    <row r="60" spans="1:20" x14ac:dyDescent="0.25">
      <c r="A60" s="81" t="s">
        <v>79</v>
      </c>
      <c r="B60" s="118"/>
      <c r="C60" s="45" t="s">
        <v>80</v>
      </c>
      <c r="D60" s="70" t="s">
        <v>81</v>
      </c>
      <c r="E60" s="72" t="s">
        <v>19</v>
      </c>
      <c r="F60" s="70">
        <v>1000</v>
      </c>
      <c r="G60" s="70"/>
      <c r="H60" s="70"/>
      <c r="I60" s="70"/>
      <c r="J60" s="76">
        <f t="shared" si="4"/>
        <v>1000</v>
      </c>
      <c r="K60" s="154" t="s">
        <v>90</v>
      </c>
      <c r="L60" s="63"/>
      <c r="M60" s="65">
        <v>1000</v>
      </c>
      <c r="N60" s="158"/>
      <c r="O60" s="95"/>
      <c r="P60" s="18">
        <v>0.13</v>
      </c>
      <c r="Q60" s="18">
        <v>8.6599999999999996E-2</v>
      </c>
      <c r="R60" s="18">
        <v>0.08</v>
      </c>
      <c r="S60" s="18">
        <v>1.6E-2</v>
      </c>
      <c r="T60" s="26">
        <v>0.4</v>
      </c>
    </row>
    <row r="61" spans="1:20" x14ac:dyDescent="0.25">
      <c r="A61" s="81" t="s">
        <v>79</v>
      </c>
      <c r="B61" s="118"/>
      <c r="C61" s="45" t="s">
        <v>80</v>
      </c>
      <c r="D61" s="70" t="s">
        <v>81</v>
      </c>
      <c r="E61" s="72" t="s">
        <v>19</v>
      </c>
      <c r="F61" s="70">
        <v>954</v>
      </c>
      <c r="G61" s="70"/>
      <c r="H61" s="70"/>
      <c r="I61" s="70"/>
      <c r="J61" s="76">
        <f t="shared" si="4"/>
        <v>954</v>
      </c>
      <c r="K61" s="154" t="s">
        <v>91</v>
      </c>
      <c r="L61" s="63"/>
      <c r="M61" s="65">
        <v>954</v>
      </c>
      <c r="N61" s="158"/>
      <c r="O61" s="95"/>
      <c r="P61" s="18">
        <v>6.4000000000000001E-2</v>
      </c>
      <c r="Q61" s="18">
        <v>7.3300000000000004E-2</v>
      </c>
      <c r="R61" s="18">
        <v>6.3299999999999995E-2</v>
      </c>
      <c r="S61" s="18">
        <v>6.0000000000000001E-3</v>
      </c>
      <c r="T61" s="26">
        <v>5.6</v>
      </c>
    </row>
    <row r="62" spans="1:20" x14ac:dyDescent="0.25">
      <c r="A62" s="81" t="s">
        <v>97</v>
      </c>
      <c r="B62" s="118"/>
      <c r="C62" s="45" t="s">
        <v>106</v>
      </c>
      <c r="D62" s="70" t="s">
        <v>81</v>
      </c>
      <c r="E62" s="72" t="s">
        <v>19</v>
      </c>
      <c r="F62" s="70">
        <v>1000</v>
      </c>
      <c r="G62" s="70"/>
      <c r="H62" s="70"/>
      <c r="I62" s="70"/>
      <c r="J62" s="76">
        <f t="shared" si="4"/>
        <v>1000</v>
      </c>
      <c r="K62" s="154" t="s">
        <v>85</v>
      </c>
      <c r="L62" s="63"/>
      <c r="M62" s="65">
        <v>1000</v>
      </c>
      <c r="N62" s="158"/>
      <c r="O62" s="95"/>
      <c r="P62" s="18">
        <v>2E-3</v>
      </c>
      <c r="Q62" s="18">
        <v>2.3300000000000001E-2</v>
      </c>
      <c r="R62" s="18">
        <v>3.3300000000000003E-2</v>
      </c>
      <c r="S62" s="18">
        <v>8.0000000000000002E-3</v>
      </c>
      <c r="T62" s="26"/>
    </row>
    <row r="63" spans="1:20" x14ac:dyDescent="0.25">
      <c r="A63" s="81" t="s">
        <v>97</v>
      </c>
      <c r="B63" s="118"/>
      <c r="C63" s="45" t="s">
        <v>106</v>
      </c>
      <c r="D63" s="70" t="s">
        <v>81</v>
      </c>
      <c r="E63" s="72" t="s">
        <v>19</v>
      </c>
      <c r="F63" s="70">
        <v>1000</v>
      </c>
      <c r="G63" s="70"/>
      <c r="H63" s="70"/>
      <c r="I63" s="70"/>
      <c r="J63" s="76">
        <f t="shared" si="4"/>
        <v>1000</v>
      </c>
      <c r="K63" s="154" t="s">
        <v>86</v>
      </c>
      <c r="L63" s="63"/>
      <c r="M63" s="65">
        <v>1000</v>
      </c>
      <c r="N63" s="158"/>
      <c r="O63" s="95"/>
      <c r="P63" s="18">
        <v>1E-3</v>
      </c>
      <c r="Q63" s="18">
        <v>2.6599999999999999E-2</v>
      </c>
      <c r="R63" s="18">
        <v>0.05</v>
      </c>
      <c r="S63" s="18">
        <v>3.0000000000000001E-3</v>
      </c>
      <c r="T63" s="26"/>
    </row>
    <row r="64" spans="1:20" x14ac:dyDescent="0.25">
      <c r="A64" s="81" t="s">
        <v>105</v>
      </c>
      <c r="B64" s="118"/>
      <c r="C64" s="45" t="s">
        <v>106</v>
      </c>
      <c r="D64" s="70" t="s">
        <v>81</v>
      </c>
      <c r="E64" s="72" t="s">
        <v>19</v>
      </c>
      <c r="F64" s="70">
        <v>1000</v>
      </c>
      <c r="G64" s="70"/>
      <c r="H64" s="70"/>
      <c r="I64" s="70"/>
      <c r="J64" s="76">
        <f t="shared" si="4"/>
        <v>1000</v>
      </c>
      <c r="K64" s="154" t="s">
        <v>88</v>
      </c>
      <c r="L64" s="63"/>
      <c r="M64" s="65">
        <v>1000</v>
      </c>
      <c r="N64" s="158"/>
      <c r="O64" s="95"/>
      <c r="P64" s="18">
        <v>0</v>
      </c>
      <c r="Q64" s="18">
        <v>2.3300000000000001E-2</v>
      </c>
      <c r="R64" s="18">
        <v>3.6600000000000001E-2</v>
      </c>
      <c r="S64" s="18">
        <v>6.0000000000000001E-3</v>
      </c>
      <c r="T64" s="26"/>
    </row>
    <row r="65" spans="1:20" x14ac:dyDescent="0.25">
      <c r="A65" s="81" t="s">
        <v>109</v>
      </c>
      <c r="B65" s="118"/>
      <c r="C65" s="45" t="s">
        <v>106</v>
      </c>
      <c r="D65" s="70" t="s">
        <v>81</v>
      </c>
      <c r="E65" s="72" t="s">
        <v>19</v>
      </c>
      <c r="F65" s="70">
        <v>1000</v>
      </c>
      <c r="G65" s="70"/>
      <c r="H65" s="70"/>
      <c r="I65" s="70"/>
      <c r="J65" s="76">
        <f t="shared" si="4"/>
        <v>1000</v>
      </c>
      <c r="K65" s="154" t="s">
        <v>115</v>
      </c>
      <c r="L65" s="63"/>
      <c r="M65" s="65">
        <v>1000</v>
      </c>
      <c r="N65" s="158"/>
      <c r="O65" s="95"/>
      <c r="P65" s="18">
        <v>1E-3</v>
      </c>
      <c r="Q65" s="18">
        <v>2.6599999999999999E-2</v>
      </c>
      <c r="R65" s="18">
        <v>3.6600000000000001E-2</v>
      </c>
      <c r="S65" s="18">
        <v>6.0000000000000001E-3</v>
      </c>
      <c r="T65" s="26"/>
    </row>
    <row r="66" spans="1:20" x14ac:dyDescent="0.25">
      <c r="A66" s="81" t="s">
        <v>124</v>
      </c>
      <c r="B66" s="118"/>
      <c r="C66" s="45" t="s">
        <v>106</v>
      </c>
      <c r="D66" s="70" t="s">
        <v>81</v>
      </c>
      <c r="E66" s="72" t="s">
        <v>19</v>
      </c>
      <c r="F66" s="70">
        <v>1000</v>
      </c>
      <c r="G66" s="70"/>
      <c r="H66" s="70"/>
      <c r="I66" s="70"/>
      <c r="J66" s="76">
        <f t="shared" si="4"/>
        <v>1000</v>
      </c>
      <c r="K66" s="154" t="s">
        <v>125</v>
      </c>
      <c r="L66" s="63"/>
      <c r="M66" s="65">
        <v>1000</v>
      </c>
      <c r="N66" s="158"/>
      <c r="O66" s="95"/>
      <c r="P66" s="18">
        <v>3.0000000000000001E-3</v>
      </c>
      <c r="Q66" s="18">
        <v>2.3300000000000001E-2</v>
      </c>
      <c r="R66" s="18">
        <v>2.6599999999999999E-2</v>
      </c>
      <c r="S66" s="18">
        <v>7.0000000000000001E-3</v>
      </c>
      <c r="T66" s="26"/>
    </row>
    <row r="67" spans="1:20" x14ac:dyDescent="0.25">
      <c r="A67" s="81" t="s">
        <v>124</v>
      </c>
      <c r="B67" s="118"/>
      <c r="C67" s="45" t="s">
        <v>106</v>
      </c>
      <c r="D67" s="70" t="s">
        <v>81</v>
      </c>
      <c r="E67" s="72" t="s">
        <v>19</v>
      </c>
      <c r="F67" s="70">
        <v>1000</v>
      </c>
      <c r="G67" s="70"/>
      <c r="H67" s="70"/>
      <c r="I67" s="70"/>
      <c r="J67" s="76">
        <f t="shared" si="4"/>
        <v>1000</v>
      </c>
      <c r="K67" s="154" t="s">
        <v>143</v>
      </c>
      <c r="L67" s="63"/>
      <c r="M67" s="65">
        <v>1000</v>
      </c>
      <c r="N67" s="158"/>
      <c r="O67" s="95"/>
      <c r="P67" s="18">
        <v>1E-3</v>
      </c>
      <c r="Q67" s="18">
        <v>0.02</v>
      </c>
      <c r="R67" s="18">
        <v>0.03</v>
      </c>
      <c r="S67" s="18">
        <v>4.0000000000000001E-3</v>
      </c>
      <c r="T67" s="26"/>
    </row>
    <row r="68" spans="1:20" x14ac:dyDescent="0.25">
      <c r="A68" s="81" t="s">
        <v>124</v>
      </c>
      <c r="B68" s="118"/>
      <c r="C68" s="45" t="s">
        <v>106</v>
      </c>
      <c r="D68" s="70" t="s">
        <v>81</v>
      </c>
      <c r="E68" s="72" t="s">
        <v>19</v>
      </c>
      <c r="F68" s="70">
        <v>1000</v>
      </c>
      <c r="G68" s="70"/>
      <c r="H68" s="70"/>
      <c r="I68" s="70"/>
      <c r="J68" s="76">
        <f t="shared" si="4"/>
        <v>1000</v>
      </c>
      <c r="K68" s="154" t="s">
        <v>144</v>
      </c>
      <c r="L68" s="63"/>
      <c r="M68" s="65">
        <v>1000</v>
      </c>
      <c r="N68" s="158"/>
      <c r="O68" s="95"/>
      <c r="P68" s="18">
        <v>1E-3</v>
      </c>
      <c r="Q68" s="18">
        <v>1.3299999999999999E-2</v>
      </c>
      <c r="R68" s="18">
        <v>2.3300000000000001E-2</v>
      </c>
      <c r="S68" s="18">
        <v>3.0000000000000001E-3</v>
      </c>
      <c r="T68" s="26"/>
    </row>
    <row r="69" spans="1:20" x14ac:dyDescent="0.25">
      <c r="A69" s="81" t="s">
        <v>142</v>
      </c>
      <c r="B69" s="118"/>
      <c r="C69" s="45" t="s">
        <v>141</v>
      </c>
      <c r="D69" s="70" t="s">
        <v>81</v>
      </c>
      <c r="E69" s="72" t="s">
        <v>19</v>
      </c>
      <c r="F69" s="70">
        <v>1000</v>
      </c>
      <c r="G69" s="70"/>
      <c r="H69" s="70"/>
      <c r="I69" s="70"/>
      <c r="J69" s="76">
        <f t="shared" si="4"/>
        <v>1000</v>
      </c>
      <c r="K69" s="154" t="s">
        <v>145</v>
      </c>
      <c r="L69" s="63"/>
      <c r="M69" s="65">
        <v>1000</v>
      </c>
      <c r="N69" s="158"/>
      <c r="O69" s="95"/>
      <c r="P69" s="18">
        <v>2E-3</v>
      </c>
      <c r="Q69" s="18">
        <v>2.3300000000000001E-2</v>
      </c>
      <c r="R69" s="18">
        <v>6.3299999999999995E-2</v>
      </c>
      <c r="S69" s="18">
        <v>3.0000000000000001E-3</v>
      </c>
      <c r="T69" s="26"/>
    </row>
    <row r="70" spans="1:20" x14ac:dyDescent="0.25">
      <c r="A70" s="81" t="s">
        <v>142</v>
      </c>
      <c r="B70" s="118"/>
      <c r="C70" s="45" t="s">
        <v>141</v>
      </c>
      <c r="D70" s="70" t="s">
        <v>81</v>
      </c>
      <c r="E70" s="72" t="s">
        <v>19</v>
      </c>
      <c r="F70" s="70">
        <v>1000</v>
      </c>
      <c r="G70" s="70"/>
      <c r="H70" s="70"/>
      <c r="I70" s="70"/>
      <c r="J70" s="76">
        <f t="shared" si="4"/>
        <v>1000</v>
      </c>
      <c r="K70" s="154" t="s">
        <v>146</v>
      </c>
      <c r="L70" s="63"/>
      <c r="M70" s="65">
        <v>1000</v>
      </c>
      <c r="N70" s="158"/>
      <c r="O70" s="95"/>
      <c r="P70" s="18">
        <v>1E-3</v>
      </c>
      <c r="Q70" s="18">
        <v>0.02</v>
      </c>
      <c r="R70" s="18">
        <v>0.04</v>
      </c>
      <c r="S70" s="18">
        <v>4.0000000000000001E-3</v>
      </c>
      <c r="T70" s="26"/>
    </row>
    <row r="71" spans="1:20" x14ac:dyDescent="0.25">
      <c r="A71" s="81" t="s">
        <v>142</v>
      </c>
      <c r="B71" s="118"/>
      <c r="C71" s="45" t="s">
        <v>141</v>
      </c>
      <c r="D71" s="70" t="s">
        <v>81</v>
      </c>
      <c r="E71" s="72" t="s">
        <v>19</v>
      </c>
      <c r="F71" s="70">
        <v>1000</v>
      </c>
      <c r="G71" s="70"/>
      <c r="H71" s="70"/>
      <c r="I71" s="70"/>
      <c r="J71" s="76">
        <f t="shared" si="4"/>
        <v>1000</v>
      </c>
      <c r="K71" s="154" t="s">
        <v>147</v>
      </c>
      <c r="L71" s="63"/>
      <c r="M71" s="65">
        <v>1000</v>
      </c>
      <c r="N71" s="158"/>
      <c r="O71" s="95"/>
      <c r="P71" s="18">
        <v>1E-3</v>
      </c>
      <c r="Q71" s="18">
        <v>0.02</v>
      </c>
      <c r="R71" s="18">
        <v>4.6600000000000003E-2</v>
      </c>
      <c r="S71" s="18">
        <v>4.0000000000000001E-3</v>
      </c>
      <c r="T71" s="26"/>
    </row>
    <row r="72" spans="1:20" x14ac:dyDescent="0.25">
      <c r="A72" s="81" t="s">
        <v>142</v>
      </c>
      <c r="B72" s="118"/>
      <c r="C72" s="45" t="s">
        <v>141</v>
      </c>
      <c r="D72" s="70" t="s">
        <v>81</v>
      </c>
      <c r="E72" s="72" t="s">
        <v>19</v>
      </c>
      <c r="F72" s="70">
        <v>1000</v>
      </c>
      <c r="G72" s="70"/>
      <c r="H72" s="70"/>
      <c r="I72" s="70"/>
      <c r="J72" s="76">
        <f t="shared" si="4"/>
        <v>1000</v>
      </c>
      <c r="K72" s="154" t="s">
        <v>148</v>
      </c>
      <c r="L72" s="63"/>
      <c r="M72" s="65">
        <v>1000</v>
      </c>
      <c r="N72" s="158"/>
      <c r="O72" s="95"/>
      <c r="P72" s="18">
        <v>2E-3</v>
      </c>
      <c r="Q72" s="18">
        <v>2.6599999999999999E-2</v>
      </c>
      <c r="R72" s="18">
        <v>3.6600000000000001E-2</v>
      </c>
      <c r="S72" s="18">
        <v>4.0000000000000001E-3</v>
      </c>
      <c r="T72" s="26"/>
    </row>
    <row r="73" spans="1:20" x14ac:dyDescent="0.25">
      <c r="A73" s="81" t="s">
        <v>142</v>
      </c>
      <c r="B73" s="118"/>
      <c r="C73" s="45" t="s">
        <v>141</v>
      </c>
      <c r="D73" s="70" t="s">
        <v>81</v>
      </c>
      <c r="E73" s="72" t="s">
        <v>19</v>
      </c>
      <c r="F73" s="70">
        <v>1000</v>
      </c>
      <c r="G73" s="70"/>
      <c r="H73" s="70"/>
      <c r="I73" s="70"/>
      <c r="J73" s="76">
        <f t="shared" si="4"/>
        <v>1000</v>
      </c>
      <c r="K73" s="154" t="s">
        <v>149</v>
      </c>
      <c r="L73" s="63"/>
      <c r="M73" s="65">
        <v>1000</v>
      </c>
      <c r="N73" s="158"/>
      <c r="O73" s="95"/>
      <c r="P73" s="18">
        <v>1E-3</v>
      </c>
      <c r="Q73" s="18">
        <v>0.02</v>
      </c>
      <c r="R73" s="18">
        <v>0.04</v>
      </c>
      <c r="S73" s="18">
        <v>4.0000000000000001E-3</v>
      </c>
      <c r="T73" s="26"/>
    </row>
    <row r="74" spans="1:20" x14ac:dyDescent="0.25">
      <c r="A74" s="81" t="s">
        <v>142</v>
      </c>
      <c r="B74" s="118"/>
      <c r="C74" s="45" t="s">
        <v>141</v>
      </c>
      <c r="D74" s="70" t="s">
        <v>81</v>
      </c>
      <c r="E74" s="72" t="s">
        <v>19</v>
      </c>
      <c r="F74" s="70">
        <v>1000</v>
      </c>
      <c r="G74" s="70"/>
      <c r="H74" s="70"/>
      <c r="I74" s="70"/>
      <c r="J74" s="76">
        <f t="shared" si="4"/>
        <v>1000</v>
      </c>
      <c r="K74" s="154" t="s">
        <v>150</v>
      </c>
      <c r="L74" s="63"/>
      <c r="M74" s="65">
        <v>1000</v>
      </c>
      <c r="N74" s="158"/>
      <c r="O74" s="95"/>
      <c r="P74" s="18">
        <v>3.0000000000000001E-3</v>
      </c>
      <c r="Q74" s="18">
        <v>0.02</v>
      </c>
      <c r="R74" s="18">
        <v>4.6600000000000003E-2</v>
      </c>
      <c r="S74" s="18">
        <v>5.0000000000000001E-3</v>
      </c>
      <c r="T74" s="26"/>
    </row>
    <row r="75" spans="1:20" x14ac:dyDescent="0.25">
      <c r="A75" s="81" t="s">
        <v>142</v>
      </c>
      <c r="B75" s="118"/>
      <c r="C75" s="45" t="s">
        <v>141</v>
      </c>
      <c r="D75" s="70" t="s">
        <v>81</v>
      </c>
      <c r="E75" s="72" t="s">
        <v>19</v>
      </c>
      <c r="F75" s="70">
        <v>1000</v>
      </c>
      <c r="G75" s="70"/>
      <c r="H75" s="70"/>
      <c r="I75" s="70"/>
      <c r="J75" s="76">
        <f t="shared" si="4"/>
        <v>1000</v>
      </c>
      <c r="K75" s="154" t="s">
        <v>151</v>
      </c>
      <c r="L75" s="63"/>
      <c r="M75" s="65">
        <v>1000</v>
      </c>
      <c r="N75" s="158"/>
      <c r="O75" s="95"/>
      <c r="P75" s="18">
        <v>1E-3</v>
      </c>
      <c r="Q75" s="18">
        <v>2.6599999999999999E-2</v>
      </c>
      <c r="R75" s="18">
        <v>4.6600000000000003E-2</v>
      </c>
      <c r="S75" s="18">
        <v>3.0000000000000001E-3</v>
      </c>
      <c r="T75" s="26"/>
    </row>
    <row r="76" spans="1:20" x14ac:dyDescent="0.25">
      <c r="A76" s="81" t="s">
        <v>142</v>
      </c>
      <c r="B76" s="118"/>
      <c r="C76" s="45" t="s">
        <v>141</v>
      </c>
      <c r="D76" s="70" t="s">
        <v>81</v>
      </c>
      <c r="E76" s="72" t="s">
        <v>19</v>
      </c>
      <c r="F76" s="70">
        <v>1000</v>
      </c>
      <c r="G76" s="70"/>
      <c r="H76" s="70"/>
      <c r="I76" s="70"/>
      <c r="J76" s="76">
        <f t="shared" si="4"/>
        <v>1000</v>
      </c>
      <c r="K76" s="154" t="s">
        <v>152</v>
      </c>
      <c r="L76" s="63"/>
      <c r="M76" s="65">
        <v>1000</v>
      </c>
      <c r="N76" s="158"/>
      <c r="O76" s="95"/>
      <c r="P76" s="18">
        <v>1E-3</v>
      </c>
      <c r="Q76" s="18">
        <v>2.3300000000000001E-2</v>
      </c>
      <c r="R76" s="18">
        <v>5.6599999999999998E-2</v>
      </c>
      <c r="S76" s="18">
        <v>4.0000000000000001E-3</v>
      </c>
      <c r="T76" s="26"/>
    </row>
    <row r="77" spans="1:20" x14ac:dyDescent="0.25">
      <c r="A77" s="81" t="s">
        <v>142</v>
      </c>
      <c r="B77" s="118"/>
      <c r="C77" s="45" t="s">
        <v>141</v>
      </c>
      <c r="D77" s="70" t="s">
        <v>81</v>
      </c>
      <c r="E77" s="72" t="s">
        <v>19</v>
      </c>
      <c r="F77" s="70">
        <v>1000</v>
      </c>
      <c r="G77" s="70"/>
      <c r="H77" s="70"/>
      <c r="I77" s="70"/>
      <c r="J77" s="76">
        <f t="shared" si="4"/>
        <v>1000</v>
      </c>
      <c r="K77" s="154" t="s">
        <v>153</v>
      </c>
      <c r="L77" s="63"/>
      <c r="M77" s="65">
        <v>1000</v>
      </c>
      <c r="N77" s="158"/>
      <c r="O77" s="95"/>
      <c r="P77" s="18">
        <v>2E-3</v>
      </c>
      <c r="Q77" s="18">
        <v>2.6599999999999999E-2</v>
      </c>
      <c r="R77" s="18">
        <v>2.6599999999999999E-2</v>
      </c>
      <c r="S77" s="18">
        <v>6.0000000000000001E-3</v>
      </c>
      <c r="T77" s="26"/>
    </row>
    <row r="78" spans="1:20" x14ac:dyDescent="0.25">
      <c r="A78" s="81" t="s">
        <v>142</v>
      </c>
      <c r="B78" s="118"/>
      <c r="C78" s="45" t="s">
        <v>141</v>
      </c>
      <c r="D78" s="70" t="s">
        <v>81</v>
      </c>
      <c r="E78" s="72" t="s">
        <v>19</v>
      </c>
      <c r="F78" s="70">
        <v>1000</v>
      </c>
      <c r="G78" s="70"/>
      <c r="H78" s="70"/>
      <c r="I78" s="70"/>
      <c r="J78" s="76">
        <f t="shared" si="4"/>
        <v>1000</v>
      </c>
      <c r="K78" s="154" t="s">
        <v>154</v>
      </c>
      <c r="L78" s="63"/>
      <c r="M78" s="65">
        <v>1000</v>
      </c>
      <c r="N78" s="158"/>
      <c r="O78" s="95"/>
      <c r="P78" s="18">
        <v>1E-3</v>
      </c>
      <c r="Q78" s="18">
        <v>2.3300000000000001E-2</v>
      </c>
      <c r="R78" s="18">
        <v>0.03</v>
      </c>
      <c r="S78" s="18">
        <v>4.0000000000000001E-3</v>
      </c>
      <c r="T78" s="26"/>
    </row>
    <row r="79" spans="1:20" x14ac:dyDescent="0.25">
      <c r="A79" s="81" t="s">
        <v>157</v>
      </c>
      <c r="B79" s="118"/>
      <c r="C79" s="45" t="s">
        <v>141</v>
      </c>
      <c r="D79" s="70" t="s">
        <v>81</v>
      </c>
      <c r="E79" s="72" t="s">
        <v>19</v>
      </c>
      <c r="F79" s="70">
        <v>1000</v>
      </c>
      <c r="G79" s="70"/>
      <c r="H79" s="70"/>
      <c r="I79" s="70"/>
      <c r="J79" s="76">
        <f t="shared" si="4"/>
        <v>1000</v>
      </c>
      <c r="K79" s="154" t="s">
        <v>158</v>
      </c>
      <c r="L79" s="63"/>
      <c r="M79" s="65">
        <v>1000</v>
      </c>
      <c r="N79" s="158"/>
      <c r="O79" s="95"/>
      <c r="P79" s="18">
        <v>1E-3</v>
      </c>
      <c r="Q79" s="18">
        <v>2.3300000000000001E-2</v>
      </c>
      <c r="R79" s="18">
        <v>3.6600000000000001E-2</v>
      </c>
      <c r="S79" s="18">
        <v>4.0000000000000001E-3</v>
      </c>
      <c r="T79" s="26"/>
    </row>
    <row r="80" spans="1:20" x14ac:dyDescent="0.25">
      <c r="A80" s="81" t="s">
        <v>157</v>
      </c>
      <c r="B80" s="118"/>
      <c r="C80" s="45" t="s">
        <v>141</v>
      </c>
      <c r="D80" s="70" t="s">
        <v>81</v>
      </c>
      <c r="E80" s="72" t="s">
        <v>19</v>
      </c>
      <c r="F80" s="70">
        <v>1000</v>
      </c>
      <c r="G80" s="70"/>
      <c r="H80" s="70"/>
      <c r="I80" s="70"/>
      <c r="J80" s="76">
        <f t="shared" si="4"/>
        <v>1000</v>
      </c>
      <c r="K80" s="154" t="s">
        <v>159</v>
      </c>
      <c r="L80" s="63"/>
      <c r="M80" s="65">
        <v>1000</v>
      </c>
      <c r="N80" s="158"/>
      <c r="O80" s="95"/>
      <c r="P80" s="18">
        <v>3.0000000000000001E-3</v>
      </c>
      <c r="Q80" s="18">
        <v>2.6599999999999999E-2</v>
      </c>
      <c r="R80" s="18">
        <v>4.3299999999999998E-2</v>
      </c>
      <c r="S80" s="18">
        <v>1.4999999999999999E-2</v>
      </c>
      <c r="T80" s="26"/>
    </row>
    <row r="81" spans="1:20" x14ac:dyDescent="0.25">
      <c r="A81" s="81"/>
      <c r="B81" s="118"/>
      <c r="C81" s="45"/>
      <c r="D81" s="70"/>
      <c r="E81" s="72"/>
      <c r="F81" s="70"/>
      <c r="G81" s="70"/>
      <c r="H81" s="70"/>
      <c r="I81" s="70"/>
      <c r="J81" s="76"/>
      <c r="K81" s="154"/>
      <c r="L81" s="63"/>
      <c r="M81" s="65"/>
      <c r="N81" s="158"/>
      <c r="O81" s="95"/>
      <c r="P81" s="18"/>
      <c r="Q81" s="18"/>
      <c r="R81" s="18"/>
      <c r="S81" s="18"/>
      <c r="T81" s="26"/>
    </row>
    <row r="82" spans="1:20" x14ac:dyDescent="0.25">
      <c r="A82" s="81" t="s">
        <v>109</v>
      </c>
      <c r="B82" s="118" t="s">
        <v>98</v>
      </c>
      <c r="C82" s="45" t="s">
        <v>117</v>
      </c>
      <c r="D82" s="70" t="s">
        <v>99</v>
      </c>
      <c r="E82" s="72" t="s">
        <v>19</v>
      </c>
      <c r="F82" s="70">
        <v>1000</v>
      </c>
      <c r="G82" s="70"/>
      <c r="H82" s="70" t="s">
        <v>196</v>
      </c>
      <c r="I82" s="70"/>
      <c r="J82" s="76">
        <f t="shared" si="4"/>
        <v>1000</v>
      </c>
      <c r="K82" s="197" t="s">
        <v>68</v>
      </c>
      <c r="L82" s="63"/>
      <c r="M82" s="65">
        <v>1000</v>
      </c>
      <c r="N82" s="158"/>
      <c r="O82" s="95"/>
      <c r="P82" s="18">
        <v>0</v>
      </c>
      <c r="Q82" s="18">
        <v>0.02</v>
      </c>
      <c r="R82" s="18">
        <v>0.06</v>
      </c>
      <c r="S82" s="18">
        <v>0</v>
      </c>
      <c r="T82" s="26">
        <v>0</v>
      </c>
    </row>
    <row r="83" spans="1:20" x14ac:dyDescent="0.25">
      <c r="A83" s="81" t="s">
        <v>109</v>
      </c>
      <c r="B83" s="118" t="s">
        <v>98</v>
      </c>
      <c r="C83" s="45" t="s">
        <v>117</v>
      </c>
      <c r="D83" s="70" t="s">
        <v>99</v>
      </c>
      <c r="E83" s="72" t="s">
        <v>19</v>
      </c>
      <c r="F83" s="70">
        <v>1000</v>
      </c>
      <c r="G83" s="70"/>
      <c r="H83" s="70" t="s">
        <v>196</v>
      </c>
      <c r="I83" s="70"/>
      <c r="J83" s="76">
        <f t="shared" si="4"/>
        <v>1000</v>
      </c>
      <c r="K83" s="197" t="s">
        <v>71</v>
      </c>
      <c r="L83" s="63"/>
      <c r="M83" s="65">
        <v>1000</v>
      </c>
      <c r="N83" s="158"/>
      <c r="O83" s="95"/>
      <c r="P83" s="18">
        <v>1E-3</v>
      </c>
      <c r="Q83" s="18">
        <v>0.02</v>
      </c>
      <c r="R83" s="18">
        <v>9.6600000000000005E-2</v>
      </c>
      <c r="S83" s="18">
        <v>0</v>
      </c>
      <c r="T83" s="26">
        <v>0</v>
      </c>
    </row>
    <row r="84" spans="1:20" x14ac:dyDescent="0.25">
      <c r="A84" s="81" t="s">
        <v>109</v>
      </c>
      <c r="B84" s="118" t="s">
        <v>98</v>
      </c>
      <c r="C84" s="45" t="s">
        <v>117</v>
      </c>
      <c r="D84" s="70" t="s">
        <v>99</v>
      </c>
      <c r="E84" s="72" t="s">
        <v>19</v>
      </c>
      <c r="F84" s="70">
        <v>1000</v>
      </c>
      <c r="G84" s="70"/>
      <c r="H84" s="70"/>
      <c r="I84" s="70"/>
      <c r="J84" s="76">
        <f t="shared" si="4"/>
        <v>1000</v>
      </c>
      <c r="K84" s="154" t="s">
        <v>72</v>
      </c>
      <c r="L84" s="63"/>
      <c r="M84" s="65">
        <v>1000</v>
      </c>
      <c r="N84" s="158"/>
      <c r="O84" s="95"/>
      <c r="P84" s="18">
        <v>2E-3</v>
      </c>
      <c r="Q84" s="18">
        <v>3.3300000000000003E-2</v>
      </c>
      <c r="R84" s="18">
        <v>0.12659999999999999</v>
      </c>
      <c r="S84" s="18">
        <v>0</v>
      </c>
      <c r="T84" s="26">
        <v>0</v>
      </c>
    </row>
    <row r="85" spans="1:20" x14ac:dyDescent="0.25">
      <c r="A85" s="81" t="s">
        <v>109</v>
      </c>
      <c r="B85" s="118" t="s">
        <v>98</v>
      </c>
      <c r="C85" s="45" t="s">
        <v>117</v>
      </c>
      <c r="D85" s="70" t="s">
        <v>99</v>
      </c>
      <c r="E85" s="72" t="s">
        <v>19</v>
      </c>
      <c r="F85" s="70">
        <v>1000</v>
      </c>
      <c r="G85" s="70"/>
      <c r="H85" s="70" t="s">
        <v>196</v>
      </c>
      <c r="I85" s="70"/>
      <c r="J85" s="76">
        <f t="shared" si="4"/>
        <v>1000</v>
      </c>
      <c r="K85" s="197" t="s">
        <v>73</v>
      </c>
      <c r="L85" s="63"/>
      <c r="M85" s="65">
        <v>1000</v>
      </c>
      <c r="N85" s="158"/>
      <c r="O85" s="95"/>
      <c r="P85" s="18">
        <v>1E-3</v>
      </c>
      <c r="Q85" s="18">
        <v>2.6599999999999999E-2</v>
      </c>
      <c r="R85" s="18">
        <v>0.1</v>
      </c>
      <c r="S85" s="18">
        <v>0</v>
      </c>
      <c r="T85" s="26">
        <v>0</v>
      </c>
    </row>
    <row r="86" spans="1:20" x14ac:dyDescent="0.25">
      <c r="A86" s="81" t="s">
        <v>109</v>
      </c>
      <c r="B86" s="118" t="s">
        <v>98</v>
      </c>
      <c r="C86" s="45" t="s">
        <v>117</v>
      </c>
      <c r="D86" s="70" t="s">
        <v>99</v>
      </c>
      <c r="E86" s="72" t="s">
        <v>19</v>
      </c>
      <c r="F86" s="70">
        <v>1000</v>
      </c>
      <c r="G86" s="70"/>
      <c r="H86" s="70" t="s">
        <v>196</v>
      </c>
      <c r="I86" s="70"/>
      <c r="J86" s="76">
        <f t="shared" si="4"/>
        <v>1000</v>
      </c>
      <c r="K86" s="197" t="s">
        <v>93</v>
      </c>
      <c r="L86" s="63"/>
      <c r="M86" s="65">
        <v>1000</v>
      </c>
      <c r="N86" s="158"/>
      <c r="O86" s="95"/>
      <c r="P86" s="18">
        <v>2E-3</v>
      </c>
      <c r="Q86" s="18">
        <v>2.3300000000000001E-2</v>
      </c>
      <c r="R86" s="18">
        <v>0.08</v>
      </c>
      <c r="S86" s="18">
        <v>0</v>
      </c>
      <c r="T86" s="26">
        <v>0</v>
      </c>
    </row>
    <row r="87" spans="1:20" x14ac:dyDescent="0.25">
      <c r="A87" s="81" t="s">
        <v>109</v>
      </c>
      <c r="B87" s="118" t="s">
        <v>98</v>
      </c>
      <c r="C87" s="45" t="s">
        <v>117</v>
      </c>
      <c r="D87" s="70" t="s">
        <v>99</v>
      </c>
      <c r="E87" s="72" t="s">
        <v>19</v>
      </c>
      <c r="F87" s="70">
        <v>1000</v>
      </c>
      <c r="G87" s="70"/>
      <c r="H87" s="70"/>
      <c r="I87" s="70"/>
      <c r="J87" s="76">
        <f t="shared" si="4"/>
        <v>1000</v>
      </c>
      <c r="K87" s="154" t="s">
        <v>94</v>
      </c>
      <c r="L87" s="63"/>
      <c r="M87" s="65">
        <v>1000</v>
      </c>
      <c r="N87" s="158"/>
      <c r="O87" s="95"/>
      <c r="P87" s="18">
        <v>0</v>
      </c>
      <c r="Q87" s="18">
        <v>0.02</v>
      </c>
      <c r="R87" s="18">
        <v>0.14330000000000001</v>
      </c>
      <c r="S87" s="18">
        <v>0</v>
      </c>
      <c r="T87" s="26">
        <v>0</v>
      </c>
    </row>
    <row r="88" spans="1:20" x14ac:dyDescent="0.25">
      <c r="A88" s="81" t="s">
        <v>109</v>
      </c>
      <c r="B88" s="118" t="s">
        <v>98</v>
      </c>
      <c r="C88" s="45" t="s">
        <v>117</v>
      </c>
      <c r="D88" s="70" t="s">
        <v>99</v>
      </c>
      <c r="E88" s="72" t="s">
        <v>19</v>
      </c>
      <c r="F88" s="70">
        <v>1000</v>
      </c>
      <c r="G88" s="70"/>
      <c r="H88" s="70"/>
      <c r="I88" s="70"/>
      <c r="J88" s="76">
        <f t="shared" si="4"/>
        <v>1000</v>
      </c>
      <c r="K88" s="154" t="s">
        <v>95</v>
      </c>
      <c r="L88" s="63"/>
      <c r="M88" s="65">
        <v>1000</v>
      </c>
      <c r="N88" s="158"/>
      <c r="O88" s="95"/>
      <c r="P88" s="18">
        <v>0</v>
      </c>
      <c r="Q88" s="18">
        <v>2.3300000000000001E-2</v>
      </c>
      <c r="R88" s="18">
        <v>0.1133</v>
      </c>
      <c r="S88" s="18">
        <v>0</v>
      </c>
      <c r="T88" s="26">
        <v>0</v>
      </c>
    </row>
    <row r="89" spans="1:20" x14ac:dyDescent="0.25">
      <c r="A89" s="81" t="s">
        <v>109</v>
      </c>
      <c r="B89" s="118" t="s">
        <v>98</v>
      </c>
      <c r="C89" s="45" t="s">
        <v>117</v>
      </c>
      <c r="D89" s="70" t="s">
        <v>99</v>
      </c>
      <c r="E89" s="72" t="s">
        <v>19</v>
      </c>
      <c r="F89" s="70">
        <v>1000</v>
      </c>
      <c r="G89" s="70"/>
      <c r="H89" s="70"/>
      <c r="I89" s="70"/>
      <c r="J89" s="76">
        <f t="shared" si="4"/>
        <v>1000</v>
      </c>
      <c r="K89" s="154" t="s">
        <v>96</v>
      </c>
      <c r="L89" s="63"/>
      <c r="M89" s="65">
        <v>1000</v>
      </c>
      <c r="N89" s="158"/>
      <c r="O89" s="95"/>
      <c r="P89" s="18">
        <v>2E-3</v>
      </c>
      <c r="Q89" s="18">
        <v>0.03</v>
      </c>
      <c r="R89" s="18">
        <v>9.3299999999999994E-2</v>
      </c>
      <c r="S89" s="18">
        <v>0</v>
      </c>
      <c r="T89" s="26">
        <v>0</v>
      </c>
    </row>
    <row r="90" spans="1:20" x14ac:dyDescent="0.25">
      <c r="A90" s="81" t="s">
        <v>109</v>
      </c>
      <c r="B90" s="118" t="s">
        <v>98</v>
      </c>
      <c r="C90" s="45" t="s">
        <v>117</v>
      </c>
      <c r="D90" s="70" t="s">
        <v>99</v>
      </c>
      <c r="E90" s="72" t="s">
        <v>19</v>
      </c>
      <c r="F90" s="70">
        <v>1000</v>
      </c>
      <c r="G90" s="70"/>
      <c r="H90" s="70" t="s">
        <v>196</v>
      </c>
      <c r="I90" s="70"/>
      <c r="J90" s="76">
        <f t="shared" si="4"/>
        <v>1000</v>
      </c>
      <c r="K90" s="197" t="s">
        <v>123</v>
      </c>
      <c r="L90" s="63"/>
      <c r="M90" s="65">
        <v>1000</v>
      </c>
      <c r="N90" s="158"/>
      <c r="O90" s="95"/>
      <c r="P90" s="18">
        <v>0</v>
      </c>
      <c r="Q90" s="18">
        <v>0.02</v>
      </c>
      <c r="R90" s="18">
        <v>3.3300000000000003E-2</v>
      </c>
      <c r="S90" s="18">
        <v>0</v>
      </c>
      <c r="T90" s="26">
        <v>0</v>
      </c>
    </row>
    <row r="91" spans="1:20" x14ac:dyDescent="0.25">
      <c r="A91" s="81" t="s">
        <v>109</v>
      </c>
      <c r="B91" s="118" t="s">
        <v>98</v>
      </c>
      <c r="C91" s="45" t="s">
        <v>117</v>
      </c>
      <c r="D91" s="70" t="s">
        <v>99</v>
      </c>
      <c r="E91" s="72" t="s">
        <v>19</v>
      </c>
      <c r="F91" s="70">
        <v>1000</v>
      </c>
      <c r="G91" s="70"/>
      <c r="H91" s="70" t="s">
        <v>196</v>
      </c>
      <c r="I91" s="70"/>
      <c r="J91" s="76">
        <f t="shared" si="4"/>
        <v>1000</v>
      </c>
      <c r="K91" s="197" t="s">
        <v>127</v>
      </c>
      <c r="L91" s="63"/>
      <c r="M91" s="65">
        <v>1000</v>
      </c>
      <c r="N91" s="158"/>
      <c r="O91" s="95"/>
      <c r="P91" s="18">
        <v>0</v>
      </c>
      <c r="Q91" s="18">
        <v>0.02</v>
      </c>
      <c r="R91" s="18">
        <v>4.3299999999999998E-2</v>
      </c>
      <c r="S91" s="18">
        <v>0</v>
      </c>
      <c r="T91" s="26">
        <v>0</v>
      </c>
    </row>
    <row r="92" spans="1:20" x14ac:dyDescent="0.25">
      <c r="A92" s="81" t="s">
        <v>109</v>
      </c>
      <c r="B92" s="118" t="s">
        <v>98</v>
      </c>
      <c r="C92" s="45" t="s">
        <v>117</v>
      </c>
      <c r="D92" s="70" t="s">
        <v>99</v>
      </c>
      <c r="E92" s="72" t="s">
        <v>19</v>
      </c>
      <c r="F92" s="70">
        <v>1000</v>
      </c>
      <c r="G92" s="70"/>
      <c r="H92" s="70" t="s">
        <v>196</v>
      </c>
      <c r="I92" s="70"/>
      <c r="J92" s="76">
        <f t="shared" si="4"/>
        <v>1000</v>
      </c>
      <c r="K92" s="197" t="s">
        <v>128</v>
      </c>
      <c r="L92" s="63"/>
      <c r="M92" s="65">
        <v>1000</v>
      </c>
      <c r="N92" s="158"/>
      <c r="O92" s="95"/>
      <c r="P92" s="18">
        <v>1E-3</v>
      </c>
      <c r="Q92" s="18">
        <v>2.3300000000000001E-2</v>
      </c>
      <c r="R92" s="18">
        <v>0.05</v>
      </c>
      <c r="S92" s="18">
        <v>0</v>
      </c>
      <c r="T92" s="26">
        <v>0</v>
      </c>
    </row>
    <row r="93" spans="1:20" x14ac:dyDescent="0.25">
      <c r="A93" s="81" t="s">
        <v>109</v>
      </c>
      <c r="B93" s="118" t="s">
        <v>98</v>
      </c>
      <c r="C93" s="45" t="s">
        <v>117</v>
      </c>
      <c r="D93" s="70" t="s">
        <v>99</v>
      </c>
      <c r="E93" s="72" t="s">
        <v>19</v>
      </c>
      <c r="F93" s="70">
        <v>600</v>
      </c>
      <c r="G93" s="70"/>
      <c r="H93" s="70" t="s">
        <v>196</v>
      </c>
      <c r="I93" s="70"/>
      <c r="J93" s="76">
        <f t="shared" si="4"/>
        <v>600</v>
      </c>
      <c r="K93" s="197" t="s">
        <v>132</v>
      </c>
      <c r="L93" s="63"/>
      <c r="M93" s="65">
        <v>600</v>
      </c>
      <c r="N93" s="158"/>
      <c r="O93" s="95"/>
      <c r="P93" s="18">
        <v>1E-3</v>
      </c>
      <c r="Q93" s="18">
        <v>0.02</v>
      </c>
      <c r="R93" s="18">
        <v>3.3300000000000003E-2</v>
      </c>
      <c r="S93" s="18">
        <v>0</v>
      </c>
      <c r="T93" s="26">
        <v>0</v>
      </c>
    </row>
    <row r="94" spans="1:20" x14ac:dyDescent="0.25">
      <c r="A94" s="81"/>
      <c r="B94" s="118" t="s">
        <v>98</v>
      </c>
      <c r="C94" s="45" t="s">
        <v>117</v>
      </c>
      <c r="D94" s="70" t="s">
        <v>99</v>
      </c>
      <c r="E94" s="72" t="s">
        <v>19</v>
      </c>
      <c r="F94" s="70">
        <v>400</v>
      </c>
      <c r="G94" s="70"/>
      <c r="H94" s="70"/>
      <c r="I94" s="70"/>
      <c r="J94" s="76">
        <f t="shared" si="4"/>
        <v>400</v>
      </c>
      <c r="K94" s="154" t="s">
        <v>132</v>
      </c>
      <c r="L94" s="63"/>
      <c r="M94" s="65">
        <v>400</v>
      </c>
      <c r="N94" s="158"/>
      <c r="O94" s="95"/>
      <c r="P94" s="18">
        <v>1E-3</v>
      </c>
      <c r="Q94" s="18">
        <v>0.02</v>
      </c>
      <c r="R94" s="18">
        <v>3.3300000000000003E-2</v>
      </c>
      <c r="S94" s="18">
        <v>0</v>
      </c>
      <c r="T94" s="26">
        <v>0</v>
      </c>
    </row>
    <row r="95" spans="1:20" x14ac:dyDescent="0.25">
      <c r="A95" s="81" t="s">
        <v>109</v>
      </c>
      <c r="B95" s="118" t="s">
        <v>98</v>
      </c>
      <c r="C95" s="45" t="s">
        <v>117</v>
      </c>
      <c r="D95" s="70" t="s">
        <v>99</v>
      </c>
      <c r="E95" s="72" t="s">
        <v>19</v>
      </c>
      <c r="F95" s="70">
        <v>1000</v>
      </c>
      <c r="G95" s="70"/>
      <c r="H95" s="70"/>
      <c r="I95" s="70"/>
      <c r="J95" s="76">
        <f t="shared" si="4"/>
        <v>1000</v>
      </c>
      <c r="K95" s="154" t="s">
        <v>135</v>
      </c>
      <c r="L95" s="63"/>
      <c r="M95" s="65">
        <v>1000</v>
      </c>
      <c r="N95" s="158"/>
      <c r="O95" s="95"/>
      <c r="P95" s="18">
        <v>0</v>
      </c>
      <c r="Q95" s="18">
        <v>1.66E-2</v>
      </c>
      <c r="R95" s="18">
        <v>3.3300000000000003E-2</v>
      </c>
      <c r="S95" s="18">
        <v>0</v>
      </c>
      <c r="T95" s="26">
        <v>0</v>
      </c>
    </row>
    <row r="96" spans="1:20" x14ac:dyDescent="0.25">
      <c r="A96" s="81"/>
      <c r="B96" s="118"/>
      <c r="C96" s="45"/>
      <c r="D96" s="70"/>
      <c r="E96" s="72"/>
      <c r="F96" s="70"/>
      <c r="G96" s="70"/>
      <c r="H96" s="70"/>
      <c r="I96" s="70"/>
      <c r="J96" s="76">
        <f t="shared" si="4"/>
        <v>0</v>
      </c>
      <c r="K96" s="154"/>
      <c r="L96" s="63"/>
      <c r="M96" s="65"/>
      <c r="N96" s="158"/>
      <c r="O96" s="95"/>
      <c r="P96" s="18"/>
      <c r="Q96" s="18"/>
      <c r="R96" s="18"/>
      <c r="S96" s="18"/>
      <c r="T96" s="26"/>
    </row>
    <row r="97" spans="1:20" x14ac:dyDescent="0.25">
      <c r="A97" s="81"/>
      <c r="B97" s="118"/>
      <c r="C97" s="45"/>
      <c r="D97" s="70"/>
      <c r="E97" s="93"/>
      <c r="F97" s="70"/>
      <c r="G97" s="70"/>
      <c r="H97" s="70"/>
      <c r="I97" s="70"/>
      <c r="J97" s="76">
        <f t="shared" si="4"/>
        <v>0</v>
      </c>
      <c r="K97" s="154"/>
      <c r="L97" s="63"/>
      <c r="M97" s="65"/>
      <c r="N97" s="158"/>
      <c r="O97" s="95"/>
      <c r="P97" s="18"/>
      <c r="Q97" s="18"/>
      <c r="R97" s="18"/>
      <c r="S97" s="18"/>
      <c r="T97" s="26"/>
    </row>
    <row r="98" spans="1:20" x14ac:dyDescent="0.25">
      <c r="A98" s="34"/>
      <c r="B98" s="35"/>
      <c r="C98" s="35"/>
      <c r="D98" s="36" t="s">
        <v>41</v>
      </c>
      <c r="E98" s="37"/>
      <c r="F98" s="147"/>
      <c r="G98" s="147"/>
      <c r="H98" s="147"/>
      <c r="I98" s="147"/>
      <c r="J98" s="106"/>
      <c r="K98" s="38"/>
      <c r="L98" s="63"/>
      <c r="M98" s="65"/>
      <c r="N98" s="66"/>
      <c r="O98" s="95"/>
      <c r="P98" s="18"/>
      <c r="Q98" s="18"/>
      <c r="R98" s="18"/>
      <c r="S98" s="18"/>
      <c r="T98" s="26"/>
    </row>
    <row r="99" spans="1:20" x14ac:dyDescent="0.25">
      <c r="A99" s="34"/>
      <c r="B99" s="35"/>
      <c r="C99" s="35"/>
      <c r="D99" s="36"/>
      <c r="E99" s="37"/>
      <c r="F99" s="147"/>
      <c r="G99" s="147"/>
      <c r="H99" s="147"/>
      <c r="I99" s="147"/>
      <c r="J99" s="106"/>
      <c r="K99" s="38"/>
      <c r="L99" s="27"/>
      <c r="M99" s="28"/>
      <c r="N99" s="103"/>
      <c r="O99" s="95"/>
      <c r="P99" s="18"/>
      <c r="Q99" s="29"/>
      <c r="R99" s="29"/>
      <c r="S99" s="29"/>
      <c r="T99" s="26"/>
    </row>
    <row r="100" spans="1:20" x14ac:dyDescent="0.25">
      <c r="A100" s="34"/>
      <c r="B100" s="35"/>
      <c r="C100" s="35"/>
      <c r="D100" s="36" t="s">
        <v>103</v>
      </c>
      <c r="E100" s="37"/>
      <c r="F100" s="147"/>
      <c r="G100" s="147"/>
      <c r="H100" s="147"/>
      <c r="I100" s="147"/>
      <c r="J100" s="106"/>
      <c r="K100" s="38"/>
      <c r="L100" s="27"/>
      <c r="M100" s="28"/>
      <c r="N100" s="103"/>
      <c r="O100" s="95"/>
      <c r="P100" s="18"/>
      <c r="Q100" s="29"/>
      <c r="R100" s="29"/>
      <c r="S100" s="29"/>
      <c r="T100" s="26"/>
    </row>
    <row r="101" spans="1:20" x14ac:dyDescent="0.25">
      <c r="A101" s="34"/>
      <c r="B101" s="35"/>
      <c r="C101" s="35"/>
      <c r="D101" s="36" t="s">
        <v>104</v>
      </c>
      <c r="E101" s="37"/>
      <c r="F101" s="147"/>
      <c r="G101" s="147"/>
      <c r="H101" s="147"/>
      <c r="I101" s="147"/>
      <c r="J101" s="106"/>
      <c r="K101" s="38"/>
      <c r="L101" s="27"/>
      <c r="M101" s="28"/>
      <c r="N101" s="103"/>
      <c r="O101" s="95"/>
      <c r="P101" s="18"/>
      <c r="Q101" s="29"/>
      <c r="R101" s="29"/>
      <c r="S101" s="29"/>
      <c r="T101" s="26"/>
    </row>
    <row r="102" spans="1:20" x14ac:dyDescent="0.25">
      <c r="A102" s="34"/>
      <c r="B102" s="35"/>
      <c r="C102" s="35"/>
      <c r="D102" s="36" t="s">
        <v>103</v>
      </c>
      <c r="E102" s="37"/>
      <c r="F102" s="147"/>
      <c r="G102" s="147"/>
      <c r="H102" s="147" t="s">
        <v>116</v>
      </c>
      <c r="I102" s="147"/>
      <c r="J102" s="106"/>
      <c r="K102" s="38"/>
      <c r="L102" s="27"/>
      <c r="M102" s="28"/>
      <c r="N102" s="103"/>
      <c r="O102" s="95"/>
      <c r="P102" s="18"/>
      <c r="Q102" s="29"/>
      <c r="R102" s="29"/>
      <c r="S102" s="29"/>
      <c r="T102" s="26"/>
    </row>
    <row r="103" spans="1:20" x14ac:dyDescent="0.25">
      <c r="A103" s="34"/>
      <c r="B103" s="35"/>
      <c r="C103" s="35"/>
      <c r="D103" s="36" t="s">
        <v>120</v>
      </c>
      <c r="E103" s="37"/>
      <c r="F103" s="147"/>
      <c r="G103" s="147"/>
      <c r="H103" s="147" t="s">
        <v>164</v>
      </c>
      <c r="I103" s="147"/>
      <c r="J103" s="106"/>
      <c r="K103" s="38"/>
      <c r="L103" s="27"/>
      <c r="M103" s="28"/>
      <c r="N103" s="103"/>
      <c r="O103" s="95"/>
      <c r="P103" s="18"/>
      <c r="Q103" s="29"/>
      <c r="R103" s="29"/>
      <c r="S103" s="29"/>
      <c r="T103" s="26"/>
    </row>
    <row r="104" spans="1:20" x14ac:dyDescent="0.25">
      <c r="A104" s="34"/>
      <c r="B104" s="35"/>
      <c r="C104" s="35"/>
      <c r="D104" s="36"/>
      <c r="E104" s="37"/>
      <c r="F104" s="147"/>
      <c r="G104" s="147"/>
      <c r="H104" s="147"/>
      <c r="I104" s="147"/>
      <c r="J104" s="106"/>
      <c r="K104" s="38"/>
      <c r="L104" s="27"/>
      <c r="M104" s="28"/>
      <c r="N104" s="103"/>
      <c r="O104" s="95"/>
      <c r="P104" s="18"/>
      <c r="Q104" s="29"/>
      <c r="R104" s="29"/>
      <c r="S104" s="29"/>
      <c r="T104" s="26"/>
    </row>
    <row r="105" spans="1:20" x14ac:dyDescent="0.25">
      <c r="A105" s="70"/>
      <c r="B105" s="131"/>
      <c r="C105" s="70"/>
      <c r="D105" s="23" t="s">
        <v>15</v>
      </c>
      <c r="E105" s="24" t="s">
        <v>19</v>
      </c>
      <c r="F105" s="23">
        <f>SUM(F57:F97)</f>
        <v>35954</v>
      </c>
      <c r="G105" s="23">
        <f>SUM(G57:G104)</f>
        <v>0</v>
      </c>
      <c r="H105" s="23"/>
      <c r="I105" s="23"/>
      <c r="J105" s="23">
        <f>F105-G105</f>
        <v>35954</v>
      </c>
      <c r="K105" s="24" t="s">
        <v>16</v>
      </c>
      <c r="L105" s="25">
        <f>SUM(L57:L104)</f>
        <v>0</v>
      </c>
      <c r="M105" s="25">
        <f>SUM(M57:M104)</f>
        <v>35954</v>
      </c>
      <c r="N105" s="25">
        <f>SUM(N57:N104)</f>
        <v>0</v>
      </c>
      <c r="O105" s="25">
        <f>SUM(O57:O104)</f>
        <v>0</v>
      </c>
      <c r="P105" s="26"/>
      <c r="Q105" s="26"/>
      <c r="R105" s="26"/>
      <c r="S105" s="26"/>
      <c r="T105" s="26"/>
    </row>
    <row r="106" spans="1:20" x14ac:dyDescent="0.25">
      <c r="A106" s="81"/>
      <c r="B106" s="118"/>
      <c r="C106" s="45"/>
      <c r="D106" s="70"/>
      <c r="E106" s="68"/>
      <c r="F106" s="58"/>
      <c r="G106" s="47"/>
      <c r="H106" s="76"/>
      <c r="I106" s="47"/>
      <c r="J106" s="76">
        <f t="shared" ref="J106:J113" si="5">F106-G106</f>
        <v>0</v>
      </c>
      <c r="K106" s="68"/>
      <c r="L106" s="63"/>
      <c r="M106" s="65"/>
      <c r="N106" s="66"/>
      <c r="O106" s="137"/>
      <c r="P106" s="18"/>
      <c r="Q106" s="18"/>
      <c r="R106" s="18"/>
      <c r="S106" s="18"/>
      <c r="T106" s="94"/>
    </row>
    <row r="107" spans="1:20" x14ac:dyDescent="0.25">
      <c r="A107" s="81"/>
      <c r="B107" s="118"/>
      <c r="C107" s="45"/>
      <c r="D107" s="70"/>
      <c r="E107" s="68"/>
      <c r="F107" s="58"/>
      <c r="G107" s="47"/>
      <c r="H107" s="76"/>
      <c r="I107" s="47"/>
      <c r="J107" s="76">
        <f t="shared" si="5"/>
        <v>0</v>
      </c>
      <c r="K107" s="68"/>
      <c r="L107" s="63"/>
      <c r="M107" s="65"/>
      <c r="N107" s="66"/>
      <c r="O107" s="137"/>
      <c r="P107" s="18"/>
      <c r="Q107" s="18"/>
      <c r="R107" s="18"/>
      <c r="S107" s="18"/>
      <c r="T107" s="94"/>
    </row>
    <row r="108" spans="1:20" x14ac:dyDescent="0.25">
      <c r="A108" s="81"/>
      <c r="B108" s="118"/>
      <c r="C108" s="45"/>
      <c r="D108" s="70"/>
      <c r="E108" s="68"/>
      <c r="F108" s="58"/>
      <c r="G108" s="47"/>
      <c r="H108" s="76"/>
      <c r="I108" s="47"/>
      <c r="J108" s="76">
        <f t="shared" si="5"/>
        <v>0</v>
      </c>
      <c r="K108" s="68"/>
      <c r="L108" s="63"/>
      <c r="M108" s="65"/>
      <c r="N108" s="66"/>
      <c r="O108" s="137"/>
      <c r="P108" s="18"/>
      <c r="Q108" s="18"/>
      <c r="R108" s="18"/>
      <c r="S108" s="18"/>
      <c r="T108" s="94"/>
    </row>
    <row r="109" spans="1:20" x14ac:dyDescent="0.25">
      <c r="A109" s="81" t="s">
        <v>178</v>
      </c>
      <c r="B109" s="118" t="s">
        <v>98</v>
      </c>
      <c r="C109" s="45" t="s">
        <v>117</v>
      </c>
      <c r="D109" s="70" t="s">
        <v>174</v>
      </c>
      <c r="E109" s="68" t="s">
        <v>22</v>
      </c>
      <c r="F109" s="58">
        <v>1000</v>
      </c>
      <c r="G109" s="47"/>
      <c r="H109" s="76"/>
      <c r="I109" s="47"/>
      <c r="J109" s="76">
        <f t="shared" si="5"/>
        <v>1000</v>
      </c>
      <c r="K109" s="68" t="s">
        <v>63</v>
      </c>
      <c r="L109" s="63"/>
      <c r="M109" s="65">
        <v>1000</v>
      </c>
      <c r="N109" s="66"/>
      <c r="O109" s="137"/>
      <c r="P109" s="18">
        <v>0.05</v>
      </c>
      <c r="Q109" s="18">
        <v>0</v>
      </c>
      <c r="R109" s="18">
        <v>0</v>
      </c>
      <c r="S109" s="18">
        <v>0</v>
      </c>
      <c r="T109" s="94">
        <v>0.01</v>
      </c>
    </row>
    <row r="110" spans="1:20" x14ac:dyDescent="0.25">
      <c r="A110" s="81" t="s">
        <v>178</v>
      </c>
      <c r="B110" s="118" t="s">
        <v>98</v>
      </c>
      <c r="C110" s="45" t="s">
        <v>117</v>
      </c>
      <c r="D110" s="70" t="s">
        <v>174</v>
      </c>
      <c r="E110" s="68" t="s">
        <v>22</v>
      </c>
      <c r="F110" s="58">
        <v>1000</v>
      </c>
      <c r="G110" s="47"/>
      <c r="H110" s="76"/>
      <c r="I110" s="47"/>
      <c r="J110" s="76">
        <f t="shared" si="5"/>
        <v>1000</v>
      </c>
      <c r="K110" s="68" t="s">
        <v>64</v>
      </c>
      <c r="L110" s="63"/>
      <c r="M110" s="65">
        <v>1000</v>
      </c>
      <c r="N110" s="66"/>
      <c r="O110" s="137"/>
      <c r="P110" s="18">
        <v>5.2999999999999999E-2</v>
      </c>
      <c r="Q110" s="18">
        <v>0</v>
      </c>
      <c r="R110" s="18">
        <v>0</v>
      </c>
      <c r="S110" s="18">
        <v>0</v>
      </c>
      <c r="T110" s="94">
        <v>7.0000000000000001E-3</v>
      </c>
    </row>
    <row r="111" spans="1:20" x14ac:dyDescent="0.25">
      <c r="A111" s="81" t="s">
        <v>178</v>
      </c>
      <c r="B111" s="118" t="s">
        <v>98</v>
      </c>
      <c r="C111" s="45" t="s">
        <v>117</v>
      </c>
      <c r="D111" s="70" t="s">
        <v>174</v>
      </c>
      <c r="E111" s="68" t="s">
        <v>22</v>
      </c>
      <c r="F111" s="58">
        <v>567</v>
      </c>
      <c r="G111" s="47"/>
      <c r="H111" s="76"/>
      <c r="I111" s="47"/>
      <c r="J111" s="76">
        <f t="shared" si="5"/>
        <v>567</v>
      </c>
      <c r="K111" s="68" t="s">
        <v>68</v>
      </c>
      <c r="L111" s="63"/>
      <c r="M111" s="65">
        <v>567</v>
      </c>
      <c r="N111" s="66"/>
      <c r="O111" s="137"/>
      <c r="P111" s="18">
        <v>3.4000000000000002E-2</v>
      </c>
      <c r="Q111" s="18">
        <v>0</v>
      </c>
      <c r="R111" s="18">
        <v>0</v>
      </c>
      <c r="S111" s="18">
        <v>0</v>
      </c>
      <c r="T111" s="94">
        <v>5.0000000000000001E-3</v>
      </c>
    </row>
    <row r="112" spans="1:20" ht="26.25" x14ac:dyDescent="0.25">
      <c r="A112" s="81" t="s">
        <v>172</v>
      </c>
      <c r="B112" s="118"/>
      <c r="C112" s="45" t="s">
        <v>173</v>
      </c>
      <c r="D112" s="70" t="s">
        <v>174</v>
      </c>
      <c r="E112" s="68" t="s">
        <v>22</v>
      </c>
      <c r="F112" s="58"/>
      <c r="G112" s="47"/>
      <c r="H112" s="193" t="s">
        <v>175</v>
      </c>
      <c r="I112" s="157" t="s">
        <v>176</v>
      </c>
      <c r="J112" s="76">
        <f t="shared" si="5"/>
        <v>0</v>
      </c>
      <c r="K112" s="68"/>
      <c r="L112" s="63"/>
      <c r="M112" s="65"/>
      <c r="N112" s="66"/>
      <c r="O112" s="137"/>
      <c r="P112" s="18"/>
      <c r="Q112" s="18"/>
      <c r="R112" s="18"/>
      <c r="S112" s="18"/>
      <c r="T112" s="94"/>
    </row>
    <row r="113" spans="1:20" x14ac:dyDescent="0.25">
      <c r="A113" s="81"/>
      <c r="B113" s="118"/>
      <c r="C113" s="45"/>
      <c r="D113" s="70"/>
      <c r="E113" s="68"/>
      <c r="F113" s="58"/>
      <c r="G113" s="47"/>
      <c r="H113" s="47"/>
      <c r="I113" s="47"/>
      <c r="J113" s="76">
        <f t="shared" si="5"/>
        <v>0</v>
      </c>
      <c r="K113" s="68"/>
      <c r="L113" s="63"/>
      <c r="M113" s="65"/>
      <c r="N113" s="66"/>
      <c r="O113" s="137"/>
      <c r="P113" s="18"/>
      <c r="Q113" s="18"/>
      <c r="R113" s="18"/>
      <c r="S113" s="18"/>
      <c r="T113" s="94"/>
    </row>
    <row r="114" spans="1:20" x14ac:dyDescent="0.25">
      <c r="A114" s="124"/>
      <c r="B114" s="133"/>
      <c r="C114" s="125"/>
      <c r="D114" s="126"/>
      <c r="E114" s="87"/>
      <c r="F114" s="88"/>
      <c r="G114" s="89"/>
      <c r="H114" s="89"/>
      <c r="I114" s="89"/>
      <c r="J114" s="127"/>
      <c r="K114" s="90"/>
      <c r="L114" s="63"/>
      <c r="M114" s="64"/>
      <c r="N114" s="107"/>
      <c r="O114" s="115"/>
      <c r="P114" s="18"/>
      <c r="Q114" s="18"/>
      <c r="R114" s="18"/>
      <c r="S114" s="18"/>
      <c r="T114" s="18"/>
    </row>
    <row r="115" spans="1:20" x14ac:dyDescent="0.25">
      <c r="A115" s="124"/>
      <c r="B115" s="133"/>
      <c r="C115" s="125"/>
      <c r="D115" s="126"/>
      <c r="E115" s="87"/>
      <c r="F115" s="88"/>
      <c r="G115" s="89"/>
      <c r="H115" s="89"/>
      <c r="I115" s="89"/>
      <c r="J115" s="127"/>
      <c r="K115" s="90"/>
      <c r="L115" s="63"/>
      <c r="M115" s="65"/>
      <c r="N115" s="107"/>
      <c r="O115" s="115"/>
      <c r="P115" s="18"/>
      <c r="Q115" s="18"/>
      <c r="R115" s="18"/>
      <c r="S115" s="18"/>
      <c r="T115" s="18"/>
    </row>
    <row r="116" spans="1:20" ht="15.75" x14ac:dyDescent="0.25">
      <c r="A116" s="124"/>
      <c r="B116" s="133"/>
      <c r="C116" s="125"/>
      <c r="D116" s="126" t="s">
        <v>155</v>
      </c>
      <c r="E116" s="188" t="s">
        <v>156</v>
      </c>
      <c r="F116" s="88"/>
      <c r="G116" s="89">
        <v>85</v>
      </c>
      <c r="H116" s="89"/>
      <c r="I116" s="89"/>
      <c r="J116" s="127"/>
      <c r="K116" s="168"/>
      <c r="L116" s="63"/>
      <c r="M116" s="65"/>
      <c r="N116" s="107"/>
      <c r="O116" s="115"/>
      <c r="P116" s="18"/>
      <c r="Q116" s="18"/>
      <c r="R116" s="18"/>
      <c r="S116" s="18"/>
      <c r="T116" s="18"/>
    </row>
    <row r="117" spans="1:20" ht="15.75" x14ac:dyDescent="0.25">
      <c r="A117" s="124"/>
      <c r="B117" s="133"/>
      <c r="C117" s="125"/>
      <c r="D117" s="126" t="s">
        <v>155</v>
      </c>
      <c r="E117" s="188" t="s">
        <v>156</v>
      </c>
      <c r="F117" s="88"/>
      <c r="G117" s="89">
        <v>2000</v>
      </c>
      <c r="H117" s="89"/>
      <c r="I117" s="89"/>
      <c r="J117" s="127"/>
      <c r="K117" s="90"/>
      <c r="L117" s="63"/>
      <c r="M117" s="65"/>
      <c r="N117" s="107"/>
      <c r="O117" s="115"/>
      <c r="P117" s="18"/>
      <c r="Q117" s="18"/>
      <c r="R117" s="18"/>
      <c r="S117" s="18"/>
      <c r="T117" s="18"/>
    </row>
    <row r="118" spans="1:20" x14ac:dyDescent="0.25">
      <c r="A118" s="124"/>
      <c r="B118" s="133"/>
      <c r="C118" s="125"/>
      <c r="D118" s="126"/>
      <c r="E118" s="87"/>
      <c r="F118" s="88"/>
      <c r="G118" s="89"/>
      <c r="H118" s="89"/>
      <c r="I118" s="89"/>
      <c r="J118" s="127"/>
      <c r="K118" s="90"/>
      <c r="L118" s="63"/>
      <c r="M118" s="65"/>
      <c r="N118" s="107"/>
      <c r="O118" s="115"/>
      <c r="P118" s="18"/>
      <c r="Q118" s="18"/>
      <c r="R118" s="18"/>
      <c r="S118" s="18"/>
      <c r="T118" s="18"/>
    </row>
    <row r="119" spans="1:20" x14ac:dyDescent="0.25">
      <c r="A119" s="124"/>
      <c r="B119" s="133"/>
      <c r="C119" s="125"/>
      <c r="D119" s="127"/>
      <c r="E119" s="87"/>
      <c r="F119" s="88"/>
      <c r="G119" s="91"/>
      <c r="H119" s="91"/>
      <c r="I119" s="91"/>
      <c r="J119" s="127"/>
      <c r="K119" s="144"/>
      <c r="L119" s="63"/>
      <c r="M119" s="65"/>
      <c r="N119" s="107"/>
      <c r="O119" s="115"/>
      <c r="P119" s="18"/>
      <c r="Q119" s="18"/>
      <c r="R119" s="18"/>
      <c r="S119" s="18"/>
      <c r="T119" s="18"/>
    </row>
    <row r="120" spans="1:20" x14ac:dyDescent="0.25">
      <c r="A120" s="127"/>
      <c r="B120" s="134"/>
      <c r="C120" s="125"/>
      <c r="D120" s="127"/>
      <c r="E120" s="87"/>
      <c r="F120" s="88"/>
      <c r="G120" s="91"/>
      <c r="H120" s="91"/>
      <c r="I120" s="91"/>
      <c r="J120" s="127"/>
      <c r="K120" s="90"/>
      <c r="L120" s="56"/>
      <c r="M120" s="65"/>
      <c r="N120" s="107"/>
      <c r="O120" s="115"/>
      <c r="P120" s="18"/>
      <c r="Q120" s="18"/>
      <c r="R120" s="18"/>
      <c r="S120" s="18"/>
      <c r="T120" s="18"/>
    </row>
    <row r="121" spans="1:20" x14ac:dyDescent="0.25">
      <c r="A121" s="128"/>
      <c r="B121" s="135"/>
      <c r="C121" s="129"/>
      <c r="D121" s="23" t="s">
        <v>15</v>
      </c>
      <c r="E121" s="52" t="s">
        <v>22</v>
      </c>
      <c r="F121" s="23">
        <f>SUM(F106:F120)</f>
        <v>2567</v>
      </c>
      <c r="G121" s="23">
        <f>SUM(G106:G120)</f>
        <v>2085</v>
      </c>
      <c r="H121" s="23"/>
      <c r="I121" s="23"/>
      <c r="J121" s="23">
        <f>F121-G121</f>
        <v>482</v>
      </c>
      <c r="K121" s="24" t="s">
        <v>16</v>
      </c>
      <c r="L121" s="25">
        <f>SUM(L106:L113)</f>
        <v>0</v>
      </c>
      <c r="M121" s="25">
        <f>SUM(M106:M113)</f>
        <v>2567</v>
      </c>
      <c r="N121" s="25">
        <f>SUM(N106:N120)</f>
        <v>0</v>
      </c>
      <c r="O121" s="25">
        <f>SUM(O106:O120)</f>
        <v>0</v>
      </c>
      <c r="P121" s="18"/>
      <c r="Q121" s="18"/>
      <c r="R121" s="18"/>
      <c r="S121" s="18"/>
      <c r="T121" s="18"/>
    </row>
    <row r="122" spans="1:20" x14ac:dyDescent="0.25">
      <c r="A122" s="128" t="s">
        <v>105</v>
      </c>
      <c r="B122" s="135"/>
      <c r="C122" s="129" t="s">
        <v>106</v>
      </c>
      <c r="D122" s="69" t="s">
        <v>107</v>
      </c>
      <c r="E122" s="72" t="s">
        <v>108</v>
      </c>
      <c r="F122" s="69"/>
      <c r="G122" s="69"/>
      <c r="H122" s="69" t="s">
        <v>170</v>
      </c>
      <c r="I122" s="69"/>
      <c r="J122" s="76">
        <f t="shared" ref="J122:J130" si="6">F122-G122</f>
        <v>0</v>
      </c>
      <c r="K122" s="68"/>
      <c r="L122" s="56"/>
      <c r="M122" s="139"/>
      <c r="N122" s="107"/>
      <c r="O122" s="115"/>
      <c r="P122" s="18">
        <v>0.34599999999999997</v>
      </c>
      <c r="Q122" s="18">
        <v>9.3299999999999994E-2</v>
      </c>
      <c r="R122" s="18">
        <v>9.3299999999999994E-2</v>
      </c>
      <c r="S122" s="18"/>
      <c r="T122" s="18"/>
    </row>
    <row r="123" spans="1:20" x14ac:dyDescent="0.25">
      <c r="A123" s="128"/>
      <c r="B123" s="135"/>
      <c r="C123" s="129"/>
      <c r="D123" s="46"/>
      <c r="E123" s="146"/>
      <c r="F123" s="46"/>
      <c r="G123" s="46"/>
      <c r="H123" s="46"/>
      <c r="I123" s="46"/>
      <c r="J123" s="76">
        <f t="shared" si="6"/>
        <v>0</v>
      </c>
      <c r="K123" s="145"/>
      <c r="L123" s="63"/>
      <c r="M123" s="65"/>
      <c r="N123" s="107"/>
      <c r="O123" s="115"/>
      <c r="P123" s="18"/>
      <c r="Q123" s="18"/>
      <c r="R123" s="18"/>
      <c r="S123" s="18"/>
      <c r="T123" s="18"/>
    </row>
    <row r="124" spans="1:20" x14ac:dyDescent="0.25">
      <c r="A124" s="128"/>
      <c r="B124" s="135"/>
      <c r="C124" s="129"/>
      <c r="D124" s="46"/>
      <c r="E124" s="146"/>
      <c r="F124" s="46"/>
      <c r="G124" s="46"/>
      <c r="H124" s="46"/>
      <c r="I124" s="46"/>
      <c r="J124" s="76">
        <f t="shared" si="6"/>
        <v>0</v>
      </c>
      <c r="K124" s="145"/>
      <c r="L124" s="63"/>
      <c r="M124" s="65"/>
      <c r="N124" s="107"/>
      <c r="O124" s="115"/>
      <c r="P124" s="18"/>
      <c r="Q124" s="18"/>
      <c r="R124" s="18"/>
      <c r="S124" s="18"/>
      <c r="T124" s="18"/>
    </row>
    <row r="125" spans="1:20" x14ac:dyDescent="0.25">
      <c r="A125" s="128"/>
      <c r="B125" s="135"/>
      <c r="C125" s="129"/>
      <c r="D125" s="46"/>
      <c r="E125" s="146"/>
      <c r="F125" s="46"/>
      <c r="G125" s="46"/>
      <c r="H125" s="46"/>
      <c r="I125" s="46"/>
      <c r="J125" s="76">
        <f t="shared" si="6"/>
        <v>0</v>
      </c>
      <c r="K125" s="145"/>
      <c r="L125" s="63"/>
      <c r="M125" s="65"/>
      <c r="N125" s="107"/>
      <c r="O125" s="115"/>
      <c r="P125" s="18"/>
      <c r="Q125" s="18"/>
      <c r="R125" s="18"/>
      <c r="S125" s="18"/>
      <c r="T125" s="18"/>
    </row>
    <row r="126" spans="1:20" x14ac:dyDescent="0.25">
      <c r="A126" s="128"/>
      <c r="B126" s="135"/>
      <c r="C126" s="129"/>
      <c r="D126" s="46"/>
      <c r="E126" s="146"/>
      <c r="F126" s="46"/>
      <c r="G126" s="46"/>
      <c r="H126" s="46"/>
      <c r="I126" s="46"/>
      <c r="J126" s="76">
        <f t="shared" si="6"/>
        <v>0</v>
      </c>
      <c r="K126" s="145"/>
      <c r="L126" s="63"/>
      <c r="M126" s="65"/>
      <c r="N126" s="107"/>
      <c r="O126" s="115"/>
      <c r="P126" s="18"/>
      <c r="Q126" s="18"/>
      <c r="R126" s="18"/>
      <c r="S126" s="18"/>
      <c r="T126" s="18"/>
    </row>
    <row r="127" spans="1:20" x14ac:dyDescent="0.25">
      <c r="A127" s="81" t="s">
        <v>119</v>
      </c>
      <c r="B127" s="118" t="s">
        <v>98</v>
      </c>
      <c r="C127" s="45" t="s">
        <v>139</v>
      </c>
      <c r="D127" s="69" t="s">
        <v>140</v>
      </c>
      <c r="E127" s="72" t="s">
        <v>19</v>
      </c>
      <c r="F127" s="69"/>
      <c r="G127" s="69"/>
      <c r="H127" s="69" t="s">
        <v>170</v>
      </c>
      <c r="I127" s="46"/>
      <c r="J127" s="76">
        <f>F127-G127</f>
        <v>0</v>
      </c>
      <c r="K127" s="68" t="s">
        <v>78</v>
      </c>
      <c r="L127" s="63"/>
      <c r="M127" s="65"/>
      <c r="N127" s="107"/>
      <c r="O127" s="115"/>
      <c r="P127" s="18">
        <v>0.48199999999999998</v>
      </c>
      <c r="Q127" s="18">
        <v>0.19</v>
      </c>
      <c r="R127" s="18">
        <v>0.18</v>
      </c>
      <c r="S127" s="18">
        <v>0</v>
      </c>
      <c r="T127" s="18">
        <v>6.8000000000000005E-2</v>
      </c>
    </row>
    <row r="128" spans="1:20" x14ac:dyDescent="0.25">
      <c r="A128" s="81" t="s">
        <v>119</v>
      </c>
      <c r="B128" s="118" t="s">
        <v>98</v>
      </c>
      <c r="C128" s="45" t="s">
        <v>139</v>
      </c>
      <c r="D128" s="69" t="s">
        <v>140</v>
      </c>
      <c r="E128" s="72" t="s">
        <v>17</v>
      </c>
      <c r="F128" s="69"/>
      <c r="G128" s="69"/>
      <c r="H128" s="69" t="s">
        <v>170</v>
      </c>
      <c r="I128" s="46"/>
      <c r="J128" s="76">
        <f>F128-G128</f>
        <v>0</v>
      </c>
      <c r="K128" s="68" t="s">
        <v>78</v>
      </c>
      <c r="L128" s="63"/>
      <c r="M128" s="65"/>
      <c r="N128" s="107"/>
      <c r="O128" s="115"/>
      <c r="P128" s="18">
        <v>0.434</v>
      </c>
      <c r="Q128" s="18">
        <v>0.26</v>
      </c>
      <c r="R128" s="18">
        <v>0.17</v>
      </c>
      <c r="S128" s="18">
        <v>0</v>
      </c>
      <c r="T128" s="18">
        <v>0.01</v>
      </c>
    </row>
    <row r="129" spans="1:20" x14ac:dyDescent="0.25">
      <c r="A129" s="128"/>
      <c r="B129" s="135"/>
      <c r="C129" s="129"/>
      <c r="D129" s="46"/>
      <c r="E129" s="146"/>
      <c r="F129" s="46"/>
      <c r="G129" s="46"/>
      <c r="H129" s="46"/>
      <c r="I129" s="46"/>
      <c r="J129" s="76">
        <f t="shared" si="6"/>
        <v>0</v>
      </c>
      <c r="K129" s="145"/>
      <c r="L129" s="63"/>
      <c r="M129" s="65"/>
      <c r="N129" s="107"/>
      <c r="O129" s="115"/>
      <c r="P129" s="18"/>
      <c r="Q129" s="18"/>
      <c r="R129" s="18"/>
      <c r="S129" s="18"/>
      <c r="T129" s="18"/>
    </row>
    <row r="130" spans="1:20" x14ac:dyDescent="0.25">
      <c r="A130" s="128"/>
      <c r="B130" s="135"/>
      <c r="C130" s="129"/>
      <c r="D130" s="46"/>
      <c r="E130" s="146"/>
      <c r="F130" s="46"/>
      <c r="G130" s="46"/>
      <c r="H130" s="46"/>
      <c r="I130" s="46"/>
      <c r="J130" s="76">
        <f t="shared" si="6"/>
        <v>0</v>
      </c>
      <c r="K130" s="145"/>
      <c r="L130" s="63"/>
      <c r="M130" s="65"/>
      <c r="N130" s="107"/>
      <c r="O130" s="115"/>
      <c r="P130" s="18"/>
      <c r="Q130" s="18"/>
      <c r="R130" s="18"/>
      <c r="S130" s="18"/>
      <c r="T130" s="18"/>
    </row>
    <row r="131" spans="1:20" x14ac:dyDescent="0.25">
      <c r="A131" s="128"/>
      <c r="B131" s="135"/>
      <c r="C131" s="129"/>
      <c r="D131" s="46"/>
      <c r="E131" s="146"/>
      <c r="F131" s="46"/>
      <c r="G131" s="46"/>
      <c r="H131" s="46"/>
      <c r="I131" s="46"/>
      <c r="J131" s="70">
        <f t="shared" ref="J131" si="7">F131-G131</f>
        <v>0</v>
      </c>
      <c r="K131" s="145"/>
      <c r="L131" s="63"/>
      <c r="M131" s="65"/>
      <c r="N131" s="107"/>
      <c r="O131" s="115"/>
      <c r="P131" s="18"/>
      <c r="Q131" s="18"/>
      <c r="R131" s="18"/>
      <c r="S131" s="18"/>
      <c r="T131" s="18"/>
    </row>
    <row r="132" spans="1:20" x14ac:dyDescent="0.25">
      <c r="A132" s="70"/>
      <c r="B132" s="131"/>
      <c r="C132" s="70"/>
      <c r="D132" s="23" t="s">
        <v>15</v>
      </c>
      <c r="E132" s="52" t="s">
        <v>39</v>
      </c>
      <c r="F132" s="25">
        <f>SUM(F122:F131)</f>
        <v>0</v>
      </c>
      <c r="G132" s="25">
        <f>SUM(G131:G131)</f>
        <v>0</v>
      </c>
      <c r="H132" s="23"/>
      <c r="I132" s="23"/>
      <c r="J132" s="25">
        <f>F132-G132</f>
        <v>0</v>
      </c>
      <c r="K132" s="24" t="s">
        <v>16</v>
      </c>
      <c r="L132" s="25">
        <f>SUM(L122:L131)</f>
        <v>0</v>
      </c>
      <c r="M132" s="25">
        <f>SUM(M122:M131)</f>
        <v>0</v>
      </c>
      <c r="N132" s="25">
        <f>SUM(N131:N131)</f>
        <v>0</v>
      </c>
      <c r="O132" s="25">
        <f>SUM(O106:O131)</f>
        <v>0</v>
      </c>
      <c r="P132" s="26"/>
      <c r="Q132" s="26"/>
      <c r="R132" s="26"/>
      <c r="S132" s="26"/>
      <c r="T132" s="26"/>
    </row>
    <row r="133" spans="1:20" x14ac:dyDescent="0.25">
      <c r="A133" s="70"/>
      <c r="B133" s="131"/>
      <c r="C133" s="81"/>
      <c r="D133" s="70"/>
      <c r="E133" s="108"/>
      <c r="F133" s="70"/>
      <c r="G133" s="70"/>
      <c r="H133" s="70"/>
      <c r="I133" s="70"/>
      <c r="J133" s="70"/>
      <c r="K133" s="70"/>
      <c r="L133" s="101"/>
      <c r="M133" s="109"/>
      <c r="N133" s="107"/>
      <c r="O133" s="115"/>
      <c r="P133" s="26"/>
      <c r="Q133" s="26"/>
      <c r="R133" s="26"/>
      <c r="S133" s="26"/>
      <c r="T133" s="26"/>
    </row>
    <row r="134" spans="1:20" x14ac:dyDescent="0.25">
      <c r="A134" s="70"/>
      <c r="B134" s="131"/>
      <c r="C134" s="70"/>
      <c r="D134" s="70"/>
      <c r="E134" s="70"/>
      <c r="F134" s="70"/>
      <c r="G134" s="70"/>
      <c r="H134" s="70"/>
      <c r="I134" s="70"/>
      <c r="J134" s="70"/>
      <c r="K134" s="70"/>
      <c r="L134" s="101"/>
      <c r="M134" s="109"/>
      <c r="N134" s="107"/>
      <c r="O134" s="115"/>
      <c r="P134" s="26"/>
      <c r="Q134" s="26"/>
      <c r="R134" s="26"/>
      <c r="S134" s="26"/>
      <c r="T134" s="70"/>
    </row>
    <row r="135" spans="1:20" x14ac:dyDescent="0.25">
      <c r="A135" s="70"/>
      <c r="B135" s="131"/>
      <c r="C135" s="70"/>
      <c r="D135" s="204" t="s">
        <v>49</v>
      </c>
      <c r="E135" s="205"/>
      <c r="F135" s="39">
        <f>SUM(F10,F56,F105,F121,F132)</f>
        <v>74971</v>
      </c>
      <c r="G135" s="39">
        <f>SUM(G10,G56,G105,G121,G132)</f>
        <v>2085</v>
      </c>
      <c r="H135" s="39"/>
      <c r="I135" s="39"/>
      <c r="J135" s="39">
        <f>SUM(F135-G135)</f>
        <v>72886</v>
      </c>
      <c r="K135" s="40" t="s">
        <v>16</v>
      </c>
      <c r="L135" s="39">
        <f>SUM(L10,L56,L105,L121,L132)</f>
        <v>0</v>
      </c>
      <c r="M135" s="39">
        <f>SUM(M10,M56,M105,M121,M132)</f>
        <v>74971</v>
      </c>
      <c r="N135" s="39">
        <f>SUM(N10,N56,N105,N121,N132)</f>
        <v>0</v>
      </c>
      <c r="O135" s="39">
        <f>SUM(O10,O56,O105,O121,O132)</f>
        <v>0</v>
      </c>
      <c r="P135" s="26"/>
      <c r="Q135" s="26"/>
      <c r="R135" s="26"/>
      <c r="S135" s="26"/>
      <c r="T135" s="70"/>
    </row>
    <row r="136" spans="1:20" x14ac:dyDescent="0.25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  <c r="M136" s="111"/>
      <c r="N136" s="111"/>
      <c r="O136" s="111"/>
      <c r="P136" s="116"/>
      <c r="Q136" s="116"/>
      <c r="R136" s="116"/>
      <c r="S136" s="116"/>
      <c r="T136" s="111"/>
    </row>
    <row r="137" spans="1:20" ht="18" x14ac:dyDescent="0.25">
      <c r="A137" s="111"/>
      <c r="B137" s="111"/>
      <c r="C137" s="111"/>
      <c r="D137" s="41"/>
      <c r="E137" s="111"/>
      <c r="F137" s="111"/>
      <c r="G137" s="111"/>
      <c r="H137" s="111"/>
      <c r="I137" s="111"/>
      <c r="J137" s="111"/>
      <c r="K137" s="42" t="s">
        <v>20</v>
      </c>
      <c r="L137" s="42">
        <f>F135-L135-M135-N135-O135</f>
        <v>0</v>
      </c>
      <c r="M137" s="111"/>
      <c r="N137" s="111"/>
      <c r="O137" s="111"/>
      <c r="P137" s="111"/>
      <c r="Q137" s="111"/>
      <c r="R137" s="111"/>
      <c r="S137" s="111"/>
      <c r="T137" s="111"/>
    </row>
  </sheetData>
  <mergeCells count="4">
    <mergeCell ref="A1:C1"/>
    <mergeCell ref="G1:J1"/>
    <mergeCell ref="K1:L1"/>
    <mergeCell ref="D135:E135"/>
  </mergeCells>
  <phoneticPr fontId="15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20C82-34A3-4FB4-A98E-B79CCA462071}">
  <sheetPr codeName="Foglio5"/>
  <dimension ref="A1:U64"/>
  <sheetViews>
    <sheetView topLeftCell="A4" zoomScaleNormal="100" workbookViewId="0">
      <selection activeCell="Q53" sqref="Q53"/>
    </sheetView>
  </sheetViews>
  <sheetFormatPr defaultRowHeight="15" x14ac:dyDescent="0.25"/>
  <cols>
    <col min="1" max="1" width="9.7109375" customWidth="1"/>
    <col min="2" max="2" width="12.42578125" customWidth="1"/>
    <col min="3" max="3" width="16.42578125" customWidth="1"/>
    <col min="4" max="4" width="33" customWidth="1"/>
    <col min="5" max="5" width="16.5703125" customWidth="1"/>
    <col min="6" max="6" width="11.5703125" customWidth="1"/>
    <col min="7" max="8" width="14.42578125" customWidth="1"/>
    <col min="9" max="9" width="13.140625" customWidth="1"/>
    <col min="10" max="10" width="12.85546875" customWidth="1"/>
    <col min="11" max="11" width="17.7109375" customWidth="1"/>
    <col min="12" max="12" width="10" customWidth="1"/>
    <col min="13" max="13" width="10.42578125" customWidth="1"/>
    <col min="14" max="14" width="10.5703125" customWidth="1"/>
    <col min="15" max="15" width="9.85546875" customWidth="1"/>
  </cols>
  <sheetData>
    <row r="1" spans="1:21" ht="27" thickBot="1" x14ac:dyDescent="0.45">
      <c r="A1" s="198" t="s">
        <v>0</v>
      </c>
      <c r="B1" s="198"/>
      <c r="C1" s="198"/>
      <c r="D1" s="1">
        <v>46120</v>
      </c>
      <c r="E1" s="2"/>
      <c r="F1" s="3"/>
      <c r="G1" s="230" t="s">
        <v>134</v>
      </c>
      <c r="H1" s="231"/>
      <c r="I1" s="231"/>
      <c r="J1" s="231"/>
      <c r="K1" s="231"/>
      <c r="L1" s="231"/>
      <c r="M1" s="231"/>
      <c r="N1" s="231"/>
    </row>
    <row r="2" spans="1:21" ht="15.75" thickTop="1" x14ac:dyDescent="0.25">
      <c r="A2" s="4"/>
      <c r="B2" s="4"/>
      <c r="C2" s="4"/>
      <c r="D2" s="4"/>
      <c r="E2" s="5"/>
    </row>
    <row r="3" spans="1:21" ht="38.25" x14ac:dyDescent="0.25">
      <c r="A3" s="6" t="s">
        <v>2</v>
      </c>
      <c r="B3" s="73" t="s">
        <v>38</v>
      </c>
      <c r="C3" s="7" t="s">
        <v>37</v>
      </c>
      <c r="D3" s="8" t="s">
        <v>3</v>
      </c>
      <c r="E3" s="8" t="s">
        <v>4</v>
      </c>
      <c r="F3" s="9" t="s">
        <v>30</v>
      </c>
      <c r="G3" s="8" t="s">
        <v>5</v>
      </c>
      <c r="H3" s="8" t="s">
        <v>6</v>
      </c>
      <c r="I3" s="8" t="s">
        <v>7</v>
      </c>
      <c r="J3" s="9" t="s">
        <v>8</v>
      </c>
      <c r="K3" s="8" t="s">
        <v>23</v>
      </c>
      <c r="L3" s="10" t="s">
        <v>9</v>
      </c>
      <c r="M3" s="152" t="s">
        <v>31</v>
      </c>
      <c r="N3" s="136" t="s">
        <v>32</v>
      </c>
      <c r="O3" s="54" t="s">
        <v>40</v>
      </c>
      <c r="P3" s="12" t="s">
        <v>10</v>
      </c>
      <c r="Q3" s="12" t="s">
        <v>11</v>
      </c>
      <c r="R3" s="12" t="s">
        <v>12</v>
      </c>
      <c r="S3" s="12" t="s">
        <v>13</v>
      </c>
      <c r="T3" s="67" t="s">
        <v>36</v>
      </c>
      <c r="U3" s="138"/>
    </row>
    <row r="4" spans="1:21" x14ac:dyDescent="0.25">
      <c r="A4" s="194" t="s">
        <v>186</v>
      </c>
      <c r="B4" s="92" t="s">
        <v>184</v>
      </c>
      <c r="C4" s="161" t="s">
        <v>57</v>
      </c>
      <c r="D4" s="72" t="s">
        <v>187</v>
      </c>
      <c r="E4" s="72" t="s">
        <v>14</v>
      </c>
      <c r="F4" s="163">
        <v>1000</v>
      </c>
      <c r="G4" s="76"/>
      <c r="H4" s="76"/>
      <c r="I4" s="76"/>
      <c r="J4" s="76">
        <f t="shared" ref="J4:J5" si="0">F4-G4</f>
        <v>1000</v>
      </c>
      <c r="K4" s="72" t="s">
        <v>60</v>
      </c>
      <c r="L4" s="63"/>
      <c r="M4" s="141"/>
      <c r="N4" s="165">
        <v>1000</v>
      </c>
      <c r="O4" s="142"/>
      <c r="P4" s="16">
        <v>0</v>
      </c>
      <c r="Q4" s="18">
        <v>1.3299999999999999E-2</v>
      </c>
      <c r="R4" s="18">
        <v>3.6600000000000001E-2</v>
      </c>
      <c r="S4" s="16">
        <v>0</v>
      </c>
      <c r="T4" s="13">
        <v>0</v>
      </c>
      <c r="U4" s="119"/>
    </row>
    <row r="5" spans="1:21" x14ac:dyDescent="0.25">
      <c r="A5" s="194" t="s">
        <v>186</v>
      </c>
      <c r="B5" s="92" t="s">
        <v>184</v>
      </c>
      <c r="C5" s="161" t="s">
        <v>57</v>
      </c>
      <c r="D5" s="72" t="s">
        <v>187</v>
      </c>
      <c r="E5" s="72" t="s">
        <v>14</v>
      </c>
      <c r="F5" s="163">
        <v>669</v>
      </c>
      <c r="G5" s="76"/>
      <c r="H5" s="76"/>
      <c r="I5" s="76"/>
      <c r="J5" s="76">
        <f t="shared" si="0"/>
        <v>669</v>
      </c>
      <c r="K5" s="72" t="s">
        <v>62</v>
      </c>
      <c r="L5" s="63"/>
      <c r="M5" s="141"/>
      <c r="N5" s="165">
        <v>669</v>
      </c>
      <c r="O5" s="142"/>
      <c r="P5" s="16">
        <v>1E-3</v>
      </c>
      <c r="Q5" s="18">
        <v>0.02</v>
      </c>
      <c r="R5" s="18">
        <v>0.05</v>
      </c>
      <c r="S5" s="16">
        <v>0</v>
      </c>
      <c r="T5" s="13">
        <v>0</v>
      </c>
      <c r="U5" s="119"/>
    </row>
    <row r="6" spans="1:21" x14ac:dyDescent="0.25">
      <c r="A6" s="19"/>
      <c r="B6" s="74"/>
      <c r="C6" s="96"/>
      <c r="D6" s="20"/>
      <c r="E6" s="97"/>
      <c r="F6" s="98"/>
      <c r="G6" s="98"/>
      <c r="H6" s="98"/>
      <c r="I6" s="98"/>
      <c r="J6" s="98"/>
      <c r="K6" s="21"/>
      <c r="L6" s="14"/>
      <c r="M6" s="143"/>
      <c r="N6" s="15"/>
      <c r="O6" s="53"/>
      <c r="P6" s="16"/>
      <c r="Q6" s="17"/>
      <c r="R6" s="17"/>
      <c r="S6" s="17"/>
      <c r="T6" s="13"/>
      <c r="U6" s="119"/>
    </row>
    <row r="7" spans="1:21" x14ac:dyDescent="0.25">
      <c r="A7" s="19"/>
      <c r="B7" s="74"/>
      <c r="C7" s="96"/>
      <c r="D7" s="20"/>
      <c r="E7" s="97"/>
      <c r="F7" s="98"/>
      <c r="G7" s="98"/>
      <c r="H7" s="98"/>
      <c r="I7" s="98"/>
      <c r="J7" s="98"/>
      <c r="K7" s="21"/>
      <c r="L7" s="14"/>
      <c r="M7" s="143"/>
      <c r="N7" s="15"/>
      <c r="O7" s="53"/>
      <c r="P7" s="16"/>
      <c r="Q7" s="17"/>
      <c r="R7" s="17"/>
      <c r="S7" s="17"/>
      <c r="T7" s="13"/>
      <c r="U7" s="119"/>
    </row>
    <row r="8" spans="1:21" x14ac:dyDescent="0.25">
      <c r="A8" s="112"/>
      <c r="B8" s="96"/>
      <c r="C8" s="99"/>
      <c r="D8" s="100"/>
      <c r="E8" s="120"/>
      <c r="F8" s="98"/>
      <c r="G8" s="98"/>
      <c r="H8" s="98"/>
      <c r="I8" s="98"/>
      <c r="J8" s="98"/>
      <c r="K8" s="21"/>
      <c r="L8" s="22"/>
      <c r="M8" s="143"/>
      <c r="N8" s="15"/>
      <c r="O8" s="53"/>
      <c r="P8" s="13"/>
      <c r="Q8" s="13"/>
      <c r="R8" s="13"/>
      <c r="S8" s="13"/>
      <c r="T8" s="13"/>
      <c r="U8" s="119"/>
    </row>
    <row r="9" spans="1:21" x14ac:dyDescent="0.25">
      <c r="A9" s="112"/>
      <c r="B9" s="112"/>
      <c r="C9" s="99"/>
      <c r="D9" s="100"/>
      <c r="E9" s="97"/>
      <c r="F9" s="98"/>
      <c r="G9" s="98"/>
      <c r="H9" s="98"/>
      <c r="I9" s="98"/>
      <c r="J9" s="98"/>
      <c r="K9" s="21"/>
      <c r="L9" s="22"/>
      <c r="M9" s="143"/>
      <c r="N9" s="15"/>
      <c r="O9" s="53"/>
      <c r="P9" s="13"/>
      <c r="Q9" s="13"/>
      <c r="R9" s="13"/>
      <c r="S9" s="13"/>
      <c r="T9" s="13"/>
      <c r="U9" s="119"/>
    </row>
    <row r="10" spans="1:21" x14ac:dyDescent="0.25">
      <c r="A10" s="112"/>
      <c r="B10" s="112"/>
      <c r="C10" s="99"/>
      <c r="D10" s="100"/>
      <c r="E10" s="97"/>
      <c r="F10" s="98"/>
      <c r="G10" s="98"/>
      <c r="H10" s="98"/>
      <c r="I10" s="98"/>
      <c r="J10" s="98"/>
      <c r="K10" s="21"/>
      <c r="L10" s="22"/>
      <c r="M10" s="143"/>
      <c r="N10" s="15"/>
      <c r="O10" s="53"/>
      <c r="P10" s="13"/>
      <c r="Q10" s="13"/>
      <c r="R10" s="13"/>
      <c r="S10" s="13"/>
      <c r="T10" s="13"/>
      <c r="U10" s="119"/>
    </row>
    <row r="11" spans="1:21" x14ac:dyDescent="0.25">
      <c r="A11" s="160"/>
      <c r="B11" s="116"/>
      <c r="C11" s="92"/>
      <c r="D11" s="23" t="s">
        <v>15</v>
      </c>
      <c r="E11" s="51" t="s">
        <v>14</v>
      </c>
      <c r="F11" s="23">
        <f>SUM(F4:F10)</f>
        <v>1669</v>
      </c>
      <c r="G11" s="23">
        <f>SUM(G4:G10)</f>
        <v>0</v>
      </c>
      <c r="H11" s="23"/>
      <c r="I11" s="23"/>
      <c r="J11" s="23">
        <f>F11-G11</f>
        <v>1669</v>
      </c>
      <c r="K11" s="24" t="s">
        <v>16</v>
      </c>
      <c r="L11" s="25">
        <f>SUM(L4:L5)</f>
        <v>0</v>
      </c>
      <c r="M11" s="25">
        <f>SUM(M4:M5)</f>
        <v>0</v>
      </c>
      <c r="N11" s="25">
        <f>SUM(N4:N8)</f>
        <v>1669</v>
      </c>
      <c r="O11" s="25">
        <f>SUM(O4:O5)</f>
        <v>0</v>
      </c>
      <c r="P11" s="26"/>
      <c r="Q11" s="26"/>
      <c r="R11" s="26"/>
      <c r="S11" s="26"/>
      <c r="T11" s="26"/>
      <c r="U11" s="119"/>
    </row>
    <row r="12" spans="1:21" x14ac:dyDescent="0.25">
      <c r="A12" s="194" t="s">
        <v>186</v>
      </c>
      <c r="B12" s="92" t="s">
        <v>184</v>
      </c>
      <c r="C12" s="161" t="s">
        <v>57</v>
      </c>
      <c r="D12" s="72" t="s">
        <v>187</v>
      </c>
      <c r="E12" s="72" t="s">
        <v>17</v>
      </c>
      <c r="F12" s="70">
        <v>1000</v>
      </c>
      <c r="G12" s="72"/>
      <c r="H12" s="72"/>
      <c r="I12" s="72"/>
      <c r="J12" s="76">
        <f t="shared" ref="J12:J13" si="1">F12-G12</f>
        <v>1000</v>
      </c>
      <c r="K12" s="72" t="s">
        <v>60</v>
      </c>
      <c r="L12" s="159"/>
      <c r="M12" s="143"/>
      <c r="N12" s="165">
        <v>1000</v>
      </c>
      <c r="O12" s="53"/>
      <c r="P12" s="18">
        <v>0</v>
      </c>
      <c r="Q12" s="18">
        <v>0.01</v>
      </c>
      <c r="R12" s="18">
        <v>0.04</v>
      </c>
      <c r="S12" s="18">
        <v>0</v>
      </c>
      <c r="T12" s="26">
        <v>0</v>
      </c>
      <c r="U12" s="119"/>
    </row>
    <row r="13" spans="1:21" x14ac:dyDescent="0.25">
      <c r="A13" s="194" t="s">
        <v>186</v>
      </c>
      <c r="B13" s="92" t="s">
        <v>184</v>
      </c>
      <c r="C13" s="161" t="s">
        <v>57</v>
      </c>
      <c r="D13" s="72" t="s">
        <v>187</v>
      </c>
      <c r="E13" s="72" t="s">
        <v>17</v>
      </c>
      <c r="F13" s="70">
        <v>1000</v>
      </c>
      <c r="G13" s="70"/>
      <c r="H13" s="70"/>
      <c r="I13" s="70"/>
      <c r="J13" s="76">
        <f t="shared" si="1"/>
        <v>1000</v>
      </c>
      <c r="K13" s="72" t="s">
        <v>62</v>
      </c>
      <c r="L13" s="159"/>
      <c r="M13" s="140"/>
      <c r="N13" s="165">
        <v>1000</v>
      </c>
      <c r="O13" s="95"/>
      <c r="P13" s="18">
        <v>0</v>
      </c>
      <c r="Q13" s="18">
        <v>0.01</v>
      </c>
      <c r="R13" s="18">
        <v>3.3300000000000003E-2</v>
      </c>
      <c r="S13" s="18">
        <v>0</v>
      </c>
      <c r="T13" s="26">
        <v>0</v>
      </c>
      <c r="U13" s="119"/>
    </row>
    <row r="14" spans="1:21" x14ac:dyDescent="0.25">
      <c r="A14" s="194" t="s">
        <v>186</v>
      </c>
      <c r="B14" s="92" t="s">
        <v>184</v>
      </c>
      <c r="C14" s="161" t="s">
        <v>57</v>
      </c>
      <c r="D14" s="72" t="s">
        <v>187</v>
      </c>
      <c r="E14" s="72" t="s">
        <v>17</v>
      </c>
      <c r="F14" s="70">
        <v>1000</v>
      </c>
      <c r="G14" s="70"/>
      <c r="H14" s="70"/>
      <c r="I14" s="70"/>
      <c r="J14" s="76">
        <f t="shared" ref="J14:J20" si="2">F14-G14</f>
        <v>1000</v>
      </c>
      <c r="K14" s="72" t="s">
        <v>65</v>
      </c>
      <c r="L14" s="159"/>
      <c r="M14" s="140"/>
      <c r="N14" s="165">
        <v>1000</v>
      </c>
      <c r="O14" s="95"/>
      <c r="P14" s="18">
        <v>0</v>
      </c>
      <c r="Q14" s="18">
        <v>1.3299999999999999E-2</v>
      </c>
      <c r="R14" s="18">
        <v>4.3299999999999998E-2</v>
      </c>
      <c r="S14" s="18">
        <v>0</v>
      </c>
      <c r="T14" s="26">
        <v>0</v>
      </c>
      <c r="U14" s="119"/>
    </row>
    <row r="15" spans="1:21" x14ac:dyDescent="0.25">
      <c r="A15" s="194" t="s">
        <v>186</v>
      </c>
      <c r="B15" s="92" t="s">
        <v>184</v>
      </c>
      <c r="C15" s="161" t="s">
        <v>57</v>
      </c>
      <c r="D15" s="72" t="s">
        <v>187</v>
      </c>
      <c r="E15" s="72" t="s">
        <v>17</v>
      </c>
      <c r="F15" s="70">
        <v>1000</v>
      </c>
      <c r="G15" s="70"/>
      <c r="H15" s="70"/>
      <c r="I15" s="70"/>
      <c r="J15" s="76">
        <f t="shared" si="2"/>
        <v>1000</v>
      </c>
      <c r="K15" s="72" t="s">
        <v>188</v>
      </c>
      <c r="L15" s="159"/>
      <c r="M15" s="140"/>
      <c r="N15" s="165">
        <v>1000</v>
      </c>
      <c r="O15" s="95"/>
      <c r="P15" s="18">
        <v>0</v>
      </c>
      <c r="Q15" s="18">
        <v>0.02</v>
      </c>
      <c r="R15" s="18">
        <v>4.3299999999999998E-2</v>
      </c>
      <c r="S15" s="18">
        <v>0</v>
      </c>
      <c r="T15" s="26">
        <v>0</v>
      </c>
      <c r="U15" s="119"/>
    </row>
    <row r="16" spans="1:21" x14ac:dyDescent="0.25">
      <c r="A16" s="194" t="s">
        <v>186</v>
      </c>
      <c r="B16" s="92" t="s">
        <v>184</v>
      </c>
      <c r="C16" s="161" t="s">
        <v>57</v>
      </c>
      <c r="D16" s="72" t="s">
        <v>187</v>
      </c>
      <c r="E16" s="72" t="s">
        <v>17</v>
      </c>
      <c r="F16" s="70">
        <v>1000</v>
      </c>
      <c r="G16" s="70"/>
      <c r="H16" s="70"/>
      <c r="I16" s="70"/>
      <c r="J16" s="76">
        <f t="shared" si="2"/>
        <v>1000</v>
      </c>
      <c r="K16" s="72" t="s">
        <v>67</v>
      </c>
      <c r="L16" s="159"/>
      <c r="M16" s="140"/>
      <c r="N16" s="165">
        <v>1000</v>
      </c>
      <c r="O16" s="95"/>
      <c r="P16" s="18">
        <v>0</v>
      </c>
      <c r="Q16" s="18">
        <v>0.01</v>
      </c>
      <c r="R16" s="18">
        <v>5.33E-2</v>
      </c>
      <c r="S16" s="18">
        <v>0</v>
      </c>
      <c r="T16" s="26">
        <v>0</v>
      </c>
      <c r="U16" s="119"/>
    </row>
    <row r="17" spans="1:21" x14ac:dyDescent="0.25">
      <c r="A17" s="194" t="s">
        <v>186</v>
      </c>
      <c r="B17" s="92" t="s">
        <v>184</v>
      </c>
      <c r="C17" s="161" t="s">
        <v>57</v>
      </c>
      <c r="D17" s="72" t="s">
        <v>187</v>
      </c>
      <c r="E17" s="72" t="s">
        <v>17</v>
      </c>
      <c r="F17" s="70">
        <v>1000</v>
      </c>
      <c r="G17" s="70"/>
      <c r="H17" s="70"/>
      <c r="I17" s="70"/>
      <c r="J17" s="76">
        <f t="shared" si="2"/>
        <v>1000</v>
      </c>
      <c r="K17" s="72" t="s">
        <v>189</v>
      </c>
      <c r="L17" s="159"/>
      <c r="M17" s="140"/>
      <c r="N17" s="165">
        <v>1000</v>
      </c>
      <c r="O17" s="95"/>
      <c r="P17" s="18">
        <v>0</v>
      </c>
      <c r="Q17" s="18">
        <v>3.3E-3</v>
      </c>
      <c r="R17" s="18">
        <v>0.06</v>
      </c>
      <c r="S17" s="18">
        <v>0</v>
      </c>
      <c r="T17" s="26">
        <v>0</v>
      </c>
      <c r="U17" s="119"/>
    </row>
    <row r="18" spans="1:21" x14ac:dyDescent="0.25">
      <c r="A18" s="194" t="s">
        <v>186</v>
      </c>
      <c r="B18" s="92" t="s">
        <v>184</v>
      </c>
      <c r="C18" s="161" t="s">
        <v>57</v>
      </c>
      <c r="D18" s="72" t="s">
        <v>187</v>
      </c>
      <c r="E18" s="72" t="s">
        <v>17</v>
      </c>
      <c r="F18" s="70">
        <v>1000</v>
      </c>
      <c r="G18" s="70"/>
      <c r="H18" s="70"/>
      <c r="I18" s="70"/>
      <c r="J18" s="76">
        <f t="shared" si="2"/>
        <v>1000</v>
      </c>
      <c r="K18" s="72" t="s">
        <v>190</v>
      </c>
      <c r="L18" s="159"/>
      <c r="M18" s="140"/>
      <c r="N18" s="165">
        <v>1000</v>
      </c>
      <c r="O18" s="95"/>
      <c r="P18" s="18">
        <v>0</v>
      </c>
      <c r="Q18" s="18">
        <v>3.3E-3</v>
      </c>
      <c r="R18" s="18">
        <v>3.3300000000000003E-2</v>
      </c>
      <c r="S18" s="18">
        <v>0</v>
      </c>
      <c r="T18" s="26">
        <v>0</v>
      </c>
      <c r="U18" s="119"/>
    </row>
    <row r="19" spans="1:21" x14ac:dyDescent="0.25">
      <c r="A19" s="194" t="s">
        <v>186</v>
      </c>
      <c r="B19" s="92" t="s">
        <v>184</v>
      </c>
      <c r="C19" s="161" t="s">
        <v>57</v>
      </c>
      <c r="D19" s="72" t="s">
        <v>187</v>
      </c>
      <c r="E19" s="72" t="s">
        <v>17</v>
      </c>
      <c r="F19" s="70">
        <v>1000</v>
      </c>
      <c r="G19" s="70"/>
      <c r="H19" s="70"/>
      <c r="I19" s="70"/>
      <c r="J19" s="76">
        <f t="shared" si="2"/>
        <v>1000</v>
      </c>
      <c r="K19" s="72" t="s">
        <v>191</v>
      </c>
      <c r="L19" s="159"/>
      <c r="M19" s="140"/>
      <c r="N19" s="165">
        <v>1000</v>
      </c>
      <c r="O19" s="95"/>
      <c r="P19" s="18">
        <v>0</v>
      </c>
      <c r="Q19" s="18">
        <v>1.66E-2</v>
      </c>
      <c r="R19" s="18">
        <v>0.06</v>
      </c>
      <c r="S19" s="18">
        <v>0</v>
      </c>
      <c r="T19" s="26">
        <v>0</v>
      </c>
      <c r="U19" s="119"/>
    </row>
    <row r="20" spans="1:21" x14ac:dyDescent="0.25">
      <c r="A20" s="194" t="s">
        <v>186</v>
      </c>
      <c r="B20" s="92" t="s">
        <v>184</v>
      </c>
      <c r="C20" s="161" t="s">
        <v>57</v>
      </c>
      <c r="D20" s="72" t="s">
        <v>187</v>
      </c>
      <c r="E20" s="72" t="s">
        <v>17</v>
      </c>
      <c r="F20" s="70">
        <v>653</v>
      </c>
      <c r="G20" s="70"/>
      <c r="H20" s="70"/>
      <c r="I20" s="70"/>
      <c r="J20" s="76">
        <f t="shared" si="2"/>
        <v>653</v>
      </c>
      <c r="K20" s="72" t="s">
        <v>192</v>
      </c>
      <c r="L20" s="159"/>
      <c r="M20" s="140"/>
      <c r="N20" s="165">
        <v>653</v>
      </c>
      <c r="O20" s="95"/>
      <c r="P20" s="18">
        <v>1E-3</v>
      </c>
      <c r="Q20" s="18">
        <v>2.3300000000000001E-2</v>
      </c>
      <c r="R20" s="18">
        <v>7.3300000000000004E-2</v>
      </c>
      <c r="S20" s="18">
        <v>0</v>
      </c>
      <c r="T20" s="26">
        <v>0</v>
      </c>
      <c r="U20" s="119"/>
    </row>
    <row r="21" spans="1:21" x14ac:dyDescent="0.25">
      <c r="A21" s="114"/>
      <c r="B21" s="78"/>
      <c r="C21" s="30"/>
      <c r="D21" s="31"/>
      <c r="E21" s="32"/>
      <c r="F21" s="104"/>
      <c r="G21" s="104"/>
      <c r="H21" s="104"/>
      <c r="I21" s="104"/>
      <c r="J21" s="104"/>
      <c r="K21" s="33"/>
      <c r="L21" s="27"/>
      <c r="M21" s="140"/>
      <c r="N21" s="103"/>
      <c r="O21" s="95"/>
      <c r="P21" s="18"/>
      <c r="Q21" s="18"/>
      <c r="R21" s="18"/>
      <c r="S21" s="18"/>
      <c r="T21" s="26"/>
      <c r="U21" s="119"/>
    </row>
    <row r="22" spans="1:21" x14ac:dyDescent="0.25">
      <c r="A22" s="114"/>
      <c r="B22" s="78"/>
      <c r="C22" s="78"/>
      <c r="D22" s="121"/>
      <c r="E22" s="83"/>
      <c r="F22" s="104"/>
      <c r="G22" s="104"/>
      <c r="H22" s="110"/>
      <c r="I22" s="105"/>
      <c r="J22" s="104"/>
      <c r="K22" s="33"/>
      <c r="L22" s="27"/>
      <c r="M22" s="140"/>
      <c r="N22" s="103"/>
      <c r="O22" s="95"/>
      <c r="P22" s="18"/>
      <c r="Q22" s="18"/>
      <c r="R22" s="18"/>
      <c r="S22" s="18"/>
      <c r="T22" s="26"/>
      <c r="U22" s="119"/>
    </row>
    <row r="23" spans="1:21" x14ac:dyDescent="0.25">
      <c r="A23" s="70"/>
      <c r="B23" s="79"/>
      <c r="C23" s="79"/>
      <c r="D23" s="23" t="s">
        <v>15</v>
      </c>
      <c r="E23" s="51" t="s">
        <v>17</v>
      </c>
      <c r="F23" s="23">
        <f>SUM(F12:F21)</f>
        <v>8653</v>
      </c>
      <c r="G23" s="23">
        <f>SUM(G13:G22)</f>
        <v>0</v>
      </c>
      <c r="H23" s="23"/>
      <c r="I23" s="23"/>
      <c r="J23" s="23">
        <f>F23-G23</f>
        <v>8653</v>
      </c>
      <c r="K23" s="24" t="s">
        <v>16</v>
      </c>
      <c r="L23" s="25">
        <f>SUM(L12:L20)</f>
        <v>0</v>
      </c>
      <c r="M23" s="25">
        <f>SUM(M13:M20)</f>
        <v>0</v>
      </c>
      <c r="N23" s="25">
        <f>SUM(N12:N20)</f>
        <v>8653</v>
      </c>
      <c r="O23" s="25">
        <f>SUM(O13:O20)</f>
        <v>0</v>
      </c>
      <c r="P23" s="26"/>
      <c r="Q23" s="26"/>
      <c r="R23" s="26"/>
      <c r="S23" s="26"/>
      <c r="T23" s="26"/>
      <c r="U23" s="119"/>
    </row>
    <row r="24" spans="1:21" x14ac:dyDescent="0.25">
      <c r="A24" s="194" t="s">
        <v>186</v>
      </c>
      <c r="B24" s="92" t="s">
        <v>184</v>
      </c>
      <c r="C24" s="161" t="s">
        <v>57</v>
      </c>
      <c r="D24" s="72" t="s">
        <v>187</v>
      </c>
      <c r="E24" s="72" t="s">
        <v>19</v>
      </c>
      <c r="F24" s="157">
        <v>1000</v>
      </c>
      <c r="G24" s="47"/>
      <c r="H24" s="47"/>
      <c r="I24" s="47"/>
      <c r="J24" s="70">
        <f t="shared" ref="J24" si="3">F24-G24</f>
        <v>1000</v>
      </c>
      <c r="K24" s="72" t="s">
        <v>60</v>
      </c>
      <c r="L24" s="166"/>
      <c r="M24" s="140"/>
      <c r="N24" s="164">
        <v>1000</v>
      </c>
      <c r="O24" s="95"/>
      <c r="P24" s="18">
        <v>0</v>
      </c>
      <c r="Q24" s="18">
        <v>3.3E-3</v>
      </c>
      <c r="R24" s="18">
        <v>3.6600000000000001E-2</v>
      </c>
      <c r="S24" s="18">
        <v>0</v>
      </c>
      <c r="T24" s="26">
        <v>0</v>
      </c>
      <c r="U24" s="119"/>
    </row>
    <row r="25" spans="1:21" x14ac:dyDescent="0.25">
      <c r="A25" s="194" t="s">
        <v>186</v>
      </c>
      <c r="B25" s="92" t="s">
        <v>184</v>
      </c>
      <c r="C25" s="161" t="s">
        <v>57</v>
      </c>
      <c r="D25" s="72" t="s">
        <v>187</v>
      </c>
      <c r="E25" s="72" t="s">
        <v>19</v>
      </c>
      <c r="F25" s="162">
        <v>1000</v>
      </c>
      <c r="G25" s="70"/>
      <c r="H25" s="70"/>
      <c r="I25" s="70"/>
      <c r="J25" s="70">
        <f t="shared" ref="J25:J33" si="4">F25-G25</f>
        <v>1000</v>
      </c>
      <c r="K25" s="72" t="s">
        <v>62</v>
      </c>
      <c r="L25" s="159"/>
      <c r="M25" s="28"/>
      <c r="N25" s="164">
        <v>1000</v>
      </c>
      <c r="O25" s="95"/>
      <c r="P25" s="18">
        <v>0</v>
      </c>
      <c r="Q25" s="18">
        <v>6.6E-3</v>
      </c>
      <c r="R25" s="18">
        <v>2.6599999999999999E-2</v>
      </c>
      <c r="S25" s="18">
        <v>0</v>
      </c>
      <c r="T25" s="26">
        <v>0</v>
      </c>
      <c r="U25" s="119"/>
    </row>
    <row r="26" spans="1:21" x14ac:dyDescent="0.25">
      <c r="A26" s="194" t="s">
        <v>186</v>
      </c>
      <c r="B26" s="92" t="s">
        <v>184</v>
      </c>
      <c r="C26" s="161" t="s">
        <v>57</v>
      </c>
      <c r="D26" s="72" t="s">
        <v>187</v>
      </c>
      <c r="E26" s="72" t="s">
        <v>19</v>
      </c>
      <c r="F26" s="157">
        <v>1000</v>
      </c>
      <c r="G26" s="70"/>
      <c r="H26" s="70"/>
      <c r="I26" s="70"/>
      <c r="J26" s="70">
        <f t="shared" si="4"/>
        <v>1000</v>
      </c>
      <c r="K26" s="72" t="s">
        <v>65</v>
      </c>
      <c r="L26" s="159"/>
      <c r="M26" s="65"/>
      <c r="N26" s="164">
        <v>1000</v>
      </c>
      <c r="O26" s="95"/>
      <c r="P26" s="18">
        <v>0</v>
      </c>
      <c r="Q26" s="18">
        <v>1.3299999999999999E-2</v>
      </c>
      <c r="R26" s="18">
        <v>5.6599999999999998E-2</v>
      </c>
      <c r="S26" s="18">
        <v>0</v>
      </c>
      <c r="T26" s="26">
        <v>0</v>
      </c>
      <c r="U26" s="119"/>
    </row>
    <row r="27" spans="1:21" x14ac:dyDescent="0.25">
      <c r="A27" s="194" t="s">
        <v>186</v>
      </c>
      <c r="B27" s="92" t="s">
        <v>184</v>
      </c>
      <c r="C27" s="161" t="s">
        <v>57</v>
      </c>
      <c r="D27" s="72" t="s">
        <v>187</v>
      </c>
      <c r="E27" s="72" t="s">
        <v>19</v>
      </c>
      <c r="F27" s="157">
        <v>1000</v>
      </c>
      <c r="G27" s="70"/>
      <c r="H27" s="70"/>
      <c r="I27" s="70"/>
      <c r="J27" s="70">
        <f t="shared" si="4"/>
        <v>1000</v>
      </c>
      <c r="K27" s="72" t="s">
        <v>188</v>
      </c>
      <c r="L27" s="159"/>
      <c r="M27" s="65"/>
      <c r="N27" s="164">
        <v>1000</v>
      </c>
      <c r="O27" s="95"/>
      <c r="P27" s="18">
        <v>1E-3</v>
      </c>
      <c r="Q27" s="18">
        <v>0.02</v>
      </c>
      <c r="R27" s="18">
        <v>0.06</v>
      </c>
      <c r="S27" s="18">
        <v>0</v>
      </c>
      <c r="T27" s="26">
        <v>0</v>
      </c>
      <c r="U27" s="119"/>
    </row>
    <row r="28" spans="1:21" x14ac:dyDescent="0.25">
      <c r="A28" s="194" t="s">
        <v>186</v>
      </c>
      <c r="B28" s="92" t="s">
        <v>184</v>
      </c>
      <c r="C28" s="161" t="s">
        <v>57</v>
      </c>
      <c r="D28" s="72" t="s">
        <v>187</v>
      </c>
      <c r="E28" s="72" t="s">
        <v>19</v>
      </c>
      <c r="F28" s="157">
        <v>1000</v>
      </c>
      <c r="G28" s="70"/>
      <c r="H28" s="70"/>
      <c r="I28" s="70"/>
      <c r="J28" s="70">
        <f t="shared" si="4"/>
        <v>1000</v>
      </c>
      <c r="K28" s="72" t="s">
        <v>67</v>
      </c>
      <c r="L28" s="159"/>
      <c r="M28" s="65"/>
      <c r="N28" s="164">
        <v>1000</v>
      </c>
      <c r="O28" s="95"/>
      <c r="P28" s="18">
        <v>0</v>
      </c>
      <c r="Q28" s="18">
        <v>0.01</v>
      </c>
      <c r="R28" s="18">
        <v>6.6600000000000006E-2</v>
      </c>
      <c r="S28" s="18">
        <v>0</v>
      </c>
      <c r="T28" s="26">
        <v>0</v>
      </c>
      <c r="U28" s="119"/>
    </row>
    <row r="29" spans="1:21" x14ac:dyDescent="0.25">
      <c r="A29" s="194" t="s">
        <v>186</v>
      </c>
      <c r="B29" s="92" t="s">
        <v>184</v>
      </c>
      <c r="C29" s="161" t="s">
        <v>57</v>
      </c>
      <c r="D29" s="72" t="s">
        <v>187</v>
      </c>
      <c r="E29" s="72" t="s">
        <v>19</v>
      </c>
      <c r="F29" s="157">
        <v>1000</v>
      </c>
      <c r="G29" s="70"/>
      <c r="H29" s="70"/>
      <c r="I29" s="70"/>
      <c r="J29" s="70">
        <f t="shared" si="4"/>
        <v>1000</v>
      </c>
      <c r="K29" s="72" t="s">
        <v>189</v>
      </c>
      <c r="L29" s="159"/>
      <c r="M29" s="65"/>
      <c r="N29" s="164">
        <v>1000</v>
      </c>
      <c r="O29" s="95"/>
      <c r="P29" s="18">
        <v>0</v>
      </c>
      <c r="Q29" s="18">
        <v>6.6E-3</v>
      </c>
      <c r="R29" s="18">
        <v>0.08</v>
      </c>
      <c r="S29" s="18">
        <v>0</v>
      </c>
      <c r="T29" s="26">
        <v>0</v>
      </c>
      <c r="U29" s="119"/>
    </row>
    <row r="30" spans="1:21" x14ac:dyDescent="0.25">
      <c r="A30" s="194" t="s">
        <v>186</v>
      </c>
      <c r="B30" s="92" t="s">
        <v>184</v>
      </c>
      <c r="C30" s="161" t="s">
        <v>57</v>
      </c>
      <c r="D30" s="72" t="s">
        <v>187</v>
      </c>
      <c r="E30" s="72" t="s">
        <v>19</v>
      </c>
      <c r="F30" s="157">
        <v>1000</v>
      </c>
      <c r="G30" s="70"/>
      <c r="H30" s="70"/>
      <c r="I30" s="70"/>
      <c r="J30" s="70">
        <f t="shared" si="4"/>
        <v>1000</v>
      </c>
      <c r="K30" s="72" t="s">
        <v>190</v>
      </c>
      <c r="L30" s="159"/>
      <c r="M30" s="65"/>
      <c r="N30" s="164">
        <v>1000</v>
      </c>
      <c r="O30" s="95"/>
      <c r="P30" s="18">
        <v>0</v>
      </c>
      <c r="Q30" s="18">
        <v>1.3299999999999999E-2</v>
      </c>
      <c r="R30" s="18">
        <v>7.6600000000000001E-2</v>
      </c>
      <c r="S30" s="18">
        <v>0</v>
      </c>
      <c r="T30" s="26">
        <v>0</v>
      </c>
      <c r="U30" s="119"/>
    </row>
    <row r="31" spans="1:21" x14ac:dyDescent="0.25">
      <c r="A31" s="194" t="s">
        <v>186</v>
      </c>
      <c r="B31" s="92" t="s">
        <v>184</v>
      </c>
      <c r="C31" s="161" t="s">
        <v>57</v>
      </c>
      <c r="D31" s="72" t="s">
        <v>187</v>
      </c>
      <c r="E31" s="72" t="s">
        <v>19</v>
      </c>
      <c r="F31" s="157">
        <v>1000</v>
      </c>
      <c r="G31" s="70"/>
      <c r="H31" s="70"/>
      <c r="I31" s="70"/>
      <c r="J31" s="70">
        <f t="shared" si="4"/>
        <v>1000</v>
      </c>
      <c r="K31" s="72" t="s">
        <v>191</v>
      </c>
      <c r="L31" s="159"/>
      <c r="M31" s="65"/>
      <c r="N31" s="164">
        <v>1000</v>
      </c>
      <c r="O31" s="95"/>
      <c r="P31" s="18">
        <v>0</v>
      </c>
      <c r="Q31" s="18">
        <v>0.01</v>
      </c>
      <c r="R31" s="18">
        <v>5.6599999999999998E-2</v>
      </c>
      <c r="S31" s="18">
        <v>0</v>
      </c>
      <c r="T31" s="26">
        <v>0</v>
      </c>
      <c r="U31" s="119"/>
    </row>
    <row r="32" spans="1:21" x14ac:dyDescent="0.25">
      <c r="A32" s="194" t="s">
        <v>186</v>
      </c>
      <c r="B32" s="92" t="s">
        <v>184</v>
      </c>
      <c r="C32" s="161" t="s">
        <v>57</v>
      </c>
      <c r="D32" s="72" t="s">
        <v>187</v>
      </c>
      <c r="E32" s="72" t="s">
        <v>19</v>
      </c>
      <c r="F32" s="157">
        <v>1000</v>
      </c>
      <c r="G32" s="70"/>
      <c r="H32" s="70"/>
      <c r="I32" s="70"/>
      <c r="J32" s="70">
        <f t="shared" si="4"/>
        <v>1000</v>
      </c>
      <c r="K32" s="72" t="s">
        <v>192</v>
      </c>
      <c r="L32" s="159"/>
      <c r="M32" s="65"/>
      <c r="N32" s="164">
        <v>1000</v>
      </c>
      <c r="O32" s="95"/>
      <c r="P32" s="18">
        <v>0</v>
      </c>
      <c r="Q32" s="18">
        <v>1.3299999999999999E-2</v>
      </c>
      <c r="R32" s="18">
        <v>7.3300000000000004E-2</v>
      </c>
      <c r="S32" s="18">
        <v>0</v>
      </c>
      <c r="T32" s="26">
        <v>0</v>
      </c>
      <c r="U32" s="119"/>
    </row>
    <row r="33" spans="1:21" x14ac:dyDescent="0.25">
      <c r="A33" s="194" t="s">
        <v>186</v>
      </c>
      <c r="B33" s="92" t="s">
        <v>184</v>
      </c>
      <c r="C33" s="161" t="s">
        <v>57</v>
      </c>
      <c r="D33" s="72" t="s">
        <v>187</v>
      </c>
      <c r="E33" s="72" t="s">
        <v>19</v>
      </c>
      <c r="F33" s="162">
        <v>1092</v>
      </c>
      <c r="G33" s="70"/>
      <c r="H33" s="70"/>
      <c r="I33" s="70"/>
      <c r="J33" s="70">
        <f t="shared" si="4"/>
        <v>1092</v>
      </c>
      <c r="K33" s="72" t="s">
        <v>193</v>
      </c>
      <c r="L33" s="63"/>
      <c r="M33" s="65"/>
      <c r="N33" s="66">
        <v>1092</v>
      </c>
      <c r="O33" s="95"/>
      <c r="P33" s="18">
        <v>1E-3</v>
      </c>
      <c r="Q33" s="18">
        <v>0.02</v>
      </c>
      <c r="R33" s="18">
        <v>8.6599999999999996E-2</v>
      </c>
      <c r="S33" s="18">
        <v>0</v>
      </c>
      <c r="T33" s="26">
        <v>0</v>
      </c>
      <c r="U33" s="119"/>
    </row>
    <row r="34" spans="1:21" x14ac:dyDescent="0.25">
      <c r="A34" s="34"/>
      <c r="B34" s="35"/>
      <c r="C34" s="35"/>
      <c r="D34" s="36"/>
      <c r="E34" s="37"/>
      <c r="F34" s="147"/>
      <c r="G34" s="147"/>
      <c r="H34" s="147"/>
      <c r="I34" s="147"/>
      <c r="J34" s="106"/>
      <c r="K34" s="38"/>
      <c r="L34" s="63"/>
      <c r="M34" s="65"/>
      <c r="N34" s="66"/>
      <c r="O34" s="95"/>
      <c r="P34" s="18"/>
      <c r="Q34" s="18"/>
      <c r="R34" s="18"/>
      <c r="S34" s="18"/>
      <c r="T34" s="26"/>
      <c r="U34" s="119"/>
    </row>
    <row r="35" spans="1:21" x14ac:dyDescent="0.25">
      <c r="A35" s="34"/>
      <c r="B35" s="35"/>
      <c r="C35" s="35"/>
      <c r="D35" s="36"/>
      <c r="E35" s="37"/>
      <c r="F35" s="147"/>
      <c r="G35" s="147"/>
      <c r="H35" s="147"/>
      <c r="I35" s="147"/>
      <c r="J35" s="106"/>
      <c r="K35" s="38"/>
      <c r="L35" s="27"/>
      <c r="M35" s="28"/>
      <c r="N35" s="103"/>
      <c r="O35" s="95"/>
      <c r="P35" s="18"/>
      <c r="Q35" s="29"/>
      <c r="R35" s="29"/>
      <c r="S35" s="29"/>
      <c r="T35" s="26"/>
      <c r="U35" s="119"/>
    </row>
    <row r="36" spans="1:21" x14ac:dyDescent="0.25">
      <c r="A36" s="34"/>
      <c r="B36" s="35"/>
      <c r="C36" s="80"/>
      <c r="D36" s="36"/>
      <c r="E36" s="37"/>
      <c r="F36" s="147"/>
      <c r="G36" s="147"/>
      <c r="H36" s="147"/>
      <c r="I36" s="147"/>
      <c r="J36" s="106"/>
      <c r="K36" s="38"/>
      <c r="L36" s="101"/>
      <c r="M36" s="102"/>
      <c r="N36" s="103"/>
      <c r="O36" s="95"/>
      <c r="P36" s="26"/>
      <c r="Q36" s="26"/>
      <c r="R36" s="26"/>
      <c r="S36" s="26"/>
      <c r="T36" s="26"/>
      <c r="U36" s="119"/>
    </row>
    <row r="37" spans="1:21" x14ac:dyDescent="0.25">
      <c r="A37" s="70"/>
      <c r="B37" s="131"/>
      <c r="C37" s="70"/>
      <c r="D37" s="23" t="s">
        <v>15</v>
      </c>
      <c r="E37" s="24" t="s">
        <v>19</v>
      </c>
      <c r="F37" s="23">
        <f>SUM(F24:F33)</f>
        <v>10092</v>
      </c>
      <c r="G37" s="23">
        <f>SUM(G25:G36)</f>
        <v>0</v>
      </c>
      <c r="H37" s="23"/>
      <c r="I37" s="23"/>
      <c r="J37" s="23">
        <f>F37-G37</f>
        <v>10092</v>
      </c>
      <c r="K37" s="24" t="s">
        <v>16</v>
      </c>
      <c r="L37" s="25">
        <f>SUM(L24:L33)</f>
        <v>0</v>
      </c>
      <c r="M37" s="25">
        <f>SUM(M25:M33)</f>
        <v>0</v>
      </c>
      <c r="N37" s="25">
        <f>SUM(N24:N33)</f>
        <v>10092</v>
      </c>
      <c r="O37" s="25">
        <f>SUM(O25:O33)</f>
        <v>0</v>
      </c>
      <c r="P37" s="26"/>
      <c r="Q37" s="26"/>
      <c r="R37" s="26"/>
      <c r="S37" s="26"/>
      <c r="T37" s="26"/>
      <c r="U37" s="119"/>
    </row>
    <row r="38" spans="1:21" x14ac:dyDescent="0.25">
      <c r="A38" s="194" t="s">
        <v>186</v>
      </c>
      <c r="B38" s="92" t="s">
        <v>184</v>
      </c>
      <c r="C38" s="161" t="s">
        <v>57</v>
      </c>
      <c r="D38" s="68" t="s">
        <v>197</v>
      </c>
      <c r="E38" s="68" t="s">
        <v>22</v>
      </c>
      <c r="F38" s="69"/>
      <c r="G38" s="47"/>
      <c r="H38" s="47"/>
      <c r="I38" s="47"/>
      <c r="J38" s="70">
        <f t="shared" ref="J38:J39" si="5">F38-G38</f>
        <v>0</v>
      </c>
      <c r="K38" s="68" t="s">
        <v>78</v>
      </c>
      <c r="L38" s="63"/>
      <c r="M38" s="65"/>
      <c r="N38" s="66"/>
      <c r="O38" s="137"/>
      <c r="P38" s="18"/>
      <c r="Q38" s="18">
        <v>0</v>
      </c>
      <c r="R38" s="18">
        <v>0</v>
      </c>
      <c r="S38" s="18">
        <v>0</v>
      </c>
      <c r="T38" s="94"/>
      <c r="U38" s="123"/>
    </row>
    <row r="39" spans="1:21" x14ac:dyDescent="0.25">
      <c r="A39" s="194" t="s">
        <v>186</v>
      </c>
      <c r="B39" s="92" t="s">
        <v>184</v>
      </c>
      <c r="C39" s="161" t="s">
        <v>57</v>
      </c>
      <c r="D39" s="68" t="s">
        <v>197</v>
      </c>
      <c r="E39" s="68" t="s">
        <v>22</v>
      </c>
      <c r="F39" s="58"/>
      <c r="G39" s="47"/>
      <c r="H39" s="47"/>
      <c r="I39" s="47"/>
      <c r="J39" s="70">
        <f t="shared" si="5"/>
        <v>0</v>
      </c>
      <c r="K39" s="68" t="s">
        <v>78</v>
      </c>
      <c r="L39" s="63"/>
      <c r="M39" s="65"/>
      <c r="N39" s="107"/>
      <c r="O39" s="115"/>
      <c r="P39" s="18"/>
      <c r="Q39" s="18">
        <v>0</v>
      </c>
      <c r="R39" s="18">
        <v>0</v>
      </c>
      <c r="S39" s="29">
        <v>0</v>
      </c>
      <c r="T39" s="94"/>
      <c r="U39" s="123"/>
    </row>
    <row r="40" spans="1:21" x14ac:dyDescent="0.25">
      <c r="A40" s="124"/>
      <c r="B40" s="133"/>
      <c r="C40" s="125"/>
      <c r="D40" s="126"/>
      <c r="E40" s="87"/>
      <c r="F40" s="88"/>
      <c r="G40" s="89"/>
      <c r="H40" s="89"/>
      <c r="I40" s="89"/>
      <c r="J40" s="127"/>
      <c r="K40" s="90"/>
      <c r="L40" s="63"/>
      <c r="M40" s="64"/>
      <c r="N40" s="107"/>
      <c r="O40" s="115"/>
      <c r="P40" s="18"/>
      <c r="Q40" s="18"/>
      <c r="R40" s="18"/>
      <c r="S40" s="18"/>
      <c r="T40" s="18"/>
      <c r="U40" s="122"/>
    </row>
    <row r="41" spans="1:21" x14ac:dyDescent="0.25">
      <c r="A41" s="124"/>
      <c r="B41" s="133"/>
      <c r="C41" s="125"/>
      <c r="D41" s="127"/>
      <c r="E41" s="87"/>
      <c r="F41" s="88"/>
      <c r="G41" s="91"/>
      <c r="H41" s="91"/>
      <c r="I41" s="91"/>
      <c r="J41" s="127"/>
      <c r="K41" s="144"/>
      <c r="L41" s="63"/>
      <c r="M41" s="65"/>
      <c r="N41" s="107"/>
      <c r="O41" s="115"/>
      <c r="P41" s="18"/>
      <c r="Q41" s="18"/>
      <c r="R41" s="18"/>
      <c r="S41" s="18"/>
      <c r="T41" s="18"/>
      <c r="U41" s="122"/>
    </row>
    <row r="42" spans="1:21" x14ac:dyDescent="0.25">
      <c r="A42" s="127"/>
      <c r="B42" s="134"/>
      <c r="C42" s="125"/>
      <c r="D42" s="127"/>
      <c r="E42" s="87"/>
      <c r="F42" s="88"/>
      <c r="G42" s="91"/>
      <c r="H42" s="91"/>
      <c r="I42" s="91"/>
      <c r="J42" s="127"/>
      <c r="K42" s="90"/>
      <c r="L42" s="56"/>
      <c r="M42" s="65"/>
      <c r="N42" s="107"/>
      <c r="O42" s="115"/>
      <c r="P42" s="18"/>
      <c r="Q42" s="18"/>
      <c r="R42" s="18"/>
      <c r="S42" s="18"/>
      <c r="T42" s="18"/>
      <c r="U42" s="123"/>
    </row>
    <row r="43" spans="1:21" x14ac:dyDescent="0.25">
      <c r="A43" s="128"/>
      <c r="B43" s="135"/>
      <c r="C43" s="129"/>
      <c r="D43" s="23" t="s">
        <v>15</v>
      </c>
      <c r="E43" s="52" t="s">
        <v>22</v>
      </c>
      <c r="F43" s="23">
        <f>SUM(F38:F42)</f>
        <v>0</v>
      </c>
      <c r="G43" s="23">
        <f>SUM(G38:G42)</f>
        <v>0</v>
      </c>
      <c r="H43" s="23"/>
      <c r="I43" s="23"/>
      <c r="J43" s="23">
        <f>F43-G43</f>
        <v>0</v>
      </c>
      <c r="K43" s="24" t="s">
        <v>16</v>
      </c>
      <c r="L43" s="25">
        <f>SUM(L38:L39)</f>
        <v>0</v>
      </c>
      <c r="M43" s="25">
        <f>SUM(M38:M39)</f>
        <v>0</v>
      </c>
      <c r="N43" s="25">
        <f>SUM(N38:N42)</f>
        <v>0</v>
      </c>
      <c r="O43" s="25">
        <f>SUM(O38:O42)</f>
        <v>0</v>
      </c>
      <c r="P43" s="18"/>
      <c r="Q43" s="18"/>
      <c r="R43" s="18"/>
      <c r="S43" s="18"/>
      <c r="T43" s="18"/>
      <c r="U43" s="123"/>
    </row>
    <row r="44" spans="1:21" x14ac:dyDescent="0.25">
      <c r="A44" s="70"/>
      <c r="B44" s="131"/>
      <c r="C44" s="70"/>
      <c r="D44" s="70"/>
      <c r="E44" s="70"/>
      <c r="F44" s="70"/>
      <c r="G44" s="70"/>
      <c r="H44" s="70"/>
      <c r="I44" s="70"/>
      <c r="J44" s="70"/>
      <c r="K44" s="70"/>
      <c r="L44" s="101"/>
      <c r="M44" s="109"/>
      <c r="N44" s="107"/>
      <c r="O44" s="115"/>
      <c r="P44" s="26"/>
      <c r="Q44" s="26"/>
      <c r="R44" s="26"/>
      <c r="S44" s="26"/>
      <c r="T44" s="70"/>
      <c r="U44" s="111"/>
    </row>
    <row r="45" spans="1:21" x14ac:dyDescent="0.25">
      <c r="A45" s="70"/>
      <c r="B45" s="131"/>
      <c r="C45" s="70"/>
      <c r="D45" s="204" t="s">
        <v>24</v>
      </c>
      <c r="E45" s="205"/>
      <c r="F45" s="39">
        <f>SUM(F11,F23,F37,F43,)</f>
        <v>20414</v>
      </c>
      <c r="G45" s="39">
        <f>SUM(G11,G23,G37,G43,)</f>
        <v>0</v>
      </c>
      <c r="H45" s="39"/>
      <c r="I45" s="39"/>
      <c r="J45" s="39">
        <f>SUM(F45-G45)</f>
        <v>20414</v>
      </c>
      <c r="K45" s="40" t="s">
        <v>16</v>
      </c>
      <c r="L45" s="39">
        <f>SUM(L11,L23,L37,L43,)</f>
        <v>0</v>
      </c>
      <c r="M45" s="39">
        <f>SUM(M11,M23,M37,M43,)</f>
        <v>0</v>
      </c>
      <c r="N45" s="39">
        <f>SUM(N11,N23,N37,N43,)</f>
        <v>20414</v>
      </c>
      <c r="O45" s="39">
        <f>SUM(O11,O23,O37,O43,)</f>
        <v>0</v>
      </c>
      <c r="P45" s="26"/>
      <c r="Q45" s="26"/>
      <c r="R45" s="26"/>
      <c r="S45" s="26"/>
      <c r="T45" s="70"/>
      <c r="U45" s="111"/>
    </row>
    <row r="46" spans="1:21" x14ac:dyDescent="0.25">
      <c r="A46" s="111"/>
      <c r="B46" s="111"/>
      <c r="C46" s="111"/>
      <c r="D46" s="111"/>
      <c r="E46" s="111"/>
      <c r="F46" s="111"/>
      <c r="G46" s="111"/>
      <c r="H46" s="111"/>
      <c r="I46" s="111"/>
      <c r="J46" s="111"/>
      <c r="K46" s="111"/>
      <c r="L46" s="111"/>
      <c r="M46" s="111"/>
      <c r="N46" s="111"/>
      <c r="O46" s="111"/>
      <c r="P46" s="116"/>
      <c r="Q46" s="116"/>
      <c r="R46" s="116"/>
      <c r="S46" s="116"/>
      <c r="T46" s="111"/>
      <c r="U46" s="111"/>
    </row>
    <row r="47" spans="1:21" ht="18" x14ac:dyDescent="0.25">
      <c r="A47" s="111"/>
      <c r="B47" s="111"/>
      <c r="C47" s="111"/>
      <c r="D47" s="41"/>
      <c r="E47" s="111"/>
      <c r="F47" s="111"/>
      <c r="G47" s="111"/>
      <c r="H47" s="111"/>
      <c r="I47" s="111"/>
      <c r="J47" s="111"/>
      <c r="K47" s="42" t="s">
        <v>20</v>
      </c>
      <c r="L47" s="42">
        <f>F45-L45-M45-N45-O45</f>
        <v>0</v>
      </c>
      <c r="M47" s="111"/>
      <c r="N47" s="111"/>
      <c r="O47" s="111"/>
      <c r="P47" s="111"/>
      <c r="Q47" s="111"/>
      <c r="R47" s="111"/>
      <c r="S47" s="111"/>
      <c r="T47" s="111"/>
      <c r="U47" s="111"/>
    </row>
    <row r="48" spans="1:21" x14ac:dyDescent="0.25">
      <c r="A48" s="111"/>
      <c r="B48" s="111"/>
      <c r="C48" s="111"/>
      <c r="D48" s="43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</row>
    <row r="49" spans="1:21" x14ac:dyDescent="0.25">
      <c r="A49" s="111"/>
      <c r="B49" s="111"/>
      <c r="C49" s="111"/>
      <c r="D49" s="43"/>
      <c r="E49" s="111"/>
      <c r="F49" s="111"/>
      <c r="G49" s="48"/>
      <c r="H49" s="48"/>
      <c r="I49" s="48"/>
      <c r="J49" s="48"/>
      <c r="K49" s="111"/>
      <c r="L49" s="111"/>
      <c r="M49" s="111"/>
      <c r="N49" s="111"/>
      <c r="O49" s="111"/>
      <c r="P49" s="111"/>
      <c r="Q49" s="111"/>
      <c r="R49" s="111"/>
      <c r="S49" s="111"/>
      <c r="T49" s="111"/>
      <c r="U49" s="111"/>
    </row>
    <row r="50" spans="1:21" x14ac:dyDescent="0.25">
      <c r="A50" s="111"/>
      <c r="B50" s="111"/>
      <c r="C50" s="111"/>
      <c r="D50" s="43"/>
      <c r="E50" s="111"/>
      <c r="F50" s="111"/>
      <c r="G50" s="111"/>
      <c r="H50" s="111"/>
      <c r="I50" s="111"/>
      <c r="J50" s="111"/>
      <c r="K50" s="111"/>
      <c r="L50" s="111"/>
      <c r="M50" s="111"/>
      <c r="N50" s="111"/>
      <c r="O50" s="111"/>
      <c r="P50" s="111"/>
      <c r="Q50" s="111"/>
      <c r="R50" s="111"/>
      <c r="S50" s="111"/>
      <c r="T50" s="111"/>
      <c r="U50" s="111"/>
    </row>
    <row r="51" spans="1:21" x14ac:dyDescent="0.25">
      <c r="A51" s="111"/>
      <c r="B51" s="111"/>
      <c r="C51" s="111"/>
      <c r="D51" s="43"/>
      <c r="E51" s="111"/>
      <c r="F51" s="111"/>
      <c r="G51" s="111"/>
      <c r="H51" s="111"/>
      <c r="I51" s="111"/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1"/>
      <c r="U51" s="111"/>
    </row>
    <row r="52" spans="1:21" x14ac:dyDescent="0.25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  <c r="M52" s="111"/>
      <c r="N52" s="111"/>
      <c r="O52" s="111"/>
      <c r="P52" s="111"/>
      <c r="Q52" s="111"/>
      <c r="R52" s="111"/>
      <c r="S52" s="111"/>
      <c r="T52" s="111"/>
      <c r="U52" s="111"/>
    </row>
    <row r="53" spans="1:21" x14ac:dyDescent="0.25">
      <c r="A53" s="111"/>
      <c r="B53" s="111"/>
      <c r="C53" s="111"/>
      <c r="D53" s="111"/>
      <c r="E53" s="111"/>
      <c r="F53" s="111"/>
      <c r="G53" s="111"/>
      <c r="H53" s="111"/>
      <c r="I53" s="111"/>
      <c r="J53" s="111"/>
      <c r="K53" s="111"/>
      <c r="L53" s="111"/>
      <c r="M53" s="111"/>
      <c r="N53" s="111"/>
      <c r="O53" s="111"/>
      <c r="P53" s="111"/>
      <c r="Q53" s="111"/>
      <c r="R53" s="111"/>
      <c r="S53" s="111"/>
      <c r="T53" s="111"/>
      <c r="U53" s="111"/>
    </row>
    <row r="54" spans="1:21" ht="33" x14ac:dyDescent="0.45">
      <c r="A54" s="111"/>
      <c r="B54" s="111"/>
      <c r="C54" s="111"/>
      <c r="D54" s="222" t="s">
        <v>42</v>
      </c>
      <c r="E54" s="223"/>
      <c r="F54" s="223"/>
      <c r="G54" s="223"/>
      <c r="H54" s="223"/>
      <c r="I54" s="223"/>
      <c r="J54" s="223"/>
      <c r="K54" s="223"/>
      <c r="L54" s="223"/>
      <c r="M54" s="224"/>
      <c r="N54" s="111"/>
      <c r="O54" s="111"/>
      <c r="P54" s="111"/>
      <c r="Q54" s="111"/>
      <c r="R54" s="111"/>
      <c r="S54" s="111"/>
      <c r="T54" s="111"/>
      <c r="U54" s="111"/>
    </row>
    <row r="55" spans="1:21" x14ac:dyDescent="0.25">
      <c r="A55" s="111"/>
      <c r="B55" s="111"/>
      <c r="C55" s="111"/>
      <c r="D55" s="111"/>
      <c r="E55" s="111"/>
      <c r="F55" s="111"/>
      <c r="G55" s="111"/>
      <c r="H55" s="111"/>
      <c r="I55" s="111"/>
      <c r="J55" s="111"/>
      <c r="K55" s="111"/>
      <c r="L55" s="111"/>
      <c r="M55" s="111"/>
      <c r="N55" s="111"/>
      <c r="O55" s="111"/>
      <c r="P55" s="111"/>
      <c r="Q55" s="111"/>
      <c r="R55" s="111"/>
      <c r="S55" s="111"/>
      <c r="T55" s="111"/>
      <c r="U55" s="111"/>
    </row>
    <row r="56" spans="1:21" x14ac:dyDescent="0.25">
      <c r="A56" s="111"/>
      <c r="B56" s="111"/>
      <c r="C56" s="111"/>
      <c r="D56" s="111"/>
      <c r="E56" s="111"/>
      <c r="F56" s="111"/>
      <c r="G56" s="111"/>
      <c r="H56" s="111"/>
      <c r="I56" s="111"/>
      <c r="J56" s="111"/>
      <c r="K56" s="111"/>
      <c r="L56" s="111"/>
      <c r="M56" s="111"/>
      <c r="N56" s="111"/>
      <c r="O56" s="111"/>
      <c r="P56" s="111"/>
      <c r="Q56" s="111"/>
      <c r="R56" s="111"/>
      <c r="S56" s="111"/>
      <c r="T56" s="111"/>
      <c r="U56" s="111"/>
    </row>
    <row r="57" spans="1:21" x14ac:dyDescent="0.25">
      <c r="A57" s="225" t="s">
        <v>25</v>
      </c>
      <c r="B57" s="226"/>
      <c r="C57" s="227"/>
      <c r="D57" s="44" t="s">
        <v>26</v>
      </c>
      <c r="E57" s="59" t="s">
        <v>45</v>
      </c>
      <c r="F57" s="61" t="s">
        <v>33</v>
      </c>
      <c r="G57" s="225" t="s">
        <v>27</v>
      </c>
      <c r="H57" s="227"/>
      <c r="I57" s="225" t="s">
        <v>28</v>
      </c>
      <c r="J57" s="227"/>
      <c r="K57" s="111"/>
      <c r="L57" s="111"/>
      <c r="M57" s="111"/>
      <c r="N57" s="111"/>
      <c r="O57" s="111"/>
      <c r="P57" s="111"/>
      <c r="Q57" s="111"/>
      <c r="R57" s="111"/>
      <c r="S57" s="111"/>
      <c r="T57" s="111"/>
      <c r="U57" s="111"/>
    </row>
    <row r="58" spans="1:21" x14ac:dyDescent="0.25">
      <c r="A58" s="111"/>
      <c r="B58" s="111"/>
      <c r="C58" s="111"/>
      <c r="D58" s="111"/>
      <c r="E58" s="111"/>
      <c r="F58" s="111"/>
      <c r="G58" s="111"/>
      <c r="H58" s="111"/>
      <c r="I58" s="111"/>
      <c r="J58" s="111"/>
      <c r="K58" s="111"/>
      <c r="L58" s="220" t="s">
        <v>35</v>
      </c>
      <c r="M58" s="221"/>
      <c r="N58" s="221"/>
      <c r="O58" s="221"/>
      <c r="P58" s="221"/>
      <c r="Q58" s="221"/>
      <c r="R58" s="221"/>
      <c r="S58" s="221"/>
      <c r="T58" s="221"/>
      <c r="U58" s="221"/>
    </row>
    <row r="59" spans="1:21" x14ac:dyDescent="0.25">
      <c r="A59" s="111"/>
      <c r="B59" s="111"/>
      <c r="C59" s="111"/>
      <c r="D59" s="111"/>
      <c r="E59" s="111"/>
      <c r="F59" s="111"/>
      <c r="G59" s="111"/>
      <c r="H59" s="111"/>
      <c r="I59" s="111"/>
      <c r="J59" s="111"/>
      <c r="K59" s="111"/>
      <c r="L59" s="130"/>
      <c r="M59" s="130"/>
      <c r="N59" s="130"/>
      <c r="O59" s="130"/>
      <c r="P59" s="130"/>
      <c r="Q59" s="130"/>
      <c r="R59" s="130"/>
      <c r="S59" s="130"/>
      <c r="T59" s="130"/>
      <c r="U59" s="130"/>
    </row>
    <row r="60" spans="1:21" x14ac:dyDescent="0.25">
      <c r="A60" s="206" t="s">
        <v>57</v>
      </c>
      <c r="B60" s="207"/>
      <c r="C60" s="208"/>
      <c r="D60" s="49"/>
      <c r="E60" s="84">
        <v>48520</v>
      </c>
      <c r="F60" s="71">
        <v>0.318</v>
      </c>
      <c r="G60" s="209">
        <f>E60*0.318</f>
        <v>15429.36</v>
      </c>
      <c r="H60" s="210"/>
      <c r="I60" s="211">
        <v>15</v>
      </c>
      <c r="J60" s="212"/>
      <c r="K60" s="111"/>
      <c r="L60" s="70"/>
      <c r="M60" s="70"/>
      <c r="N60" s="70"/>
      <c r="O60" s="70"/>
      <c r="P60" s="70"/>
      <c r="Q60" s="70"/>
      <c r="R60" s="70"/>
      <c r="S60" s="70"/>
      <c r="T60" s="70"/>
      <c r="U60" s="70"/>
    </row>
    <row r="61" spans="1:21" x14ac:dyDescent="0.25">
      <c r="A61" s="206"/>
      <c r="B61" s="207"/>
      <c r="C61" s="208"/>
      <c r="D61" s="49"/>
      <c r="E61" s="84">
        <v>20110</v>
      </c>
      <c r="F61" s="71">
        <v>0.318</v>
      </c>
      <c r="G61" s="209">
        <f>E61*0.318</f>
        <v>6394.9800000000005</v>
      </c>
      <c r="H61" s="210"/>
      <c r="I61" s="211">
        <v>6</v>
      </c>
      <c r="J61" s="212"/>
      <c r="K61" s="111"/>
      <c r="L61" s="70"/>
      <c r="M61" s="70"/>
      <c r="N61" s="70"/>
      <c r="O61" s="70"/>
      <c r="P61" s="70"/>
      <c r="Q61" s="70"/>
      <c r="R61" s="70"/>
      <c r="S61" s="70"/>
      <c r="T61" s="70"/>
      <c r="U61" s="70"/>
    </row>
    <row r="62" spans="1:21" x14ac:dyDescent="0.25">
      <c r="A62" s="206"/>
      <c r="B62" s="207"/>
      <c r="C62" s="208"/>
      <c r="D62" s="117"/>
      <c r="E62" s="85"/>
      <c r="F62" s="71"/>
      <c r="G62" s="209">
        <f>E62*0</f>
        <v>0</v>
      </c>
      <c r="H62" s="210"/>
      <c r="I62" s="211"/>
      <c r="J62" s="212"/>
      <c r="K62" s="111"/>
      <c r="L62" s="111"/>
      <c r="M62" s="111"/>
      <c r="N62" s="111"/>
      <c r="O62" s="111"/>
      <c r="P62" s="111"/>
      <c r="Q62" s="111"/>
      <c r="R62" s="111"/>
      <c r="S62" s="111"/>
      <c r="T62" s="111"/>
      <c r="U62" s="111"/>
    </row>
    <row r="63" spans="1:21" x14ac:dyDescent="0.25">
      <c r="A63" s="206"/>
      <c r="B63" s="207"/>
      <c r="C63" s="208"/>
      <c r="D63" s="117"/>
      <c r="E63" s="85"/>
      <c r="F63" s="62"/>
      <c r="G63" s="209">
        <f>E63*0</f>
        <v>0</v>
      </c>
      <c r="H63" s="210"/>
      <c r="I63" s="232"/>
      <c r="J63" s="233"/>
      <c r="K63" s="111"/>
      <c r="L63" s="111"/>
      <c r="M63" s="111"/>
      <c r="N63" s="111"/>
      <c r="O63" s="111"/>
      <c r="P63" s="111"/>
      <c r="Q63" s="111"/>
      <c r="R63" s="111"/>
      <c r="S63" s="111"/>
      <c r="T63" s="111"/>
      <c r="U63" s="111"/>
    </row>
    <row r="64" spans="1:21" x14ac:dyDescent="0.25">
      <c r="A64" s="215" t="s">
        <v>29</v>
      </c>
      <c r="B64" s="216"/>
      <c r="C64" s="217"/>
      <c r="D64" s="50">
        <f>SUM(D60:D63)</f>
        <v>0</v>
      </c>
      <c r="E64" s="86">
        <f>SUM(E60:E63)</f>
        <v>68630</v>
      </c>
      <c r="F64" s="60"/>
      <c r="G64" s="218">
        <f>SUM(G60:G63)</f>
        <v>21824.34</v>
      </c>
      <c r="H64" s="219"/>
      <c r="I64" s="215">
        <f>SUM(I60:I63)</f>
        <v>21</v>
      </c>
      <c r="J64" s="217"/>
    </row>
  </sheetData>
  <mergeCells count="23">
    <mergeCell ref="A64:C64"/>
    <mergeCell ref="G64:H64"/>
    <mergeCell ref="I64:J64"/>
    <mergeCell ref="A62:C62"/>
    <mergeCell ref="G62:H62"/>
    <mergeCell ref="I62:J62"/>
    <mergeCell ref="A63:C63"/>
    <mergeCell ref="G63:H63"/>
    <mergeCell ref="I63:J63"/>
    <mergeCell ref="L58:U58"/>
    <mergeCell ref="A60:C60"/>
    <mergeCell ref="G60:H60"/>
    <mergeCell ref="I60:J60"/>
    <mergeCell ref="A61:C61"/>
    <mergeCell ref="G61:H61"/>
    <mergeCell ref="I61:J61"/>
    <mergeCell ref="A1:C1"/>
    <mergeCell ref="G1:N1"/>
    <mergeCell ref="D45:E45"/>
    <mergeCell ref="D54:M54"/>
    <mergeCell ref="A57:C57"/>
    <mergeCell ref="G57:H57"/>
    <mergeCell ref="I57:J57"/>
  </mergeCells>
  <phoneticPr fontId="1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BIOLOGICO</vt:lpstr>
      <vt:lpstr>BIO FAIR FOR LIFE</vt:lpstr>
      <vt:lpstr>CONVENZIONALE</vt:lpstr>
      <vt:lpstr>BIO BIOSUISSE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Giuseppe</dc:creator>
  <cp:lastModifiedBy>Assofrutti Srl</cp:lastModifiedBy>
  <cp:lastPrinted>2026-03-31T06:54:15Z</cp:lastPrinted>
  <dcterms:created xsi:type="dcterms:W3CDTF">2021-10-12T15:39:50Z</dcterms:created>
  <dcterms:modified xsi:type="dcterms:W3CDTF">2026-04-08T12:01:54Z</dcterms:modified>
</cp:coreProperties>
</file>