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\\192.168.0.10\Assofrutti\MAGAZZINO\RACCOLTO 2025 2026\"/>
    </mc:Choice>
  </mc:AlternateContent>
  <xr:revisionPtr revIDLastSave="0" documentId="8_{0454CDFB-C6A4-462F-819E-788772F7B20E}" xr6:coauthVersionLast="47" xr6:coauthVersionMax="47" xr10:uidLastSave="{00000000-0000-0000-0000-000000000000}"/>
  <bookViews>
    <workbookView xWindow="-120" yWindow="-120" windowWidth="29040" windowHeight="15720" tabRatio="471" activeTab="1" xr2:uid="{00000000-000D-0000-FFFF-FFFF00000000}"/>
  </bookViews>
  <sheets>
    <sheet name="BIOLOGICO" sheetId="3" r:id="rId1"/>
    <sheet name="BIO FAIR FOR LIFE" sheetId="5" r:id="rId2"/>
    <sheet name="CONVENZIONALE" sheetId="11" r:id="rId3"/>
    <sheet name="BIO BIOSUISSE" sheetId="6" r:id="rId4"/>
  </sheets>
  <definedNames>
    <definedName name="_xlnm.Print_Area" localSheetId="2">CONVENZIONALE!$J$27:$M$28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5" l="1"/>
  <c r="J42" i="5"/>
  <c r="J40" i="5"/>
  <c r="J39" i="5"/>
  <c r="J36" i="5"/>
  <c r="J37" i="5"/>
  <c r="J38" i="5"/>
  <c r="J86" i="5"/>
  <c r="J87" i="5"/>
  <c r="J88" i="5"/>
  <c r="J89" i="5"/>
  <c r="J80" i="5"/>
  <c r="J81" i="5"/>
  <c r="J82" i="5"/>
  <c r="J83" i="5"/>
  <c r="J84" i="5"/>
  <c r="J85" i="5"/>
  <c r="J383" i="11"/>
  <c r="J384" i="11"/>
  <c r="J380" i="11"/>
  <c r="J381" i="11"/>
  <c r="J382" i="11"/>
  <c r="J379" i="11"/>
  <c r="J378" i="11"/>
  <c r="J377" i="11"/>
  <c r="J16" i="3"/>
  <c r="J405" i="11"/>
  <c r="J403" i="11"/>
  <c r="J402" i="11"/>
  <c r="J404" i="11"/>
  <c r="J153" i="11"/>
  <c r="J154" i="11"/>
  <c r="J155" i="11"/>
  <c r="J327" i="11"/>
  <c r="J328" i="11"/>
  <c r="J329" i="11"/>
  <c r="J330" i="11"/>
  <c r="J401" i="11"/>
  <c r="J424" i="11"/>
  <c r="J423" i="11"/>
  <c r="J417" i="11"/>
  <c r="J416" i="11"/>
  <c r="J415" i="11"/>
  <c r="J458" i="11"/>
  <c r="J457" i="11"/>
  <c r="J456" i="11"/>
  <c r="J455" i="11"/>
  <c r="J454" i="11"/>
  <c r="J453" i="11"/>
  <c r="J452" i="11"/>
  <c r="J451" i="11"/>
  <c r="J450" i="11"/>
  <c r="J449" i="11"/>
  <c r="J435" i="11"/>
  <c r="J434" i="11"/>
  <c r="J433" i="11"/>
  <c r="J432" i="11"/>
  <c r="J431" i="11"/>
  <c r="J430" i="11"/>
  <c r="J429" i="11"/>
  <c r="J428" i="11"/>
  <c r="J427" i="11"/>
  <c r="J426" i="11"/>
  <c r="J422" i="11"/>
  <c r="J421" i="11"/>
  <c r="J420" i="11"/>
  <c r="J321" i="11"/>
  <c r="J322" i="11"/>
  <c r="J323" i="11"/>
  <c r="J324" i="11"/>
  <c r="J15" i="11"/>
  <c r="J16" i="11"/>
  <c r="J17" i="11"/>
  <c r="J317" i="11"/>
  <c r="J318" i="11"/>
  <c r="J319" i="11"/>
  <c r="J320" i="11"/>
  <c r="J325" i="11"/>
  <c r="J326" i="11"/>
  <c r="J331" i="11"/>
  <c r="J148" i="11"/>
  <c r="J149" i="11"/>
  <c r="J150" i="11"/>
  <c r="J151" i="11"/>
  <c r="J152" i="11"/>
  <c r="J400" i="11"/>
  <c r="J144" i="11"/>
  <c r="J145" i="11"/>
  <c r="J146" i="11"/>
  <c r="J147" i="11"/>
  <c r="J156" i="11"/>
  <c r="J157" i="11"/>
  <c r="J24" i="11"/>
  <c r="J23" i="11"/>
  <c r="J77" i="11"/>
  <c r="J76" i="11"/>
  <c r="J75" i="11"/>
  <c r="J74" i="11"/>
  <c r="J73" i="11"/>
  <c r="J72" i="11"/>
  <c r="J71" i="11"/>
  <c r="J70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229" i="11"/>
  <c r="J228" i="11"/>
  <c r="J227" i="11"/>
  <c r="J226" i="11"/>
  <c r="J308" i="11"/>
  <c r="J309" i="11"/>
  <c r="J310" i="11"/>
  <c r="J311" i="11"/>
  <c r="J312" i="11"/>
  <c r="J313" i="11"/>
  <c r="J314" i="11"/>
  <c r="J315" i="11"/>
  <c r="J397" i="11"/>
  <c r="J398" i="11"/>
  <c r="J139" i="11"/>
  <c r="J140" i="11"/>
  <c r="J141" i="11"/>
  <c r="J142" i="11"/>
  <c r="J143" i="11"/>
  <c r="J303" i="11"/>
  <c r="J304" i="11"/>
  <c r="J305" i="11"/>
  <c r="J306" i="11"/>
  <c r="J307" i="11"/>
  <c r="J316" i="11"/>
  <c r="J11" i="11"/>
  <c r="J12" i="11"/>
  <c r="J13" i="11"/>
  <c r="J14" i="11"/>
  <c r="J134" i="11"/>
  <c r="J135" i="11"/>
  <c r="J136" i="11"/>
  <c r="J137" i="11"/>
  <c r="J138" i="11"/>
  <c r="J299" i="11"/>
  <c r="J300" i="11"/>
  <c r="J301" i="11"/>
  <c r="J302" i="11"/>
  <c r="J9" i="11"/>
  <c r="J10" i="11"/>
  <c r="J18" i="11"/>
  <c r="J296" i="11"/>
  <c r="J297" i="11"/>
  <c r="J294" i="11"/>
  <c r="J295" i="11"/>
  <c r="J292" i="11"/>
  <c r="J126" i="11"/>
  <c r="J127" i="11"/>
  <c r="J128" i="11"/>
  <c r="J129" i="11"/>
  <c r="J130" i="11"/>
  <c r="J131" i="11"/>
  <c r="J132" i="11"/>
  <c r="J133" i="11"/>
  <c r="J395" i="11"/>
  <c r="J396" i="11"/>
  <c r="J399" i="11"/>
  <c r="J406" i="11"/>
  <c r="J394" i="11"/>
  <c r="J289" i="11"/>
  <c r="J290" i="11"/>
  <c r="J291" i="11"/>
  <c r="J293" i="11"/>
  <c r="J298" i="11"/>
  <c r="J69" i="11"/>
  <c r="J68" i="11"/>
  <c r="J67" i="11"/>
  <c r="J66" i="11"/>
  <c r="J65" i="11"/>
  <c r="J225" i="11"/>
  <c r="J224" i="11"/>
  <c r="J223" i="11"/>
  <c r="J222" i="11"/>
  <c r="J221" i="11"/>
  <c r="J220" i="11"/>
  <c r="J219" i="11"/>
  <c r="J218" i="11"/>
  <c r="J7" i="11"/>
  <c r="J8" i="11"/>
  <c r="J393" i="11"/>
  <c r="J121" i="11"/>
  <c r="J122" i="11"/>
  <c r="J123" i="11"/>
  <c r="J124" i="11"/>
  <c r="J125" i="11"/>
  <c r="J284" i="11"/>
  <c r="J285" i="11"/>
  <c r="J392" i="11"/>
  <c r="J283" i="11"/>
  <c r="J286" i="11"/>
  <c r="J287" i="11"/>
  <c r="J118" i="11"/>
  <c r="J119" i="11"/>
  <c r="J120" i="11"/>
  <c r="J279" i="11"/>
  <c r="J280" i="11"/>
  <c r="J281" i="11"/>
  <c r="J282" i="11"/>
  <c r="J288" i="11"/>
  <c r="N462" i="11"/>
  <c r="G98" i="5"/>
  <c r="J391" i="11"/>
  <c r="J390" i="11"/>
  <c r="J274" i="11"/>
  <c r="J275" i="11"/>
  <c r="J276" i="11"/>
  <c r="J277" i="11"/>
  <c r="J278" i="11"/>
  <c r="J113" i="11"/>
  <c r="J114" i="11"/>
  <c r="J115" i="11"/>
  <c r="J116" i="11"/>
  <c r="J117" i="11"/>
  <c r="J158" i="11"/>
  <c r="J272" i="11"/>
  <c r="J273" i="11"/>
  <c r="J269" i="11"/>
  <c r="J270" i="11"/>
  <c r="J271" i="11"/>
  <c r="J110" i="11"/>
  <c r="J111" i="11"/>
  <c r="J112" i="11"/>
  <c r="J217" i="11"/>
  <c r="J216" i="11"/>
  <c r="J215" i="11"/>
  <c r="J214" i="11"/>
  <c r="J213" i="11"/>
  <c r="J212" i="11"/>
  <c r="J22" i="11"/>
  <c r="J64" i="11"/>
  <c r="J109" i="11"/>
  <c r="J265" i="11"/>
  <c r="J266" i="11"/>
  <c r="J267" i="11"/>
  <c r="J268" i="11"/>
  <c r="J359" i="11"/>
  <c r="J412" i="11"/>
  <c r="J413" i="11"/>
  <c r="J448" i="11"/>
  <c r="J411" i="11"/>
  <c r="J63" i="11"/>
  <c r="J62" i="11"/>
  <c r="J61" i="11"/>
  <c r="J355" i="11"/>
  <c r="J356" i="11"/>
  <c r="J357" i="11"/>
  <c r="J211" i="11"/>
  <c r="J210" i="11"/>
  <c r="J209" i="11"/>
  <c r="J208" i="11"/>
  <c r="J207" i="11"/>
  <c r="J206" i="11"/>
  <c r="J205" i="11"/>
  <c r="J410" i="11"/>
  <c r="J349" i="11"/>
  <c r="J350" i="11"/>
  <c r="J351" i="11"/>
  <c r="J352" i="11"/>
  <c r="J353" i="11"/>
  <c r="J354" i="11"/>
  <c r="J358" i="11"/>
  <c r="J26" i="11"/>
  <c r="J27" i="11"/>
  <c r="J28" i="11"/>
  <c r="J409" i="11"/>
  <c r="J408" i="11"/>
  <c r="J343" i="11"/>
  <c r="J344" i="11"/>
  <c r="J345" i="11"/>
  <c r="J346" i="11"/>
  <c r="J347" i="11"/>
  <c r="J161" i="11"/>
  <c r="J162" i="11"/>
  <c r="J163" i="11"/>
  <c r="J164" i="11"/>
  <c r="J342" i="11"/>
  <c r="J348" i="11"/>
  <c r="J341" i="11"/>
  <c r="J204" i="11"/>
  <c r="J203" i="11"/>
  <c r="J202" i="11"/>
  <c r="J201" i="11"/>
  <c r="J200" i="11"/>
  <c r="J60" i="11"/>
  <c r="J59" i="11"/>
  <c r="J425" i="11"/>
  <c r="J419" i="11"/>
  <c r="J418" i="11"/>
  <c r="J340" i="11"/>
  <c r="J160" i="11"/>
  <c r="J338" i="11"/>
  <c r="J407" i="11"/>
  <c r="J337" i="11"/>
  <c r="J336" i="11"/>
  <c r="J335" i="11"/>
  <c r="J334" i="11"/>
  <c r="J159" i="11"/>
  <c r="J21" i="11"/>
  <c r="J20" i="11"/>
  <c r="J333" i="11"/>
  <c r="J389" i="11"/>
  <c r="J58" i="11"/>
  <c r="J57" i="11"/>
  <c r="J388" i="11"/>
  <c r="J387" i="11"/>
  <c r="J199" i="11"/>
  <c r="J198" i="11"/>
  <c r="J197" i="11"/>
  <c r="J196" i="11"/>
  <c r="J195" i="11"/>
  <c r="J56" i="11"/>
  <c r="J55" i="11"/>
  <c r="J54" i="11"/>
  <c r="J261" i="11"/>
  <c r="J262" i="11"/>
  <c r="J263" i="11"/>
  <c r="J264" i="11"/>
  <c r="J332" i="11"/>
  <c r="J105" i="11"/>
  <c r="J106" i="11"/>
  <c r="J107" i="11"/>
  <c r="J108" i="11"/>
  <c r="J5" i="11"/>
  <c r="J6" i="11"/>
  <c r="J19" i="11"/>
  <c r="J4" i="11"/>
  <c r="J257" i="11"/>
  <c r="J258" i="11"/>
  <c r="J259" i="11"/>
  <c r="J260" i="11"/>
  <c r="J339" i="11"/>
  <c r="J100" i="11"/>
  <c r="J101" i="11"/>
  <c r="J102" i="11"/>
  <c r="J103" i="11"/>
  <c r="J104" i="11"/>
  <c r="J255" i="11"/>
  <c r="N37" i="6"/>
  <c r="G61" i="6"/>
  <c r="G60" i="6"/>
  <c r="J20" i="6"/>
  <c r="J19" i="6"/>
  <c r="J5" i="6"/>
  <c r="J15" i="6"/>
  <c r="J16" i="6"/>
  <c r="J17" i="6"/>
  <c r="J18" i="6"/>
  <c r="J28" i="6"/>
  <c r="J29" i="6"/>
  <c r="J30" i="6"/>
  <c r="J31" i="6"/>
  <c r="J32" i="6"/>
  <c r="F37" i="6"/>
  <c r="L37" i="6"/>
  <c r="J24" i="6"/>
  <c r="J13" i="6"/>
  <c r="J12" i="6"/>
  <c r="G140" i="5"/>
  <c r="J109" i="5"/>
  <c r="J108" i="5"/>
  <c r="L79" i="3"/>
  <c r="J75" i="5"/>
  <c r="J76" i="5"/>
  <c r="J77" i="5"/>
  <c r="J78" i="5"/>
  <c r="J79" i="5"/>
  <c r="J29" i="5"/>
  <c r="J30" i="5"/>
  <c r="J31" i="5"/>
  <c r="J71" i="5"/>
  <c r="J72" i="5"/>
  <c r="J73" i="5"/>
  <c r="J74" i="5"/>
  <c r="G139" i="5"/>
  <c r="J106" i="5"/>
  <c r="J107" i="5"/>
  <c r="J8" i="5"/>
  <c r="J9" i="5"/>
  <c r="J27" i="5"/>
  <c r="J28" i="5"/>
  <c r="J32" i="5"/>
  <c r="J33" i="5"/>
  <c r="J65" i="5"/>
  <c r="J66" i="5"/>
  <c r="J67" i="5"/>
  <c r="J68" i="5"/>
  <c r="J69" i="5"/>
  <c r="J70" i="5"/>
  <c r="J105" i="5"/>
  <c r="J23" i="5"/>
  <c r="J24" i="5"/>
  <c r="J25" i="5"/>
  <c r="J26" i="5"/>
  <c r="J104" i="5"/>
  <c r="J61" i="5"/>
  <c r="J62" i="5"/>
  <c r="J63" i="5"/>
  <c r="J64" i="5"/>
  <c r="J18" i="5"/>
  <c r="J19" i="5"/>
  <c r="J20" i="5"/>
  <c r="J21" i="5"/>
  <c r="J22" i="5"/>
  <c r="J55" i="5"/>
  <c r="J56" i="5"/>
  <c r="J57" i="5"/>
  <c r="J58" i="5"/>
  <c r="J59" i="5"/>
  <c r="G138" i="5"/>
  <c r="J17" i="5"/>
  <c r="J60" i="5"/>
  <c r="J99" i="5"/>
  <c r="J100" i="5"/>
  <c r="J101" i="5"/>
  <c r="J102" i="5"/>
  <c r="J103" i="5"/>
  <c r="G137" i="5"/>
  <c r="J52" i="11"/>
  <c r="J51" i="11"/>
  <c r="J50" i="11"/>
  <c r="J49" i="11"/>
  <c r="J193" i="11"/>
  <c r="J192" i="11"/>
  <c r="J191" i="11"/>
  <c r="J190" i="11"/>
  <c r="J189" i="11"/>
  <c r="J188" i="11"/>
  <c r="J187" i="11"/>
  <c r="J48" i="11"/>
  <c r="J47" i="11"/>
  <c r="J46" i="11"/>
  <c r="J45" i="11"/>
  <c r="J44" i="11"/>
  <c r="J43" i="11"/>
  <c r="J42" i="11"/>
  <c r="J186" i="11"/>
  <c r="J185" i="11"/>
  <c r="J184" i="11"/>
  <c r="J183" i="11"/>
  <c r="J182" i="11"/>
  <c r="J181" i="11"/>
  <c r="J180" i="11"/>
  <c r="L462" i="11"/>
  <c r="J446" i="11"/>
  <c r="J447" i="11"/>
  <c r="J376" i="11"/>
  <c r="J436" i="11"/>
  <c r="J29" i="11"/>
  <c r="N56" i="3"/>
  <c r="J52" i="3"/>
  <c r="J53" i="3"/>
  <c r="J54" i="3"/>
  <c r="F56" i="3"/>
  <c r="J51" i="3"/>
  <c r="J96" i="11"/>
  <c r="J97" i="11"/>
  <c r="J98" i="11"/>
  <c r="M462" i="11"/>
  <c r="J256" i="11"/>
  <c r="J92" i="11"/>
  <c r="J93" i="11"/>
  <c r="J94" i="11"/>
  <c r="J95" i="11"/>
  <c r="J99" i="11"/>
  <c r="J371" i="11"/>
  <c r="J372" i="11"/>
  <c r="J373" i="11"/>
  <c r="J374" i="11"/>
  <c r="J375" i="11"/>
  <c r="J370" i="11"/>
  <c r="J252" i="11"/>
  <c r="J253" i="11"/>
  <c r="J88" i="11"/>
  <c r="J89" i="11"/>
  <c r="J90" i="11"/>
  <c r="J91" i="11"/>
  <c r="J165" i="11"/>
  <c r="J179" i="11"/>
  <c r="J41" i="11"/>
  <c r="J40" i="11"/>
  <c r="J30" i="11"/>
  <c r="J3" i="11"/>
  <c r="J250" i="11"/>
  <c r="J251" i="11"/>
  <c r="J254" i="11"/>
  <c r="J83" i="11"/>
  <c r="J84" i="11"/>
  <c r="J85" i="11"/>
  <c r="J86" i="11"/>
  <c r="J87" i="11"/>
  <c r="J246" i="11"/>
  <c r="J247" i="11"/>
  <c r="J248" i="11"/>
  <c r="J249" i="11"/>
  <c r="J360" i="11"/>
  <c r="J243" i="11"/>
  <c r="J244" i="11"/>
  <c r="J245" i="11"/>
  <c r="J78" i="11"/>
  <c r="J79" i="11"/>
  <c r="J80" i="11"/>
  <c r="J81" i="11"/>
  <c r="J82" i="11"/>
  <c r="J178" i="11"/>
  <c r="G77" i="3"/>
  <c r="G78" i="3"/>
  <c r="F462" i="11"/>
  <c r="J18" i="3"/>
  <c r="L50" i="3"/>
  <c r="J445" i="11"/>
  <c r="J177" i="11"/>
  <c r="J38" i="11"/>
  <c r="J48" i="3"/>
  <c r="J49" i="3"/>
  <c r="J36" i="3"/>
  <c r="J37" i="3"/>
  <c r="J17" i="3"/>
  <c r="J35" i="3"/>
  <c r="J176" i="11"/>
  <c r="J91" i="5"/>
  <c r="F98" i="5"/>
  <c r="L98" i="5"/>
  <c r="J175" i="11" l="1"/>
  <c r="G136" i="5"/>
  <c r="J36" i="11"/>
  <c r="J174" i="11"/>
  <c r="J173" i="11"/>
  <c r="J172" i="11"/>
  <c r="J28" i="3"/>
  <c r="J29" i="3"/>
  <c r="J30" i="3"/>
  <c r="J31" i="3"/>
  <c r="J32" i="3"/>
  <c r="J33" i="3"/>
  <c r="J34" i="3"/>
  <c r="J11" i="3"/>
  <c r="J12" i="3"/>
  <c r="J13" i="3"/>
  <c r="J14" i="3"/>
  <c r="J15" i="3"/>
  <c r="G76" i="3"/>
  <c r="J3" i="3" l="1"/>
  <c r="J47" i="3"/>
  <c r="G75" i="3"/>
  <c r="J27" i="3"/>
  <c r="J26" i="3"/>
  <c r="G74" i="3"/>
  <c r="J4" i="3"/>
  <c r="J5" i="3"/>
  <c r="M98" i="5"/>
  <c r="G462" i="11"/>
  <c r="J462" i="11" s="1"/>
  <c r="J461" i="11"/>
  <c r="O444" i="11"/>
  <c r="O462" i="11" s="1"/>
  <c r="N444" i="11"/>
  <c r="M444" i="11"/>
  <c r="L444" i="11"/>
  <c r="G444" i="11"/>
  <c r="F444" i="11"/>
  <c r="O369" i="11"/>
  <c r="N369" i="11"/>
  <c r="M369" i="11"/>
  <c r="L369" i="11"/>
  <c r="G369" i="11"/>
  <c r="F369" i="11"/>
  <c r="O170" i="11"/>
  <c r="N170" i="11"/>
  <c r="M170" i="11"/>
  <c r="L170" i="11"/>
  <c r="G170" i="11"/>
  <c r="F170" i="11"/>
  <c r="J39" i="11"/>
  <c r="O34" i="11"/>
  <c r="N34" i="11"/>
  <c r="M34" i="11"/>
  <c r="L34" i="11"/>
  <c r="G34" i="11"/>
  <c r="F34" i="11"/>
  <c r="J170" i="11" l="1"/>
  <c r="N465" i="11"/>
  <c r="L465" i="11"/>
  <c r="G465" i="11"/>
  <c r="J444" i="11"/>
  <c r="O465" i="11"/>
  <c r="J369" i="11"/>
  <c r="F465" i="11"/>
  <c r="M465" i="11"/>
  <c r="J34" i="11"/>
  <c r="F46" i="3"/>
  <c r="J38" i="3"/>
  <c r="N25" i="3"/>
  <c r="F25" i="3"/>
  <c r="L46" i="3"/>
  <c r="J465" i="11" l="1"/>
  <c r="L467" i="11"/>
  <c r="J7" i="5" l="1"/>
  <c r="G25" i="3"/>
  <c r="L25" i="3"/>
  <c r="M25" i="3"/>
  <c r="J34" i="5"/>
  <c r="J46" i="5"/>
  <c r="L118" i="5"/>
  <c r="J110" i="5"/>
  <c r="J4" i="5"/>
  <c r="J5" i="5"/>
  <c r="J6" i="5"/>
  <c r="N118" i="5"/>
  <c r="F118" i="5"/>
  <c r="F54" i="5"/>
  <c r="L54" i="5"/>
  <c r="D79" i="3"/>
  <c r="E79" i="3"/>
  <c r="I79" i="3"/>
  <c r="M37" i="6"/>
  <c r="O37" i="6"/>
  <c r="J14" i="6"/>
  <c r="N23" i="6"/>
  <c r="J4" i="6"/>
  <c r="L23" i="6"/>
  <c r="F23" i="6"/>
  <c r="O46" i="3"/>
  <c r="M46" i="3"/>
  <c r="J55" i="3"/>
  <c r="L56" i="3"/>
  <c r="O10" i="3"/>
  <c r="N10" i="3"/>
  <c r="M10" i="3"/>
  <c r="L10" i="3"/>
  <c r="O25" i="3"/>
  <c r="I64" i="6"/>
  <c r="E64" i="6"/>
  <c r="D64" i="6"/>
  <c r="G63" i="6"/>
  <c r="G62" i="6"/>
  <c r="O43" i="6"/>
  <c r="N43" i="6"/>
  <c r="M43" i="6"/>
  <c r="L43" i="6"/>
  <c r="G43" i="6"/>
  <c r="F43" i="6"/>
  <c r="G37" i="6"/>
  <c r="J33" i="6"/>
  <c r="J27" i="6"/>
  <c r="J26" i="6"/>
  <c r="J25" i="6"/>
  <c r="O23" i="6"/>
  <c r="M23" i="6"/>
  <c r="G23" i="6"/>
  <c r="O11" i="6"/>
  <c r="N11" i="6"/>
  <c r="M11" i="6"/>
  <c r="L11" i="6"/>
  <c r="G11" i="6"/>
  <c r="F11" i="6"/>
  <c r="I141" i="5"/>
  <c r="E141" i="5"/>
  <c r="D141" i="5"/>
  <c r="G118" i="5"/>
  <c r="O114" i="5"/>
  <c r="O118" i="5" s="1"/>
  <c r="N114" i="5"/>
  <c r="M114" i="5"/>
  <c r="M118" i="5" s="1"/>
  <c r="L114" i="5"/>
  <c r="G114" i="5"/>
  <c r="F114" i="5"/>
  <c r="N98" i="5"/>
  <c r="O54" i="5"/>
  <c r="O98" i="5" s="1"/>
  <c r="N54" i="5"/>
  <c r="M54" i="5"/>
  <c r="G54" i="5"/>
  <c r="O16" i="5"/>
  <c r="N16" i="5"/>
  <c r="M16" i="5"/>
  <c r="L16" i="5"/>
  <c r="G16" i="5"/>
  <c r="F16" i="5"/>
  <c r="J10" i="5"/>
  <c r="G56" i="3"/>
  <c r="O50" i="3"/>
  <c r="O56" i="3" s="1"/>
  <c r="N50" i="3"/>
  <c r="M50" i="3"/>
  <c r="M56" i="3" s="1"/>
  <c r="G50" i="3"/>
  <c r="F50" i="3"/>
  <c r="N46" i="3"/>
  <c r="G46" i="3"/>
  <c r="G10" i="3"/>
  <c r="F10" i="3"/>
  <c r="M121" i="5" l="1"/>
  <c r="J25" i="3"/>
  <c r="F59" i="3"/>
  <c r="G79" i="3"/>
  <c r="G45" i="6"/>
  <c r="M45" i="6"/>
  <c r="N45" i="6"/>
  <c r="O45" i="6"/>
  <c r="L45" i="6"/>
  <c r="J54" i="5"/>
  <c r="J98" i="5"/>
  <c r="J114" i="5"/>
  <c r="G121" i="5"/>
  <c r="N121" i="5"/>
  <c r="J118" i="5"/>
  <c r="J23" i="6"/>
  <c r="G64" i="6"/>
  <c r="J43" i="6"/>
  <c r="J11" i="6"/>
  <c r="G141" i="5"/>
  <c r="O121" i="5"/>
  <c r="L121" i="5"/>
  <c r="J16" i="5"/>
  <c r="J56" i="3"/>
  <c r="L59" i="3"/>
  <c r="M59" i="3"/>
  <c r="N59" i="3"/>
  <c r="J46" i="3"/>
  <c r="O59" i="3"/>
  <c r="J10" i="3"/>
  <c r="J50" i="3"/>
  <c r="F121" i="5" l="1"/>
  <c r="J121" i="5" s="1"/>
  <c r="L61" i="3"/>
  <c r="G59" i="3"/>
  <c r="J59" i="3" s="1"/>
  <c r="L123" i="5" l="1"/>
  <c r="F45" i="6"/>
  <c r="J45" i="6" s="1"/>
  <c r="J37" i="6"/>
  <c r="L4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41" authorId="0" shapeId="0" xr:uid="{7BBC55F5-7C5C-4540-8957-F897AB8D1000}">
      <text>
        <r>
          <rPr>
            <b/>
            <sz val="9"/>
            <color indexed="81"/>
            <rFont val="Tahoma"/>
            <family val="2"/>
          </rPr>
          <t>Contratto 4000
- 4000 12/03 dt 34M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49" authorId="0" shapeId="0" xr:uid="{4F2EEA19-78A7-4BD7-95AB-49158DADB34F}">
      <text>
        <r>
          <rPr>
            <b/>
            <sz val="9"/>
            <color indexed="81"/>
            <rFont val="Tahoma"/>
            <family val="2"/>
          </rPr>
          <t>CONTRATTO KG 30000
-4000 IL 31/10
-7000 il 13/11 dt 380m e 382m</t>
        </r>
        <r>
          <rPr>
            <sz val="9"/>
            <color indexed="81"/>
            <rFont val="Tahoma"/>
            <family val="2"/>
          </rPr>
          <t xml:space="preserve">
-5000 il 19/11 dt 391m
-4000 IL 10/12 DT 426M
-363 il 12/01 dt nr 5M
-10000 il 10/02 dt nr 04s e 05s</t>
        </r>
      </text>
    </comment>
    <comment ref="G51" authorId="0" shapeId="0" xr:uid="{6283F16D-1964-4260-A917-DE3147F07F57}">
      <text>
        <r>
          <rPr>
            <b/>
            <sz val="9"/>
            <color indexed="81"/>
            <rFont val="Tahoma"/>
            <family val="2"/>
          </rPr>
          <t>INIZIALE 15000
-5000 IL 16/02 DDT 10S E 11S</t>
        </r>
        <r>
          <rPr>
            <sz val="9"/>
            <color indexed="81"/>
            <rFont val="Tahoma"/>
            <family val="2"/>
          </rPr>
          <t xml:space="preserve">
-4000 IL 26/06 DDT NR 67M
-6000 IL 01/07 DT 69M (13/15)</t>
        </r>
      </text>
    </comment>
    <comment ref="G94" authorId="0" shapeId="0" xr:uid="{60483EB1-A147-463E-934C-1F6A8FC7ACD4}">
      <text>
        <r>
          <rPr>
            <b/>
            <sz val="9"/>
            <color indexed="81"/>
            <rFont val="Tahoma"/>
            <family val="2"/>
          </rPr>
          <t>inizio 28270
-4000 IL 31/10 DT 375M
-7000 il 13/11 dt 380m e 382m</t>
        </r>
        <r>
          <rPr>
            <sz val="9"/>
            <color indexed="81"/>
            <rFont val="Tahoma"/>
            <family val="2"/>
          </rPr>
          <t xml:space="preserve">
-5000 il 19/11 dt 391m
-6000 IL 10/12 DT 426M
-6270 il 12/01 dt 5M</t>
        </r>
      </text>
    </comment>
    <comment ref="G95" authorId="0" shapeId="0" xr:uid="{CDAF20F0-C4B4-4B96-8D6F-45EFFA7FFA71}">
      <text>
        <r>
          <rPr>
            <b/>
            <sz val="9"/>
            <color indexed="81"/>
            <rFont val="Tahoma"/>
            <family val="2"/>
          </rPr>
          <t>INIZIALE 15000
- 5270 IL 16/02 DDT 10S E 11S</t>
        </r>
        <r>
          <rPr>
            <sz val="9"/>
            <color indexed="81"/>
            <rFont val="Tahoma"/>
            <family val="2"/>
          </rPr>
          <t xml:space="preserve">
- 6000 IL 26/06 DDT NR 67M
-1000 IL 01/07 DT 69M
-3000 IL 24/07 DT 74M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364" authorId="0" shapeId="0" xr:uid="{1DEE99C8-CAE9-4A24-9536-0C31CC1636CE}">
      <text>
        <r>
          <rPr>
            <b/>
            <sz val="9"/>
            <color indexed="81"/>
            <rFont val="Tahoma"/>
            <family val="2"/>
          </rPr>
          <t>Contratto 3000
-1000 il 22/10 dt 293f
-1000 il 24/10 dt 297f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65" authorId="0" shapeId="0" xr:uid="{4040A553-2621-4B22-9EC0-C3FE6F92519D}">
      <text>
        <r>
          <rPr>
            <b/>
            <sz val="9"/>
            <color indexed="81"/>
            <rFont val="Tahoma"/>
            <family val="2"/>
          </rPr>
          <t>contratto 5000
- 2000 il 19/11/2025</t>
        </r>
        <r>
          <rPr>
            <sz val="9"/>
            <color indexed="81"/>
            <rFont val="Tahoma"/>
            <family val="2"/>
          </rPr>
          <t xml:space="preserve">
- 3000 il 26/11/2025</t>
        </r>
      </text>
    </comment>
    <comment ref="G366" authorId="0" shapeId="0" xr:uid="{2A3070BE-A7B7-46EB-A84E-333C2243C014}">
      <text>
        <r>
          <rPr>
            <sz val="9"/>
            <color indexed="81"/>
            <rFont val="Tahoma"/>
            <family val="2"/>
          </rPr>
          <t>KG 2000 CONS IL 18/11 DDT 319F</t>
        </r>
      </text>
    </comment>
    <comment ref="G367" authorId="0" shapeId="0" xr:uid="{D7B7804F-18DD-4127-A7D6-D76E365ED4C3}">
      <text>
        <r>
          <rPr>
            <b/>
            <sz val="9"/>
            <color indexed="81"/>
            <rFont val="Tahoma"/>
            <family val="2"/>
          </rPr>
          <t>evaso 24000 il 03/02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<sst xmlns="http://schemas.openxmlformats.org/spreadsheetml/2006/main" count="3239" uniqueCount="307">
  <si>
    <t>DATA</t>
  </si>
  <si>
    <t>BIOLOGICHE</t>
  </si>
  <si>
    <t>SETTIMANA DI PRODUZ.</t>
  </si>
  <si>
    <t>DESCRIZIONE PRODOTTO</t>
  </si>
  <si>
    <t>CALIBRO</t>
  </si>
  <si>
    <t>CONTRATTI DA EVADERE</t>
  </si>
  <si>
    <t>CLIENTE/FOR</t>
  </si>
  <si>
    <t>N. CONTRATTO</t>
  </si>
  <si>
    <t>QUANTITA' DISPONIBILI</t>
  </si>
  <si>
    <t>SORIANO</t>
  </si>
  <si>
    <t>Marcio vis</t>
  </si>
  <si>
    <t>Marcio Occ.</t>
  </si>
  <si>
    <t>Cimiciato Occ.</t>
  </si>
  <si>
    <t>Cimiciato vis.</t>
  </si>
  <si>
    <t>9/11</t>
  </si>
  <si>
    <t>TOTALE PARZIALE SGUSCIATO</t>
  </si>
  <si>
    <t>di cui</t>
  </si>
  <si>
    <t>11/13</t>
  </si>
  <si>
    <t>CONTRATTI PER 11/13</t>
  </si>
  <si>
    <t>13/15</t>
  </si>
  <si>
    <t>QUADRATURA</t>
  </si>
  <si>
    <t>CONTRATTI PER 9/11</t>
  </si>
  <si>
    <t>ROTTAME</t>
  </si>
  <si>
    <t>TIPO IMBALLO</t>
  </si>
  <si>
    <t>TOTALE GENERALE BIOLOGICHE SGUSCIATE</t>
  </si>
  <si>
    <t>SILOS</t>
  </si>
  <si>
    <t>KG IN GUSCIO DA SGUSCIARE</t>
  </si>
  <si>
    <t>TOT. KG SGUSCIATO</t>
  </si>
  <si>
    <t>TOT. BIG N°</t>
  </si>
  <si>
    <t>TOTALI</t>
  </si>
  <si>
    <t>QUANTITA' IN GIACENZA</t>
  </si>
  <si>
    <t>FABRICA</t>
  </si>
  <si>
    <t>VIGNANELLO</t>
  </si>
  <si>
    <t>RESA %</t>
  </si>
  <si>
    <t>KG IN GUSCIO SGUSC.</t>
  </si>
  <si>
    <t>USCITE IN GUSCIO</t>
  </si>
  <si>
    <t>CORPI ESTRANEI</t>
  </si>
  <si>
    <t>LOTTO NOCCIOLE</t>
  </si>
  <si>
    <t>LOTTO IMBALLO</t>
  </si>
  <si>
    <t>SCARTI</t>
  </si>
  <si>
    <t>CAPRAROLA</t>
  </si>
  <si>
    <t>Contratti 13/15</t>
  </si>
  <si>
    <t>RACCOLTO BIO BIOSUISSE IN GUSCIO 2024/2025 - stima</t>
  </si>
  <si>
    <t>CONVENZIONALE</t>
  </si>
  <si>
    <t>KG USCITE IN GUSCIO</t>
  </si>
  <si>
    <t>IN GUSCIO SGUS.</t>
  </si>
  <si>
    <t>RACCOLTO BIOLOGICO IN GUSCIO 2025/2026 - stima</t>
  </si>
  <si>
    <t>RACCOLTO 2025/2026 BIO FAIR FOR LIFE</t>
  </si>
  <si>
    <t>RACCOLTO BIO FAIR FOR LIFE IN GUSCIO 2025/2026 - stima</t>
  </si>
  <si>
    <t>TOTALE GENERALE CONVENZIONALE SGUSCIATE</t>
  </si>
  <si>
    <t>S101/2025</t>
  </si>
  <si>
    <t>S102/2025</t>
  </si>
  <si>
    <t>S103/2025</t>
  </si>
  <si>
    <t>S104/2025</t>
  </si>
  <si>
    <t>S120/2025</t>
  </si>
  <si>
    <t>S121/2025</t>
  </si>
  <si>
    <t>S123/2025</t>
  </si>
  <si>
    <t>SBSS125/2025</t>
  </si>
  <si>
    <t>40/2025</t>
  </si>
  <si>
    <t>BIG01/2025</t>
  </si>
  <si>
    <t>BIG BAG N°1</t>
  </si>
  <si>
    <t>S109/2025</t>
  </si>
  <si>
    <t>BIG BAG N°2</t>
  </si>
  <si>
    <t>BIG BAG N° 1</t>
  </si>
  <si>
    <t>BIG BAG N° 2</t>
  </si>
  <si>
    <t>BIG BAG N°3</t>
  </si>
  <si>
    <t>S106/2025</t>
  </si>
  <si>
    <t>BIG BAG N°5</t>
  </si>
  <si>
    <t>BIG BAG N° 3</t>
  </si>
  <si>
    <t>BIG BAG N° 4</t>
  </si>
  <si>
    <t>BIG BAG N° 5</t>
  </si>
  <si>
    <t>BIG BAG N° 6</t>
  </si>
  <si>
    <t>BIG BAG N° 7</t>
  </si>
  <si>
    <t>BIG BAG N° 8</t>
  </si>
  <si>
    <t>42/2025</t>
  </si>
  <si>
    <t>BIG BAG N°11</t>
  </si>
  <si>
    <t>SGUSCIATO DA SCEGLIERE</t>
  </si>
  <si>
    <t>S105/2025</t>
  </si>
  <si>
    <t>BIG BAG</t>
  </si>
  <si>
    <t>43/2025</t>
  </si>
  <si>
    <t>FA10/2025</t>
  </si>
  <si>
    <t xml:space="preserve">SGUSCIATO SCELTO TGR </t>
  </si>
  <si>
    <t>Rott.</t>
  </si>
  <si>
    <t>BIG 3</t>
  </si>
  <si>
    <t>BIG 5</t>
  </si>
  <si>
    <t>BIG 6</t>
  </si>
  <si>
    <t>BIG 7</t>
  </si>
  <si>
    <t>BIG 8</t>
  </si>
  <si>
    <t>BIG 9</t>
  </si>
  <si>
    <t>BIG 11</t>
  </si>
  <si>
    <t>BIG 12</t>
  </si>
  <si>
    <t>BIG 13</t>
  </si>
  <si>
    <t>BIG BAG N° 9</t>
  </si>
  <si>
    <t>BIG BAG N° 10</t>
  </si>
  <si>
    <t>BIG BAG N° 11</t>
  </si>
  <si>
    <t>BIG BAG N° 12</t>
  </si>
  <si>
    <t>44/2025</t>
  </si>
  <si>
    <t>BIG02/2025</t>
  </si>
  <si>
    <t>SGUSCIATO SCELTO</t>
  </si>
  <si>
    <t>biosic contratto 103</t>
  </si>
  <si>
    <t>ott.2026</t>
  </si>
  <si>
    <t>CONTRATTI PER 13/15</t>
  </si>
  <si>
    <t>cimina dolciaria</t>
  </si>
  <si>
    <t>Campodata mail del 28/10</t>
  </si>
  <si>
    <t>45/2025</t>
  </si>
  <si>
    <t>FA11/2025</t>
  </si>
  <si>
    <t>46/2025</t>
  </si>
  <si>
    <t>BIG 14</t>
  </si>
  <si>
    <t>BIG 15</t>
  </si>
  <si>
    <t>BIG 17</t>
  </si>
  <si>
    <t>BIG 18</t>
  </si>
  <si>
    <t>BIG 20</t>
  </si>
  <si>
    <t>BIG 21</t>
  </si>
  <si>
    <t>mail 04/11</t>
  </si>
  <si>
    <t>SO112025</t>
  </si>
  <si>
    <t>Biosic</t>
  </si>
  <si>
    <t>47/2025</t>
  </si>
  <si>
    <t>Santaniello</t>
  </si>
  <si>
    <t>BIG BAG N° 13</t>
  </si>
  <si>
    <t>BIG BAG N° 14</t>
  </si>
  <si>
    <t>BIG BAG N° 15</t>
  </si>
  <si>
    <t>48/2025</t>
  </si>
  <si>
    <t>BIG 24</t>
  </si>
  <si>
    <t>biosic contratto 105</t>
  </si>
  <si>
    <t>BIG BAG N° 16</t>
  </si>
  <si>
    <t>BIG BAG N° 17</t>
  </si>
  <si>
    <t>BIG BAG N° 18</t>
  </si>
  <si>
    <t>BIG BAG N° 19</t>
  </si>
  <si>
    <t>BIG BAG N° 20</t>
  </si>
  <si>
    <t>BIG BAG N° 21</t>
  </si>
  <si>
    <t>RACCOLTO 2025/2026</t>
  </si>
  <si>
    <t>RACCOLTO 2025/2026 BIO BIOSUISSE</t>
  </si>
  <si>
    <t>BIG BAG N° 24</t>
  </si>
  <si>
    <t>VARI</t>
  </si>
  <si>
    <t>SCARTO 13/15</t>
  </si>
  <si>
    <t>SCARTO 11/13</t>
  </si>
  <si>
    <t>SO122025</t>
  </si>
  <si>
    <t>FA12/2025</t>
  </si>
  <si>
    <t>49/2025</t>
  </si>
  <si>
    <t>BIG 28</t>
  </si>
  <si>
    <t>BIG 30</t>
  </si>
  <si>
    <t>BIG 32</t>
  </si>
  <si>
    <t>BIG 33</t>
  </si>
  <si>
    <t>BIG 34</t>
  </si>
  <si>
    <t>BIG 35</t>
  </si>
  <si>
    <t>BIG 37</t>
  </si>
  <si>
    <t>BIG 39</t>
  </si>
  <si>
    <t>BIG 40</t>
  </si>
  <si>
    <t>BIG 41</t>
  </si>
  <si>
    <t>BIG 42</t>
  </si>
  <si>
    <t>BIG 43</t>
  </si>
  <si>
    <t>cimina dolciaria pasta</t>
  </si>
  <si>
    <t>pasta</t>
  </si>
  <si>
    <t>50/2025</t>
  </si>
  <si>
    <t>BIG 49</t>
  </si>
  <si>
    <t>BIG 53</t>
  </si>
  <si>
    <t>BIG 19</t>
  </si>
  <si>
    <t>biosic contratto 115</t>
  </si>
  <si>
    <t>1 del 24/01/26</t>
  </si>
  <si>
    <t>07/2026</t>
  </si>
  <si>
    <t>S103/2026</t>
  </si>
  <si>
    <t>09/2026</t>
  </si>
  <si>
    <t>SO11/2025</t>
  </si>
  <si>
    <t>ROTTAME SCELTO</t>
  </si>
  <si>
    <t>10/2026</t>
  </si>
  <si>
    <t>S104/2026</t>
  </si>
  <si>
    <t>S102-S103-S104-S105/2025</t>
  </si>
  <si>
    <t>12/2026</t>
  </si>
  <si>
    <t>BIG03/2025</t>
  </si>
  <si>
    <t>c/lavoro per sikelia</t>
  </si>
  <si>
    <t>14/2026</t>
  </si>
  <si>
    <t>NOCCIOLE SGUSCITE SCELTE</t>
  </si>
  <si>
    <t>BIG BAG N°4</t>
  </si>
  <si>
    <t>BIG BAG N°6</t>
  </si>
  <si>
    <t>BIG BAG N°7</t>
  </si>
  <si>
    <t>BIG BAG N°8</t>
  </si>
  <si>
    <t>BIG BAG N°9</t>
  </si>
  <si>
    <t>BIG BAG N°10</t>
  </si>
  <si>
    <t>15/2026</t>
  </si>
  <si>
    <t>PER ASSOBIO</t>
  </si>
  <si>
    <t>damiano</t>
  </si>
  <si>
    <t>SO042026</t>
  </si>
  <si>
    <t>ROTTAME SCELTO PICCOLO</t>
  </si>
  <si>
    <t>16/2026</t>
  </si>
  <si>
    <t>FA04/2026</t>
  </si>
  <si>
    <t>SGUSCIATO SCELTO TGR</t>
  </si>
  <si>
    <t>BIG 1</t>
  </si>
  <si>
    <t>BIG 2</t>
  </si>
  <si>
    <t>BIG 4</t>
  </si>
  <si>
    <t>SO04/2026</t>
  </si>
  <si>
    <t>ROTTAME DA SCEGLIERE</t>
  </si>
  <si>
    <t>BIG 22</t>
  </si>
  <si>
    <t>BIG 23</t>
  </si>
  <si>
    <t>BIG 25</t>
  </si>
  <si>
    <t>17/2026</t>
  </si>
  <si>
    <t>FI1459/2026</t>
  </si>
  <si>
    <t>18/2026</t>
  </si>
  <si>
    <t>SCARTO TIPO 1 DA SCEGLIERE</t>
  </si>
  <si>
    <t>ROTTAME GRANDE DA SCEGLIERE</t>
  </si>
  <si>
    <t>ROTT.SGUSCIATRICE</t>
  </si>
  <si>
    <t>ROTTAME PICCOLO DA SCEGLIERE</t>
  </si>
  <si>
    <t>BIG 26</t>
  </si>
  <si>
    <t>BIG 27</t>
  </si>
  <si>
    <t>BIG 56</t>
  </si>
  <si>
    <t>BIG 57</t>
  </si>
  <si>
    <t>BIG 58</t>
  </si>
  <si>
    <t>BIG 59</t>
  </si>
  <si>
    <t>BIG 60</t>
  </si>
  <si>
    <t>BIG 61</t>
  </si>
  <si>
    <t>BIG 62</t>
  </si>
  <si>
    <t>BIG 63</t>
  </si>
  <si>
    <t>BIG 64</t>
  </si>
  <si>
    <t>BIG 65</t>
  </si>
  <si>
    <t>19/2026</t>
  </si>
  <si>
    <t>BIG 10</t>
  </si>
  <si>
    <t>BIG 16</t>
  </si>
  <si>
    <t>20/2026</t>
  </si>
  <si>
    <t>FA05/2026</t>
  </si>
  <si>
    <t>BIG 66</t>
  </si>
  <si>
    <t>BIG 67</t>
  </si>
  <si>
    <t>BIG 68</t>
  </si>
  <si>
    <t>BIG 69</t>
  </si>
  <si>
    <t>BIG 70</t>
  </si>
  <si>
    <t>BIG 71</t>
  </si>
  <si>
    <t>BIG 72</t>
  </si>
  <si>
    <t>SCARTO DA SCEGLIERE</t>
  </si>
  <si>
    <t>BIG 29</t>
  </si>
  <si>
    <t>miste con 13/15</t>
  </si>
  <si>
    <t>miste con 11/13</t>
  </si>
  <si>
    <t>(2 o 3 big)</t>
  </si>
  <si>
    <t>22/2026</t>
  </si>
  <si>
    <t>SO052026</t>
  </si>
  <si>
    <t>21/2026</t>
  </si>
  <si>
    <t>BIG 31</t>
  </si>
  <si>
    <t>BIG 73</t>
  </si>
  <si>
    <t>BIG 74</t>
  </si>
  <si>
    <t>BIG 75</t>
  </si>
  <si>
    <t>BIG 76</t>
  </si>
  <si>
    <t>BIG 77</t>
  </si>
  <si>
    <t>BIG 78</t>
  </si>
  <si>
    <t>SO05/2026</t>
  </si>
  <si>
    <t>24/2026</t>
  </si>
  <si>
    <t>SO062026</t>
  </si>
  <si>
    <t>Ripassate</t>
  </si>
  <si>
    <t>23/2026</t>
  </si>
  <si>
    <t>FA06/2026</t>
  </si>
  <si>
    <t>BIG 79</t>
  </si>
  <si>
    <t>BIG 80</t>
  </si>
  <si>
    <t>BIG 81</t>
  </si>
  <si>
    <t>BIG 82</t>
  </si>
  <si>
    <t>BIG 83</t>
  </si>
  <si>
    <t>BIG 84</t>
  </si>
  <si>
    <t>BIG 85</t>
  </si>
  <si>
    <t>BIG 86</t>
  </si>
  <si>
    <t>BIG 36</t>
  </si>
  <si>
    <t>BIG BAG N° 22</t>
  </si>
  <si>
    <t>Auricchio</t>
  </si>
  <si>
    <t>BIG BAG N° 23</t>
  </si>
  <si>
    <t>BIG BAG N° 25</t>
  </si>
  <si>
    <t>BIG BAG N° 26</t>
  </si>
  <si>
    <t>BIOSIC</t>
  </si>
  <si>
    <t>BIG 87</t>
  </si>
  <si>
    <t>BIG 88</t>
  </si>
  <si>
    <t>BIG 89</t>
  </si>
  <si>
    <t>BIG 90</t>
  </si>
  <si>
    <t>BIG 91</t>
  </si>
  <si>
    <t>BIG 92</t>
  </si>
  <si>
    <t>BIG 93</t>
  </si>
  <si>
    <t>BIG 94</t>
  </si>
  <si>
    <t>BIG 95</t>
  </si>
  <si>
    <t>BIG 96</t>
  </si>
  <si>
    <t>BIG 97</t>
  </si>
  <si>
    <t>BIG 98</t>
  </si>
  <si>
    <t>BIG 99</t>
  </si>
  <si>
    <t>BIG 38</t>
  </si>
  <si>
    <t>BIG 44</t>
  </si>
  <si>
    <t>25/2026</t>
  </si>
  <si>
    <t>BIG BAG N° 27</t>
  </si>
  <si>
    <t>biosic</t>
  </si>
  <si>
    <t>BIG BAG N° 28</t>
  </si>
  <si>
    <t>BIG BAG N° 29</t>
  </si>
  <si>
    <t>BIG BAG N° 30</t>
  </si>
  <si>
    <t>BIG BAG N° 31</t>
  </si>
  <si>
    <t>SO072026</t>
  </si>
  <si>
    <t>27/2026</t>
  </si>
  <si>
    <t>ROTTAME VENTILATO</t>
  </si>
  <si>
    <t>FA07/2026</t>
  </si>
  <si>
    <t>ROTTAME NASTRI</t>
  </si>
  <si>
    <t>SCARTO DA SCEGLIERE TIPO 1</t>
  </si>
  <si>
    <t>MISTO</t>
  </si>
  <si>
    <t>SCARTO DA SCEGLIERE TIPO 2</t>
  </si>
  <si>
    <t>BIG03/2026</t>
  </si>
  <si>
    <t>29/2026</t>
  </si>
  <si>
    <t>FINELLI</t>
  </si>
  <si>
    <t>08P</t>
  </si>
  <si>
    <t>cimina</t>
  </si>
  <si>
    <t>FATTURATE</t>
  </si>
  <si>
    <t>(FATTURATE)</t>
  </si>
  <si>
    <t>BIG1/2025</t>
  </si>
  <si>
    <t>conto lavoro abc</t>
  </si>
  <si>
    <t>07P</t>
  </si>
  <si>
    <t>FA062026</t>
  </si>
  <si>
    <t>FA072026</t>
  </si>
  <si>
    <t>damiano RESO</t>
  </si>
  <si>
    <t>36/2026</t>
  </si>
  <si>
    <t>BIG02/2026</t>
  </si>
  <si>
    <t>RIPASSATE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</si>
</sst>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#,##0.000"/>
    <numFmt numFmtId="166" formatCode="0.0%"/>
  </numFmts>
  <fonts count="26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26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14" fontId="2" fillId="3" borderId="1" xfId="0" applyNumberFormat="1" applyFont="1" applyFill="1" applyBorder="1"/>
    <xf numFmtId="164" fontId="2" fillId="3" borderId="1" xfId="0" quotePrefix="1" applyNumberFormat="1" applyFont="1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11" xfId="0" applyFont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10" fontId="4" fillId="0" borderId="11" xfId="0" applyNumberFormat="1" applyFont="1" applyBorder="1" applyAlignment="1">
      <alignment horizontal="center" wrapText="1"/>
    </xf>
    <xf numFmtId="9" fontId="4" fillId="0" borderId="11" xfId="0" applyNumberFormat="1" applyFont="1" applyBorder="1" applyAlignment="1">
      <alignment horizontal="center" wrapText="1"/>
    </xf>
    <xf numFmtId="10" fontId="4" fillId="0" borderId="11" xfId="0" applyNumberFormat="1" applyFont="1" applyBorder="1" applyAlignment="1">
      <alignment horizontal="center"/>
    </xf>
    <xf numFmtId="17" fontId="5" fillId="7" borderId="11" xfId="0" quotePrefix="1" applyNumberFormat="1" applyFont="1" applyFill="1" applyBorder="1"/>
    <xf numFmtId="0" fontId="1" fillId="7" borderId="11" xfId="0" applyFont="1" applyFill="1" applyBorder="1"/>
    <xf numFmtId="0" fontId="5" fillId="7" borderId="11" xfId="0" applyFont="1" applyFill="1" applyBorder="1"/>
    <xf numFmtId="0" fontId="5" fillId="4" borderId="10" xfId="0" applyFont="1" applyFill="1" applyBorder="1" applyAlignment="1">
      <alignment wrapText="1"/>
    </xf>
    <xf numFmtId="0" fontId="7" fillId="8" borderId="11" xfId="0" applyFont="1" applyFill="1" applyBorder="1"/>
    <xf numFmtId="0" fontId="7" fillId="8" borderId="11" xfId="0" applyFont="1" applyFill="1" applyBorder="1" applyAlignment="1">
      <alignment horizontal="center"/>
    </xf>
    <xf numFmtId="0" fontId="7" fillId="8" borderId="10" xfId="0" applyFont="1" applyFill="1" applyBorder="1"/>
    <xf numFmtId="0" fontId="4" fillId="0" borderId="11" xfId="0" applyFont="1" applyBorder="1" applyAlignment="1">
      <alignment horizontal="center"/>
    </xf>
    <xf numFmtId="0" fontId="4" fillId="4" borderId="10" xfId="0" applyFont="1" applyFill="1" applyBorder="1"/>
    <xf numFmtId="0" fontId="4" fillId="5" borderId="10" xfId="0" applyFont="1" applyFill="1" applyBorder="1"/>
    <xf numFmtId="9" fontId="4" fillId="0" borderId="11" xfId="0" applyNumberFormat="1" applyFont="1" applyBorder="1" applyAlignment="1">
      <alignment horizontal="center"/>
    </xf>
    <xf numFmtId="17" fontId="5" fillId="9" borderId="10" xfId="0" quotePrefix="1" applyNumberFormat="1" applyFont="1" applyFill="1" applyBorder="1"/>
    <xf numFmtId="0" fontId="1" fillId="9" borderId="11" xfId="0" applyFont="1" applyFill="1" applyBorder="1"/>
    <xf numFmtId="49" fontId="5" fillId="9" borderId="11" xfId="0" quotePrefix="1" applyNumberFormat="1" applyFont="1" applyFill="1" applyBorder="1"/>
    <xf numFmtId="0" fontId="5" fillId="9" borderId="11" xfId="0" applyFont="1" applyFill="1" applyBorder="1"/>
    <xf numFmtId="17" fontId="5" fillId="10" borderId="11" xfId="0" quotePrefix="1" applyNumberFormat="1" applyFont="1" applyFill="1" applyBorder="1"/>
    <xf numFmtId="17" fontId="5" fillId="10" borderId="10" xfId="0" quotePrefix="1" applyNumberFormat="1" applyFont="1" applyFill="1" applyBorder="1"/>
    <xf numFmtId="0" fontId="1" fillId="10" borderId="11" xfId="0" applyFont="1" applyFill="1" applyBorder="1"/>
    <xf numFmtId="0" fontId="5" fillId="10" borderId="11" xfId="0" quotePrefix="1" applyFont="1" applyFill="1" applyBorder="1"/>
    <xf numFmtId="0" fontId="5" fillId="10" borderId="11" xfId="0" applyFont="1" applyFill="1" applyBorder="1"/>
    <xf numFmtId="0" fontId="7" fillId="3" borderId="11" xfId="0" applyFont="1" applyFill="1" applyBorder="1"/>
    <xf numFmtId="0" fontId="7" fillId="3" borderId="11" xfId="0" applyFont="1" applyFill="1" applyBorder="1" applyAlignment="1">
      <alignment horizontal="center"/>
    </xf>
    <xf numFmtId="0" fontId="8" fillId="0" borderId="0" xfId="0" applyFont="1"/>
    <xf numFmtId="0" fontId="2" fillId="3" borderId="11" xfId="0" applyFont="1" applyFill="1" applyBorder="1"/>
    <xf numFmtId="0" fontId="5" fillId="0" borderId="0" xfId="0" applyFont="1"/>
    <xf numFmtId="0" fontId="4" fillId="2" borderId="11" xfId="0" applyFont="1" applyFill="1" applyBorder="1" applyAlignment="1">
      <alignment horizontal="center" vertical="center" wrapText="1"/>
    </xf>
    <xf numFmtId="17" fontId="5" fillId="0" borderId="10" xfId="0" quotePrefix="1" applyNumberFormat="1" applyFont="1" applyBorder="1"/>
    <xf numFmtId="0" fontId="7" fillId="0" borderId="11" xfId="0" applyFont="1" applyBorder="1"/>
    <xf numFmtId="0" fontId="7" fillId="11" borderId="11" xfId="0" applyFont="1" applyFill="1" applyBorder="1"/>
    <xf numFmtId="0" fontId="1" fillId="0" borderId="0" xfId="0" applyFont="1"/>
    <xf numFmtId="3" fontId="5" fillId="0" borderId="11" xfId="0" applyNumberFormat="1" applyFont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center"/>
    </xf>
    <xf numFmtId="0" fontId="7" fillId="8" borderId="11" xfId="0" quotePrefix="1" applyFont="1" applyFill="1" applyBorder="1" applyAlignment="1">
      <alignment horizontal="center"/>
    </xf>
    <xf numFmtId="17" fontId="7" fillId="8" borderId="11" xfId="0" quotePrefix="1" applyNumberFormat="1" applyFont="1" applyFill="1" applyBorder="1" applyAlignment="1">
      <alignment horizontal="center"/>
    </xf>
    <xf numFmtId="0" fontId="6" fillId="12" borderId="10" xfId="0" applyFont="1" applyFill="1" applyBorder="1" applyAlignment="1">
      <alignment wrapText="1"/>
    </xf>
    <xf numFmtId="0" fontId="1" fillId="12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left"/>
    </xf>
    <xf numFmtId="0" fontId="9" fillId="4" borderId="10" xfId="0" applyFont="1" applyFill="1" applyBorder="1"/>
    <xf numFmtId="0" fontId="12" fillId="11" borderId="11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0" fontId="13" fillId="4" borderId="10" xfId="0" applyFont="1" applyFill="1" applyBorder="1"/>
    <xf numFmtId="0" fontId="13" fillId="5" borderId="11" xfId="0" applyFont="1" applyFill="1" applyBorder="1"/>
    <xf numFmtId="0" fontId="13" fillId="5" borderId="10" xfId="0" applyFont="1" applyFill="1" applyBorder="1"/>
    <xf numFmtId="0" fontId="13" fillId="6" borderId="10" xfId="0" applyFont="1" applyFill="1" applyBorder="1"/>
    <xf numFmtId="0" fontId="12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4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17" fontId="9" fillId="0" borderId="11" xfId="0" quotePrefix="1" applyNumberFormat="1" applyFont="1" applyBorder="1" applyAlignment="1">
      <alignment horizontal="center"/>
    </xf>
    <xf numFmtId="0" fontId="4" fillId="2" borderId="16" xfId="0" applyFont="1" applyFill="1" applyBorder="1" applyAlignment="1">
      <alignment vertical="center" wrapText="1"/>
    </xf>
    <xf numFmtId="17" fontId="5" fillId="7" borderId="10" xfId="0" quotePrefix="1" applyNumberFormat="1" applyFont="1" applyFill="1" applyBorder="1"/>
    <xf numFmtId="0" fontId="9" fillId="11" borderId="11" xfId="0" applyFont="1" applyFill="1" applyBorder="1" applyAlignment="1">
      <alignment horizontal="center"/>
    </xf>
    <xf numFmtId="0" fontId="14" fillId="0" borderId="11" xfId="0" applyFont="1" applyBorder="1" applyAlignment="1">
      <alignment wrapText="1"/>
    </xf>
    <xf numFmtId="17" fontId="14" fillId="0" borderId="10" xfId="0" quotePrefix="1" applyNumberFormat="1" applyFont="1" applyBorder="1"/>
    <xf numFmtId="17" fontId="14" fillId="9" borderId="10" xfId="0" quotePrefix="1" applyNumberFormat="1" applyFont="1" applyFill="1" applyBorder="1"/>
    <xf numFmtId="0" fontId="14" fillId="0" borderId="10" xfId="0" applyFont="1" applyBorder="1"/>
    <xf numFmtId="17" fontId="14" fillId="10" borderId="10" xfId="0" quotePrefix="1" applyNumberFormat="1" applyFont="1" applyFill="1" applyBorder="1"/>
    <xf numFmtId="17" fontId="14" fillId="0" borderId="11" xfId="0" quotePrefix="1" applyNumberFormat="1" applyFont="1" applyBorder="1"/>
    <xf numFmtId="17" fontId="14" fillId="0" borderId="11" xfId="0" applyNumberFormat="1" applyFont="1" applyBorder="1"/>
    <xf numFmtId="49" fontId="5" fillId="9" borderId="11" xfId="0" quotePrefix="1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right"/>
    </xf>
    <xf numFmtId="0" fontId="7" fillId="13" borderId="11" xfId="0" applyFont="1" applyFill="1" applyBorder="1"/>
    <xf numFmtId="0" fontId="5" fillId="13" borderId="11" xfId="0" applyFont="1" applyFill="1" applyBorder="1" applyAlignment="1">
      <alignment horizontal="left"/>
    </xf>
    <xf numFmtId="0" fontId="9" fillId="13" borderId="11" xfId="0" applyFont="1" applyFill="1" applyBorder="1"/>
    <xf numFmtId="0" fontId="14" fillId="0" borderId="11" xfId="0" applyFont="1" applyBorder="1" applyAlignment="1">
      <alignment horizontal="center"/>
    </xf>
    <xf numFmtId="49" fontId="14" fillId="0" borderId="11" xfId="0" quotePrefix="1" applyNumberFormat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0" fontId="14" fillId="12" borderId="10" xfId="0" applyFont="1" applyFill="1" applyBorder="1"/>
    <xf numFmtId="17" fontId="14" fillId="7" borderId="10" xfId="0" quotePrefix="1" applyNumberFormat="1" applyFont="1" applyFill="1" applyBorder="1"/>
    <xf numFmtId="16" fontId="14" fillId="7" borderId="11" xfId="0" quotePrefix="1" applyNumberFormat="1" applyFont="1" applyFill="1" applyBorder="1"/>
    <xf numFmtId="0" fontId="14" fillId="7" borderId="11" xfId="0" applyFont="1" applyFill="1" applyBorder="1" applyAlignment="1">
      <alignment wrapText="1"/>
    </xf>
    <xf numFmtId="0" fontId="14" fillId="7" borderId="10" xfId="0" quotePrefix="1" applyFont="1" applyFill="1" applyBorder="1"/>
    <xf numFmtId="0" fontId="14" fillId="7" borderId="11" xfId="0" applyFont="1" applyFill="1" applyBorder="1"/>
    <xf numFmtId="0" fontId="14" fillId="4" borderId="10" xfId="0" applyFont="1" applyFill="1" applyBorder="1"/>
    <xf numFmtId="0" fontId="14" fillId="5" borderId="10" xfId="0" applyFont="1" applyFill="1" applyBorder="1"/>
    <xf numFmtId="0" fontId="14" fillId="6" borderId="10" xfId="0" applyFont="1" applyFill="1" applyBorder="1"/>
    <xf numFmtId="0" fontId="14" fillId="9" borderId="11" xfId="0" applyFont="1" applyFill="1" applyBorder="1"/>
    <xf numFmtId="0" fontId="14" fillId="9" borderId="11" xfId="0" applyFont="1" applyFill="1" applyBorder="1" applyAlignment="1">
      <alignment wrapText="1"/>
    </xf>
    <xf numFmtId="0" fontId="14" fillId="10" borderId="11" xfId="0" applyFont="1" applyFill="1" applyBorder="1" applyAlignment="1">
      <alignment wrapText="1"/>
    </xf>
    <xf numFmtId="0" fontId="14" fillId="6" borderId="11" xfId="0" applyFont="1" applyFill="1" applyBorder="1"/>
    <xf numFmtId="0" fontId="14" fillId="0" borderId="11" xfId="0" quotePrefix="1" applyFont="1" applyBorder="1"/>
    <xf numFmtId="0" fontId="14" fillId="5" borderId="11" xfId="0" applyFont="1" applyFill="1" applyBorder="1"/>
    <xf numFmtId="17" fontId="14" fillId="9" borderId="11" xfId="0" applyNumberFormat="1" applyFont="1" applyFill="1" applyBorder="1"/>
    <xf numFmtId="0" fontId="14" fillId="0" borderId="0" xfId="0" applyFont="1"/>
    <xf numFmtId="17" fontId="14" fillId="7" borderId="11" xfId="0" quotePrefix="1" applyNumberFormat="1" applyFont="1" applyFill="1" applyBorder="1"/>
    <xf numFmtId="0" fontId="14" fillId="0" borderId="13" xfId="0" applyFont="1" applyBorder="1"/>
    <xf numFmtId="17" fontId="14" fillId="9" borderId="11" xfId="0" quotePrefix="1" applyNumberFormat="1" applyFont="1" applyFill="1" applyBorder="1"/>
    <xf numFmtId="0" fontId="14" fillId="12" borderId="11" xfId="0" applyFont="1" applyFill="1" applyBorder="1"/>
    <xf numFmtId="0" fontId="14" fillId="0" borderId="0" xfId="0" applyFont="1" applyAlignment="1">
      <alignment horizontal="center"/>
    </xf>
    <xf numFmtId="3" fontId="14" fillId="0" borderId="11" xfId="0" applyNumberFormat="1" applyFont="1" applyBorder="1" applyAlignment="1">
      <alignment horizontal="center" vertical="center"/>
    </xf>
    <xf numFmtId="17" fontId="17" fillId="0" borderId="10" xfId="0" quotePrefix="1" applyNumberFormat="1" applyFont="1" applyBorder="1"/>
    <xf numFmtId="2" fontId="14" fillId="0" borderId="0" xfId="0" applyNumberFormat="1" applyFont="1"/>
    <xf numFmtId="2" fontId="14" fillId="7" borderId="11" xfId="0" quotePrefix="1" applyNumberFormat="1" applyFont="1" applyFill="1" applyBorder="1"/>
    <xf numFmtId="0" fontId="18" fillId="9" borderId="11" xfId="0" applyFont="1" applyFill="1" applyBorder="1"/>
    <xf numFmtId="10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7" fontId="14" fillId="13" borderId="11" xfId="0" quotePrefix="1" applyNumberFormat="1" applyFont="1" applyFill="1" applyBorder="1"/>
    <xf numFmtId="17" fontId="14" fillId="13" borderId="11" xfId="0" applyNumberFormat="1" applyFont="1" applyFill="1" applyBorder="1"/>
    <xf numFmtId="0" fontId="18" fillId="13" borderId="11" xfId="0" applyFont="1" applyFill="1" applyBorder="1"/>
    <xf numFmtId="0" fontId="14" fillId="13" borderId="11" xfId="0" applyFont="1" applyFill="1" applyBorder="1"/>
    <xf numFmtId="17" fontId="14" fillId="11" borderId="11" xfId="0" quotePrefix="1" applyNumberFormat="1" applyFont="1" applyFill="1" applyBorder="1"/>
    <xf numFmtId="17" fontId="14" fillId="11" borderId="11" xfId="0" applyNumberFormat="1" applyFont="1" applyFill="1" applyBorder="1"/>
    <xf numFmtId="0" fontId="16" fillId="2" borderId="11" xfId="0" applyFont="1" applyFill="1" applyBorder="1" applyAlignment="1">
      <alignment horizontal="center" vertical="center"/>
    </xf>
    <xf numFmtId="0" fontId="17" fillId="0" borderId="11" xfId="0" applyFont="1" applyBorder="1"/>
    <xf numFmtId="17" fontId="17" fillId="0" borderId="11" xfId="0" quotePrefix="1" applyNumberFormat="1" applyFont="1" applyBorder="1"/>
    <xf numFmtId="17" fontId="17" fillId="13" borderId="11" xfId="0" quotePrefix="1" applyNumberFormat="1" applyFont="1" applyFill="1" applyBorder="1"/>
    <xf numFmtId="0" fontId="17" fillId="13" borderId="11" xfId="0" applyFont="1" applyFill="1" applyBorder="1"/>
    <xf numFmtId="17" fontId="17" fillId="11" borderId="11" xfId="0" quotePrefix="1" applyNumberFormat="1" applyFont="1" applyFill="1" applyBorder="1"/>
    <xf numFmtId="0" fontId="1" fillId="6" borderId="11" xfId="0" applyFont="1" applyFill="1" applyBorder="1" applyAlignment="1">
      <alignment horizontal="center" vertical="center" wrapText="1"/>
    </xf>
    <xf numFmtId="0" fontId="13" fillId="12" borderId="10" xfId="0" applyFont="1" applyFill="1" applyBorder="1"/>
    <xf numFmtId="0" fontId="0" fillId="0" borderId="0" xfId="0" applyAlignment="1">
      <alignment vertical="center" wrapText="1"/>
    </xf>
    <xf numFmtId="0" fontId="9" fillId="5" borderId="10" xfId="0" applyFont="1" applyFill="1" applyBorder="1"/>
    <xf numFmtId="0" fontId="5" fillId="5" borderId="10" xfId="0" applyFont="1" applyFill="1" applyBorder="1"/>
    <xf numFmtId="0" fontId="9" fillId="5" borderId="10" xfId="0" applyFont="1" applyFill="1" applyBorder="1" applyAlignment="1">
      <alignment wrapText="1"/>
    </xf>
    <xf numFmtId="0" fontId="5" fillId="12" borderId="10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17" fontId="5" fillId="13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17" fontId="7" fillId="0" borderId="11" xfId="0" quotePrefix="1" applyNumberFormat="1" applyFont="1" applyBorder="1" applyAlignment="1">
      <alignment horizontal="center"/>
    </xf>
    <xf numFmtId="0" fontId="14" fillId="10" borderId="11" xfId="0" applyFont="1" applyFill="1" applyBorder="1"/>
    <xf numFmtId="165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" fontId="7" fillId="8" borderId="11" xfId="0" applyNumberFormat="1" applyFont="1" applyFill="1" applyBorder="1"/>
    <xf numFmtId="0" fontId="9" fillId="6" borderId="10" xfId="0" applyFont="1" applyFill="1" applyBorder="1" applyAlignment="1">
      <alignment wrapText="1"/>
    </xf>
    <xf numFmtId="0" fontId="9" fillId="11" borderId="11" xfId="0" applyFont="1" applyFill="1" applyBorder="1"/>
    <xf numFmtId="0" fontId="9" fillId="6" borderId="10" xfId="0" applyFont="1" applyFill="1" applyBorder="1"/>
    <xf numFmtId="0" fontId="13" fillId="4" borderId="10" xfId="0" applyFont="1" applyFill="1" applyBorder="1" applyAlignment="1">
      <alignment wrapText="1"/>
    </xf>
    <xf numFmtId="0" fontId="14" fillId="0" borderId="1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right"/>
    </xf>
    <xf numFmtId="0" fontId="14" fillId="0" borderId="11" xfId="0" applyFont="1" applyBorder="1" applyAlignment="1">
      <alignment horizontal="right" wrapText="1"/>
    </xf>
    <xf numFmtId="0" fontId="16" fillId="6" borderId="10" xfId="0" applyFont="1" applyFill="1" applyBorder="1"/>
    <xf numFmtId="0" fontId="13" fillId="6" borderId="10" xfId="0" applyFont="1" applyFill="1" applyBorder="1" applyAlignment="1">
      <alignment wrapText="1"/>
    </xf>
    <xf numFmtId="0" fontId="13" fillId="14" borderId="10" xfId="0" applyFont="1" applyFill="1" applyBorder="1"/>
    <xf numFmtId="0" fontId="14" fillId="0" borderId="11" xfId="0" applyFont="1" applyBorder="1" applyAlignment="1">
      <alignment horizontal="right"/>
    </xf>
    <xf numFmtId="0" fontId="1" fillId="13" borderId="11" xfId="0" applyFont="1" applyFill="1" applyBorder="1" applyAlignment="1">
      <alignment horizontal="left"/>
    </xf>
    <xf numFmtId="0" fontId="19" fillId="0" borderId="0" xfId="0" applyFont="1"/>
    <xf numFmtId="17" fontId="9" fillId="0" borderId="10" xfId="0" quotePrefix="1" applyNumberFormat="1" applyFont="1" applyBorder="1"/>
    <xf numFmtId="0" fontId="14" fillId="11" borderId="11" xfId="0" applyFont="1" applyFill="1" applyBorder="1"/>
    <xf numFmtId="17" fontId="14" fillId="7" borderId="11" xfId="0" applyNumberFormat="1" applyFont="1" applyFill="1" applyBorder="1" applyAlignment="1">
      <alignment wrapText="1"/>
    </xf>
    <xf numFmtId="0" fontId="16" fillId="6" borderId="11" xfId="0" applyFont="1" applyFill="1" applyBorder="1"/>
    <xf numFmtId="17" fontId="16" fillId="0" borderId="11" xfId="0" quotePrefix="1" applyNumberFormat="1" applyFont="1" applyBorder="1"/>
    <xf numFmtId="17" fontId="22" fillId="0" borderId="10" xfId="0" quotePrefix="1" applyNumberFormat="1" applyFont="1" applyBorder="1"/>
    <xf numFmtId="17" fontId="4" fillId="0" borderId="10" xfId="0" quotePrefix="1" applyNumberFormat="1" applyFont="1" applyBorder="1"/>
    <xf numFmtId="0" fontId="16" fillId="0" borderId="11" xfId="0" applyFont="1" applyBorder="1"/>
    <xf numFmtId="17" fontId="13" fillId="0" borderId="11" xfId="0" quotePrefix="1" applyNumberFormat="1" applyFont="1" applyBorder="1" applyAlignment="1">
      <alignment horizontal="center"/>
    </xf>
    <xf numFmtId="0" fontId="16" fillId="0" borderId="11" xfId="0" applyFont="1" applyBorder="1" applyAlignment="1">
      <alignment horizontal="right" wrapText="1"/>
    </xf>
    <xf numFmtId="17" fontId="23" fillId="11" borderId="11" xfId="0" quotePrefix="1" applyNumberFormat="1" applyFont="1" applyFill="1" applyBorder="1" applyAlignment="1">
      <alignment horizontal="center"/>
    </xf>
    <xf numFmtId="0" fontId="23" fillId="11" borderId="11" xfId="0" applyFont="1" applyFill="1" applyBorder="1"/>
    <xf numFmtId="0" fontId="7" fillId="11" borderId="11" xfId="0" applyFont="1" applyFill="1" applyBorder="1" applyAlignment="1">
      <alignment horizontal="center"/>
    </xf>
    <xf numFmtId="17" fontId="7" fillId="11" borderId="11" xfId="0" quotePrefix="1" applyNumberFormat="1" applyFont="1" applyFill="1" applyBorder="1" applyAlignment="1">
      <alignment horizontal="center"/>
    </xf>
    <xf numFmtId="0" fontId="24" fillId="13" borderId="11" xfId="0" applyFont="1" applyFill="1" applyBorder="1" applyAlignment="1">
      <alignment horizontal="center"/>
    </xf>
    <xf numFmtId="17" fontId="14" fillId="10" borderId="11" xfId="0" applyNumberFormat="1" applyFont="1" applyFill="1" applyBorder="1"/>
    <xf numFmtId="0" fontId="25" fillId="0" borderId="11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4" fillId="0" borderId="11" xfId="0" quotePrefix="1" applyFont="1" applyBorder="1" applyAlignment="1">
      <alignment horizontal="center"/>
    </xf>
    <xf numFmtId="0" fontId="1" fillId="2" borderId="0" xfId="0" applyFont="1" applyFill="1"/>
    <xf numFmtId="14" fontId="2" fillId="3" borderId="1" xfId="0" applyNumberFormat="1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25" fillId="0" borderId="11" xfId="0" applyFont="1" applyBorder="1" applyAlignment="1">
      <alignment horizontal="center" wrapText="1"/>
    </xf>
    <xf numFmtId="10" fontId="4" fillId="0" borderId="18" xfId="0" applyNumberFormat="1" applyFont="1" applyBorder="1" applyAlignment="1">
      <alignment horizontal="center"/>
    </xf>
    <xf numFmtId="0" fontId="14" fillId="2" borderId="11" xfId="0" applyFont="1" applyFill="1" applyBorder="1" applyAlignment="1">
      <alignment wrapText="1"/>
    </xf>
    <xf numFmtId="17" fontId="9" fillId="2" borderId="11" xfId="0" quotePrefix="1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2" borderId="0" xfId="0" applyFont="1" applyFill="1"/>
    <xf numFmtId="0" fontId="7" fillId="3" borderId="12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pageSetUpPr fitToPage="1"/>
  </sheetPr>
  <dimension ref="A1:U82"/>
  <sheetViews>
    <sheetView zoomScaleNormal="100" workbookViewId="0">
      <pane ySplit="2" topLeftCell="A15" activePane="bottomLeft" state="frozen"/>
      <selection pane="bottomLeft" activeCell="G21" sqref="G21"/>
    </sheetView>
  </sheetViews>
  <sheetFormatPr defaultRowHeight="15" x14ac:dyDescent="0.25"/>
  <cols>
    <col min="1" max="1" width="11.7109375" customWidth="1"/>
    <col min="2" max="2" width="12.28515625" customWidth="1"/>
    <col min="3" max="3" width="11.85546875" customWidth="1"/>
    <col min="4" max="4" width="34.28515625" bestFit="1" customWidth="1"/>
    <col min="5" max="5" width="22.42578125" customWidth="1"/>
    <col min="6" max="6" width="12.5703125" customWidth="1"/>
    <col min="7" max="7" width="13.85546875" customWidth="1"/>
    <col min="8" max="8" width="14.7109375" customWidth="1"/>
    <col min="9" max="9" width="13.7109375" customWidth="1"/>
    <col min="10" max="10" width="14.85546875" customWidth="1"/>
    <col min="11" max="11" width="18.28515625" customWidth="1"/>
    <col min="12" max="12" width="10.28515625" customWidth="1"/>
    <col min="13" max="15" width="10.140625" customWidth="1"/>
    <col min="16" max="16" width="7.85546875" customWidth="1"/>
    <col min="17" max="17" width="8" customWidth="1"/>
    <col min="18" max="18" width="8.5703125" customWidth="1"/>
    <col min="19" max="19" width="8" customWidth="1"/>
    <col min="21" max="21" width="10" bestFit="1" customWidth="1"/>
  </cols>
  <sheetData>
    <row r="1" spans="1:21" ht="27" thickBot="1" x14ac:dyDescent="0.45">
      <c r="A1" s="189" t="s">
        <v>0</v>
      </c>
      <c r="B1" s="189"/>
      <c r="C1" s="189"/>
      <c r="D1" s="1">
        <v>46273</v>
      </c>
      <c r="E1" s="190"/>
      <c r="F1" s="3"/>
      <c r="G1" s="217" t="s">
        <v>130</v>
      </c>
      <c r="H1" s="218"/>
      <c r="I1" s="218"/>
      <c r="J1" s="227"/>
      <c r="K1" s="226" t="s">
        <v>1</v>
      </c>
      <c r="L1" s="219"/>
    </row>
    <row r="2" spans="1:21" ht="39" thickTop="1" x14ac:dyDescent="0.25">
      <c r="A2" s="6" t="s">
        <v>2</v>
      </c>
      <c r="B2" s="73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36" t="s">
        <v>32</v>
      </c>
      <c r="O2" s="54" t="s">
        <v>40</v>
      </c>
      <c r="P2" s="12" t="s">
        <v>10</v>
      </c>
      <c r="Q2" s="12" t="s">
        <v>11</v>
      </c>
      <c r="R2" s="12" t="s">
        <v>12</v>
      </c>
      <c r="S2" s="12" t="s">
        <v>13</v>
      </c>
      <c r="T2" s="67" t="s">
        <v>36</v>
      </c>
      <c r="U2" s="138"/>
    </row>
    <row r="3" spans="1:21" x14ac:dyDescent="0.25">
      <c r="A3" s="81"/>
      <c r="B3" s="118"/>
      <c r="C3" s="45"/>
      <c r="D3" s="70"/>
      <c r="E3" s="72"/>
      <c r="F3" s="167"/>
      <c r="G3" s="76"/>
      <c r="H3" s="76"/>
      <c r="I3" s="76"/>
      <c r="J3" s="76">
        <f t="shared" ref="J3:J5" si="0">F3-G3</f>
        <v>0</v>
      </c>
      <c r="K3" s="154"/>
      <c r="L3" s="63"/>
      <c r="M3" s="141"/>
      <c r="N3" s="156"/>
      <c r="O3" s="142"/>
      <c r="P3" s="16"/>
      <c r="Q3" s="18"/>
      <c r="R3" s="18"/>
      <c r="S3" s="16"/>
      <c r="T3" s="13"/>
      <c r="U3" s="119"/>
    </row>
    <row r="4" spans="1:21" x14ac:dyDescent="0.25">
      <c r="A4" s="81"/>
      <c r="B4" s="118"/>
      <c r="C4" s="45"/>
      <c r="D4" s="70"/>
      <c r="E4" s="72"/>
      <c r="F4" s="167"/>
      <c r="G4" s="76"/>
      <c r="H4" s="76"/>
      <c r="I4" s="76"/>
      <c r="J4" s="76">
        <f t="shared" si="0"/>
        <v>0</v>
      </c>
      <c r="K4" s="154"/>
      <c r="L4" s="63"/>
      <c r="M4" s="141"/>
      <c r="N4" s="156"/>
      <c r="O4" s="142"/>
      <c r="P4" s="16"/>
      <c r="Q4" s="18"/>
      <c r="R4" s="18"/>
      <c r="S4" s="16"/>
      <c r="T4" s="13"/>
      <c r="U4" s="119"/>
    </row>
    <row r="5" spans="1:21" x14ac:dyDescent="0.25">
      <c r="A5" s="81"/>
      <c r="B5" s="118"/>
      <c r="C5" s="45"/>
      <c r="D5" s="70"/>
      <c r="E5" s="72"/>
      <c r="F5" s="167"/>
      <c r="G5" s="76"/>
      <c r="H5" s="76"/>
      <c r="I5" s="76"/>
      <c r="J5" s="76">
        <f t="shared" si="0"/>
        <v>0</v>
      </c>
      <c r="K5" s="154"/>
      <c r="L5" s="63"/>
      <c r="M5" s="141"/>
      <c r="N5" s="156"/>
      <c r="O5" s="142"/>
      <c r="P5" s="16"/>
      <c r="Q5" s="18"/>
      <c r="R5" s="18"/>
      <c r="S5" s="16"/>
      <c r="T5" s="13"/>
      <c r="U5" s="119"/>
    </row>
    <row r="6" spans="1:21" x14ac:dyDescent="0.25">
      <c r="A6" s="19"/>
      <c r="B6" s="74"/>
      <c r="C6" s="96"/>
      <c r="D6" s="20" t="s">
        <v>21</v>
      </c>
      <c r="E6" s="97"/>
      <c r="F6" s="98"/>
      <c r="G6" s="98"/>
      <c r="H6" s="98"/>
      <c r="I6" s="98"/>
      <c r="J6" s="98"/>
      <c r="K6" s="21"/>
      <c r="L6" s="14"/>
      <c r="M6" s="143"/>
      <c r="N6" s="156"/>
      <c r="O6" s="53"/>
      <c r="P6" s="16"/>
      <c r="Q6" s="17"/>
      <c r="R6" s="17"/>
      <c r="S6" s="17"/>
      <c r="T6" s="13"/>
      <c r="U6" s="119"/>
    </row>
    <row r="7" spans="1:21" x14ac:dyDescent="0.25">
      <c r="A7" s="19"/>
      <c r="B7" s="74"/>
      <c r="C7" s="96"/>
      <c r="D7" s="20"/>
      <c r="E7" s="97"/>
      <c r="F7" s="98"/>
      <c r="G7" s="98"/>
      <c r="H7" s="98"/>
      <c r="I7" s="98"/>
      <c r="J7" s="98"/>
      <c r="K7" s="21"/>
      <c r="L7" s="14"/>
      <c r="M7" s="143"/>
      <c r="N7" s="15"/>
      <c r="O7" s="53"/>
      <c r="P7" s="16"/>
      <c r="Q7" s="17"/>
      <c r="R7" s="17"/>
      <c r="S7" s="17"/>
      <c r="T7" s="13"/>
      <c r="U7" s="119"/>
    </row>
    <row r="8" spans="1:21" x14ac:dyDescent="0.25">
      <c r="A8" s="112"/>
      <c r="B8" s="112"/>
      <c r="C8" s="99"/>
      <c r="D8" s="100"/>
      <c r="E8" s="97"/>
      <c r="F8" s="98"/>
      <c r="G8" s="98"/>
      <c r="H8" s="98"/>
      <c r="I8" s="98"/>
      <c r="J8" s="98"/>
      <c r="K8" s="21"/>
      <c r="L8" s="22"/>
      <c r="M8" s="143"/>
      <c r="N8" s="15"/>
      <c r="O8" s="53"/>
      <c r="P8" s="13"/>
      <c r="Q8" s="13"/>
      <c r="R8" s="13"/>
      <c r="S8" s="13"/>
      <c r="T8" s="13"/>
      <c r="U8" s="119"/>
    </row>
    <row r="9" spans="1:21" x14ac:dyDescent="0.25">
      <c r="A9" s="112"/>
      <c r="B9" s="112"/>
      <c r="C9" s="99"/>
      <c r="D9" s="100"/>
      <c r="E9" s="97"/>
      <c r="F9" s="98"/>
      <c r="G9" s="98"/>
      <c r="H9" s="98"/>
      <c r="I9" s="98"/>
      <c r="J9" s="98"/>
      <c r="K9" s="21"/>
      <c r="L9" s="22"/>
      <c r="M9" s="143"/>
      <c r="N9" s="15"/>
      <c r="O9" s="53"/>
      <c r="P9" s="13"/>
      <c r="Q9" s="13"/>
      <c r="R9" s="13"/>
      <c r="S9" s="13"/>
      <c r="T9" s="13"/>
      <c r="U9" s="119"/>
    </row>
    <row r="10" spans="1:21" x14ac:dyDescent="0.25">
      <c r="A10" s="113"/>
      <c r="B10" s="111"/>
      <c r="C10" s="70"/>
      <c r="D10" s="23" t="s">
        <v>15</v>
      </c>
      <c r="E10" s="51" t="s">
        <v>14</v>
      </c>
      <c r="F10" s="23">
        <f>SUM(F3:F9)</f>
        <v>0</v>
      </c>
      <c r="G10" s="23">
        <f>SUM(G3:G9)</f>
        <v>0</v>
      </c>
      <c r="H10" s="23"/>
      <c r="I10" s="23"/>
      <c r="J10" s="23">
        <f>F10-G10</f>
        <v>0</v>
      </c>
      <c r="K10" s="24" t="s">
        <v>16</v>
      </c>
      <c r="L10" s="25">
        <f>SUM(L3:L9)</f>
        <v>0</v>
      </c>
      <c r="M10" s="25">
        <f>SUM(M3:M9)</f>
        <v>0</v>
      </c>
      <c r="N10" s="25">
        <f>SUM(N3:N9)</f>
        <v>0</v>
      </c>
      <c r="O10" s="25">
        <f>SUM(O3:O9)</f>
        <v>0</v>
      </c>
      <c r="P10" s="26"/>
      <c r="Q10" s="26"/>
      <c r="R10" s="26"/>
      <c r="S10" s="26"/>
      <c r="T10" s="26"/>
      <c r="U10" s="119"/>
    </row>
    <row r="11" spans="1:21" x14ac:dyDescent="0.25">
      <c r="A11" s="81" t="s">
        <v>79</v>
      </c>
      <c r="B11" s="118" t="s">
        <v>59</v>
      </c>
      <c r="C11" s="45" t="s">
        <v>66</v>
      </c>
      <c r="D11" s="70" t="s">
        <v>98</v>
      </c>
      <c r="E11" s="72" t="s">
        <v>17</v>
      </c>
      <c r="F11" s="70"/>
      <c r="G11" s="70"/>
      <c r="H11" s="76" t="s">
        <v>260</v>
      </c>
      <c r="I11" s="70" t="s">
        <v>296</v>
      </c>
      <c r="J11" s="70">
        <f t="shared" ref="J11:J13" si="1">F11-G11</f>
        <v>0</v>
      </c>
      <c r="K11" s="154" t="s">
        <v>68</v>
      </c>
      <c r="L11" s="63"/>
      <c r="M11" s="139"/>
      <c r="N11" s="156"/>
      <c r="O11" s="95"/>
      <c r="P11" s="18">
        <v>1E-3</v>
      </c>
      <c r="Q11" s="18">
        <v>3.3300000000000003E-2</v>
      </c>
      <c r="R11" s="18">
        <v>9.6600000000000005E-2</v>
      </c>
      <c r="S11" s="18">
        <v>0</v>
      </c>
      <c r="T11" s="26">
        <v>0</v>
      </c>
      <c r="U11" s="119"/>
    </row>
    <row r="12" spans="1:21" x14ac:dyDescent="0.25">
      <c r="A12" s="81" t="s">
        <v>79</v>
      </c>
      <c r="B12" s="118" t="s">
        <v>59</v>
      </c>
      <c r="C12" s="45" t="s">
        <v>66</v>
      </c>
      <c r="D12" s="70" t="s">
        <v>98</v>
      </c>
      <c r="E12" s="72" t="s">
        <v>17</v>
      </c>
      <c r="F12" s="70"/>
      <c r="G12" s="70"/>
      <c r="H12" s="76" t="s">
        <v>260</v>
      </c>
      <c r="I12" s="70" t="s">
        <v>296</v>
      </c>
      <c r="J12" s="70">
        <f t="shared" si="1"/>
        <v>0</v>
      </c>
      <c r="K12" s="154" t="s">
        <v>69</v>
      </c>
      <c r="L12" s="63"/>
      <c r="M12" s="139"/>
      <c r="N12" s="156"/>
      <c r="O12" s="95"/>
      <c r="P12" s="18">
        <v>2E-3</v>
      </c>
      <c r="Q12" s="18">
        <v>0.04</v>
      </c>
      <c r="R12" s="18">
        <v>0.13</v>
      </c>
      <c r="S12" s="18">
        <v>0</v>
      </c>
      <c r="T12" s="26">
        <v>0</v>
      </c>
      <c r="U12" s="119"/>
    </row>
    <row r="13" spans="1:21" x14ac:dyDescent="0.25">
      <c r="A13" s="81" t="s">
        <v>79</v>
      </c>
      <c r="B13" s="118" t="s">
        <v>59</v>
      </c>
      <c r="C13" s="45" t="s">
        <v>66</v>
      </c>
      <c r="D13" s="70" t="s">
        <v>98</v>
      </c>
      <c r="E13" s="72" t="s">
        <v>17</v>
      </c>
      <c r="F13" s="70"/>
      <c r="G13" s="70"/>
      <c r="H13" s="76" t="s">
        <v>260</v>
      </c>
      <c r="I13" s="70"/>
      <c r="J13" s="70">
        <f t="shared" si="1"/>
        <v>0</v>
      </c>
      <c r="K13" s="154" t="s">
        <v>70</v>
      </c>
      <c r="L13" s="63"/>
      <c r="M13" s="139"/>
      <c r="N13" s="156"/>
      <c r="O13" s="95"/>
      <c r="P13" s="18">
        <v>3.0000000000000001E-3</v>
      </c>
      <c r="Q13" s="18">
        <v>2.3300000000000001E-2</v>
      </c>
      <c r="R13" s="18">
        <v>0.1333</v>
      </c>
      <c r="S13" s="18">
        <v>0</v>
      </c>
      <c r="T13" s="26">
        <v>0</v>
      </c>
      <c r="U13" s="119"/>
    </row>
    <row r="14" spans="1:21" x14ac:dyDescent="0.25">
      <c r="A14" s="81" t="s">
        <v>79</v>
      </c>
      <c r="B14" s="118" t="s">
        <v>59</v>
      </c>
      <c r="C14" s="45" t="s">
        <v>66</v>
      </c>
      <c r="D14" s="70" t="s">
        <v>98</v>
      </c>
      <c r="E14" s="72" t="s">
        <v>17</v>
      </c>
      <c r="F14" s="70"/>
      <c r="G14" s="70"/>
      <c r="H14" s="76" t="s">
        <v>260</v>
      </c>
      <c r="I14" s="70"/>
      <c r="J14" s="70">
        <f>F14-G14</f>
        <v>0</v>
      </c>
      <c r="K14" s="154" t="s">
        <v>72</v>
      </c>
      <c r="L14" s="63"/>
      <c r="M14" s="139"/>
      <c r="N14" s="103"/>
      <c r="O14" s="95"/>
      <c r="P14" s="18">
        <v>1E-3</v>
      </c>
      <c r="Q14" s="18">
        <v>0.03</v>
      </c>
      <c r="R14" s="18">
        <v>8.6599999999999996E-2</v>
      </c>
      <c r="S14" s="18">
        <v>0</v>
      </c>
      <c r="T14" s="26">
        <v>0</v>
      </c>
      <c r="U14" s="119"/>
    </row>
    <row r="15" spans="1:21" x14ac:dyDescent="0.25">
      <c r="A15" s="81" t="s">
        <v>79</v>
      </c>
      <c r="B15" s="118" t="s">
        <v>59</v>
      </c>
      <c r="C15" s="45" t="s">
        <v>66</v>
      </c>
      <c r="D15" s="70" t="s">
        <v>98</v>
      </c>
      <c r="E15" s="72" t="s">
        <v>17</v>
      </c>
      <c r="F15" s="70"/>
      <c r="G15" s="70"/>
      <c r="H15" s="76" t="s">
        <v>260</v>
      </c>
      <c r="I15" s="70" t="s">
        <v>296</v>
      </c>
      <c r="J15" s="70">
        <f>F15-G15</f>
        <v>0</v>
      </c>
      <c r="K15" s="154" t="s">
        <v>73</v>
      </c>
      <c r="L15" s="63"/>
      <c r="M15" s="139"/>
      <c r="N15" s="103"/>
      <c r="O15" s="95"/>
      <c r="P15" s="18">
        <v>3.0000000000000001E-3</v>
      </c>
      <c r="Q15" s="18">
        <v>0.02</v>
      </c>
      <c r="R15" s="18">
        <v>0.15</v>
      </c>
      <c r="S15" s="18">
        <v>0</v>
      </c>
      <c r="T15" s="26">
        <v>0</v>
      </c>
      <c r="U15" s="119"/>
    </row>
    <row r="16" spans="1:21" x14ac:dyDescent="0.25">
      <c r="A16" s="81" t="s">
        <v>79</v>
      </c>
      <c r="B16" s="118" t="s">
        <v>298</v>
      </c>
      <c r="C16" s="45" t="s">
        <v>66</v>
      </c>
      <c r="D16" s="70" t="s">
        <v>98</v>
      </c>
      <c r="E16" s="72" t="s">
        <v>17</v>
      </c>
      <c r="F16" s="70">
        <v>96</v>
      </c>
      <c r="G16" s="70"/>
      <c r="H16" s="76"/>
      <c r="I16" s="70"/>
      <c r="J16" s="70">
        <f>F16-G16</f>
        <v>96</v>
      </c>
      <c r="K16" s="154" t="s">
        <v>73</v>
      </c>
      <c r="L16" s="63"/>
      <c r="M16" s="139"/>
      <c r="N16" s="103">
        <v>96</v>
      </c>
      <c r="O16" s="95"/>
      <c r="P16" s="18">
        <v>3.0000000000000001E-3</v>
      </c>
      <c r="Q16" s="18">
        <v>0.02</v>
      </c>
      <c r="R16" s="18">
        <v>0.15</v>
      </c>
      <c r="S16" s="18">
        <v>0</v>
      </c>
      <c r="T16" s="26"/>
      <c r="U16" s="119"/>
    </row>
    <row r="17" spans="1:21" x14ac:dyDescent="0.25">
      <c r="A17" s="81" t="s">
        <v>178</v>
      </c>
      <c r="B17" s="118" t="s">
        <v>168</v>
      </c>
      <c r="C17" s="45" t="s">
        <v>61</v>
      </c>
      <c r="D17" s="70" t="s">
        <v>98</v>
      </c>
      <c r="E17" s="72" t="s">
        <v>17</v>
      </c>
      <c r="F17" s="70">
        <v>977</v>
      </c>
      <c r="G17" s="70"/>
      <c r="H17" s="76"/>
      <c r="I17" s="70"/>
      <c r="J17" s="70">
        <f t="shared" ref="J17:J18" si="2">F17-G17</f>
        <v>977</v>
      </c>
      <c r="K17" s="154" t="s">
        <v>63</v>
      </c>
      <c r="L17" s="63"/>
      <c r="M17" s="139"/>
      <c r="N17" s="103">
        <v>977</v>
      </c>
      <c r="O17" s="95"/>
      <c r="P17" s="18">
        <v>2E-3</v>
      </c>
      <c r="Q17" s="18">
        <v>4.6600000000000003E-2</v>
      </c>
      <c r="R17" s="18">
        <v>0.12659999999999999</v>
      </c>
      <c r="S17" s="18">
        <v>0</v>
      </c>
      <c r="T17" s="26">
        <v>0</v>
      </c>
      <c r="U17" s="119"/>
    </row>
    <row r="18" spans="1:21" x14ac:dyDescent="0.25">
      <c r="A18" s="81"/>
      <c r="B18" s="118"/>
      <c r="C18" s="45"/>
      <c r="D18" s="70"/>
      <c r="E18" s="93"/>
      <c r="F18" s="167"/>
      <c r="G18" s="70"/>
      <c r="H18" s="76"/>
      <c r="I18" s="70"/>
      <c r="J18" s="177">
        <f t="shared" si="2"/>
        <v>0</v>
      </c>
      <c r="K18" s="154"/>
      <c r="L18" s="63"/>
      <c r="M18" s="139"/>
      <c r="N18" s="103"/>
      <c r="O18" s="95"/>
      <c r="P18" s="18"/>
      <c r="Q18" s="18"/>
      <c r="R18" s="18"/>
      <c r="S18" s="18"/>
      <c r="T18" s="26"/>
      <c r="U18" s="119"/>
    </row>
    <row r="19" spans="1:21" x14ac:dyDescent="0.25">
      <c r="A19" s="114"/>
      <c r="B19" s="78"/>
      <c r="C19" s="30"/>
      <c r="D19" s="31" t="s">
        <v>18</v>
      </c>
      <c r="E19" s="32"/>
      <c r="F19" s="104"/>
      <c r="G19" s="104"/>
      <c r="H19" s="104"/>
      <c r="I19" s="104"/>
      <c r="J19" s="104"/>
      <c r="K19" s="33"/>
      <c r="L19" s="27"/>
      <c r="M19" s="140"/>
      <c r="N19" s="103"/>
      <c r="O19" s="95"/>
      <c r="P19" s="18"/>
      <c r="Q19" s="18"/>
      <c r="R19" s="18"/>
      <c r="S19" s="18"/>
      <c r="T19" s="26"/>
      <c r="U19" s="119"/>
    </row>
    <row r="20" spans="1:21" x14ac:dyDescent="0.25">
      <c r="A20" s="114"/>
      <c r="B20" s="78"/>
      <c r="C20" s="30"/>
      <c r="D20" s="31"/>
      <c r="E20" s="32"/>
      <c r="F20" s="104"/>
      <c r="G20" s="104"/>
      <c r="H20" s="104"/>
      <c r="I20" s="104"/>
      <c r="J20" s="104"/>
      <c r="K20" s="33"/>
      <c r="L20" s="27"/>
      <c r="M20" s="140"/>
      <c r="N20" s="103"/>
      <c r="O20" s="95"/>
      <c r="P20" s="18"/>
      <c r="Q20" s="18"/>
      <c r="R20" s="18"/>
      <c r="S20" s="18"/>
      <c r="T20" s="26"/>
      <c r="U20" s="119"/>
    </row>
    <row r="21" spans="1:21" x14ac:dyDescent="0.25">
      <c r="A21" s="114"/>
      <c r="B21" s="78"/>
      <c r="C21" s="30"/>
      <c r="D21" s="31" t="s">
        <v>115</v>
      </c>
      <c r="E21" s="32"/>
      <c r="F21" s="104"/>
      <c r="G21" s="104"/>
      <c r="H21" s="104" t="s">
        <v>297</v>
      </c>
      <c r="I21" s="104">
        <v>116</v>
      </c>
      <c r="J21" s="104"/>
      <c r="K21" s="33"/>
      <c r="L21" s="27"/>
      <c r="M21" s="140"/>
      <c r="N21" s="103"/>
      <c r="O21" s="95"/>
      <c r="P21" s="18"/>
      <c r="Q21" s="18"/>
      <c r="R21" s="18"/>
      <c r="S21" s="18"/>
      <c r="T21" s="26"/>
      <c r="U21" s="119"/>
    </row>
    <row r="22" spans="1:21" x14ac:dyDescent="0.25">
      <c r="A22" s="114"/>
      <c r="B22" s="78"/>
      <c r="C22" s="30"/>
      <c r="D22" s="31"/>
      <c r="E22" s="32"/>
      <c r="F22" s="104"/>
      <c r="G22" s="104"/>
      <c r="H22" s="104"/>
      <c r="I22" s="104"/>
      <c r="J22" s="104"/>
      <c r="K22" s="33"/>
      <c r="L22" s="27"/>
      <c r="M22" s="140"/>
      <c r="N22" s="103"/>
      <c r="O22" s="95"/>
      <c r="P22" s="18"/>
      <c r="Q22" s="18"/>
      <c r="R22" s="18"/>
      <c r="S22" s="18"/>
      <c r="T22" s="26"/>
      <c r="U22" s="119"/>
    </row>
    <row r="23" spans="1:21" x14ac:dyDescent="0.25">
      <c r="A23" s="114"/>
      <c r="B23" s="78"/>
      <c r="C23" s="30"/>
      <c r="D23" s="31"/>
      <c r="E23" s="32"/>
      <c r="F23" s="104"/>
      <c r="G23" s="104"/>
      <c r="H23" s="104"/>
      <c r="I23" s="104"/>
      <c r="J23" s="104"/>
      <c r="K23" s="33"/>
      <c r="L23" s="27"/>
      <c r="M23" s="140"/>
      <c r="N23" s="103"/>
      <c r="O23" s="95"/>
      <c r="P23" s="18"/>
      <c r="Q23" s="18"/>
      <c r="R23" s="18"/>
      <c r="S23" s="18"/>
      <c r="T23" s="26"/>
      <c r="U23" s="119"/>
    </row>
    <row r="24" spans="1:21" x14ac:dyDescent="0.25">
      <c r="A24" s="114"/>
      <c r="B24" s="78"/>
      <c r="C24" s="78"/>
      <c r="D24" s="121"/>
      <c r="E24" s="83"/>
      <c r="F24" s="104"/>
      <c r="G24" s="104"/>
      <c r="H24" s="110"/>
      <c r="I24" s="105"/>
      <c r="J24" s="104"/>
      <c r="K24" s="33"/>
      <c r="L24" s="27"/>
      <c r="M24" s="140"/>
      <c r="N24" s="103"/>
      <c r="O24" s="95"/>
      <c r="P24" s="18"/>
      <c r="Q24" s="18"/>
      <c r="R24" s="18"/>
      <c r="S24" s="18"/>
      <c r="T24" s="26"/>
      <c r="U24" s="119"/>
    </row>
    <row r="25" spans="1:21" x14ac:dyDescent="0.25">
      <c r="A25" s="70"/>
      <c r="B25" s="79"/>
      <c r="C25" s="79"/>
      <c r="D25" s="23" t="s">
        <v>15</v>
      </c>
      <c r="E25" s="51" t="s">
        <v>17</v>
      </c>
      <c r="F25" s="23">
        <f>SUM(F11:F18)</f>
        <v>1073</v>
      </c>
      <c r="G25" s="155">
        <f>SUM(G11:G24)</f>
        <v>0</v>
      </c>
      <c r="H25" s="23"/>
      <c r="I25" s="23"/>
      <c r="J25" s="23">
        <f>F25-G25</f>
        <v>1073</v>
      </c>
      <c r="K25" s="24" t="s">
        <v>16</v>
      </c>
      <c r="L25" s="25">
        <f>SUM(L11:L24)</f>
        <v>0</v>
      </c>
      <c r="M25" s="25">
        <f>SUM(M11:M24)</f>
        <v>0</v>
      </c>
      <c r="N25" s="25">
        <f>SUM(N11:N18)</f>
        <v>1073</v>
      </c>
      <c r="O25" s="25">
        <f>SUM(O11:O24)</f>
        <v>0</v>
      </c>
      <c r="P25" s="26"/>
      <c r="Q25" s="26"/>
      <c r="R25" s="26"/>
      <c r="S25" s="26"/>
      <c r="T25" s="26"/>
      <c r="U25" s="119"/>
    </row>
    <row r="26" spans="1:21" x14ac:dyDescent="0.25">
      <c r="A26" s="81" t="s">
        <v>58</v>
      </c>
      <c r="B26" s="118" t="s">
        <v>59</v>
      </c>
      <c r="C26" s="45" t="s">
        <v>54</v>
      </c>
      <c r="D26" s="70" t="s">
        <v>98</v>
      </c>
      <c r="E26" s="72" t="s">
        <v>19</v>
      </c>
      <c r="F26" s="163">
        <v>1000</v>
      </c>
      <c r="G26" s="70"/>
      <c r="H26" s="70"/>
      <c r="I26" s="70"/>
      <c r="J26" s="70">
        <f t="shared" ref="J26:J38" si="3">F26-G26</f>
        <v>1000</v>
      </c>
      <c r="K26" s="68" t="s">
        <v>75</v>
      </c>
      <c r="L26" s="63"/>
      <c r="M26" s="65"/>
      <c r="N26" s="158">
        <v>1000</v>
      </c>
      <c r="O26" s="95"/>
      <c r="P26" s="18">
        <v>0</v>
      </c>
      <c r="Q26" s="18">
        <v>2.3300000000000001E-2</v>
      </c>
      <c r="R26" s="18">
        <v>0.1133</v>
      </c>
      <c r="S26" s="18">
        <v>0</v>
      </c>
      <c r="T26" s="26">
        <v>0</v>
      </c>
      <c r="U26" s="119"/>
    </row>
    <row r="27" spans="1:21" x14ac:dyDescent="0.25">
      <c r="A27" s="81" t="s">
        <v>74</v>
      </c>
      <c r="B27" s="118" t="s">
        <v>59</v>
      </c>
      <c r="C27" s="45" t="s">
        <v>55</v>
      </c>
      <c r="D27" s="70" t="s">
        <v>98</v>
      </c>
      <c r="E27" s="72" t="s">
        <v>19</v>
      </c>
      <c r="F27" s="163"/>
      <c r="G27" s="70"/>
      <c r="H27" s="70"/>
      <c r="I27" s="70"/>
      <c r="J27" s="70">
        <f t="shared" si="3"/>
        <v>0</v>
      </c>
      <c r="K27" s="68" t="s">
        <v>67</v>
      </c>
      <c r="L27" s="63"/>
      <c r="M27" s="65"/>
      <c r="N27" s="158"/>
      <c r="O27" s="95"/>
      <c r="P27" s="18">
        <v>0</v>
      </c>
      <c r="Q27" s="18">
        <v>1.66E-2</v>
      </c>
      <c r="R27" s="18">
        <v>8.3299999999999999E-2</v>
      </c>
      <c r="S27" s="18">
        <v>0</v>
      </c>
      <c r="T27" s="26">
        <v>0</v>
      </c>
      <c r="U27" s="119"/>
    </row>
    <row r="28" spans="1:21" x14ac:dyDescent="0.25">
      <c r="A28" s="81" t="s">
        <v>79</v>
      </c>
      <c r="B28" s="118" t="s">
        <v>59</v>
      </c>
      <c r="C28" s="45" t="s">
        <v>66</v>
      </c>
      <c r="D28" s="70" t="s">
        <v>98</v>
      </c>
      <c r="E28" s="72" t="s">
        <v>19</v>
      </c>
      <c r="F28" s="163">
        <v>1000</v>
      </c>
      <c r="G28" s="70"/>
      <c r="H28" s="70"/>
      <c r="I28" s="70"/>
      <c r="J28" s="70">
        <f t="shared" si="3"/>
        <v>1000</v>
      </c>
      <c r="K28" s="68" t="s">
        <v>63</v>
      </c>
      <c r="L28" s="63"/>
      <c r="M28" s="65"/>
      <c r="N28" s="158">
        <v>1000</v>
      </c>
      <c r="O28" s="95"/>
      <c r="P28" s="18">
        <v>0</v>
      </c>
      <c r="Q28" s="18">
        <v>3.6600000000000001E-2</v>
      </c>
      <c r="R28" s="18">
        <v>8.3299999999999999E-2</v>
      </c>
      <c r="S28" s="18">
        <v>0</v>
      </c>
      <c r="T28" s="26">
        <v>0</v>
      </c>
      <c r="U28" s="119"/>
    </row>
    <row r="29" spans="1:21" x14ac:dyDescent="0.25">
      <c r="A29" s="81" t="s">
        <v>79</v>
      </c>
      <c r="B29" s="118" t="s">
        <v>59</v>
      </c>
      <c r="C29" s="45" t="s">
        <v>66</v>
      </c>
      <c r="D29" s="70" t="s">
        <v>98</v>
      </c>
      <c r="E29" s="72" t="s">
        <v>19</v>
      </c>
      <c r="F29" s="163">
        <v>1000</v>
      </c>
      <c r="G29" s="70"/>
      <c r="H29" s="70"/>
      <c r="I29" s="70"/>
      <c r="J29" s="70">
        <f t="shared" si="3"/>
        <v>1000</v>
      </c>
      <c r="K29" s="68" t="s">
        <v>71</v>
      </c>
      <c r="L29" s="63"/>
      <c r="M29" s="65"/>
      <c r="N29" s="158">
        <v>1000</v>
      </c>
      <c r="O29" s="95"/>
      <c r="P29" s="18">
        <v>0</v>
      </c>
      <c r="Q29" s="18">
        <v>2.3300000000000001E-2</v>
      </c>
      <c r="R29" s="18">
        <v>9.6600000000000005E-2</v>
      </c>
      <c r="S29" s="18">
        <v>0</v>
      </c>
      <c r="T29" s="26">
        <v>0</v>
      </c>
      <c r="U29" s="119"/>
    </row>
    <row r="30" spans="1:21" x14ac:dyDescent="0.25">
      <c r="A30" s="81" t="s">
        <v>79</v>
      </c>
      <c r="B30" s="118" t="s">
        <v>59</v>
      </c>
      <c r="C30" s="45" t="s">
        <v>66</v>
      </c>
      <c r="D30" s="70" t="s">
        <v>98</v>
      </c>
      <c r="E30" s="72" t="s">
        <v>19</v>
      </c>
      <c r="F30" s="163">
        <v>1000</v>
      </c>
      <c r="G30" s="70"/>
      <c r="H30" s="70"/>
      <c r="I30" s="70"/>
      <c r="J30" s="70">
        <f t="shared" si="3"/>
        <v>1000</v>
      </c>
      <c r="K30" s="68" t="s">
        <v>72</v>
      </c>
      <c r="L30" s="63"/>
      <c r="M30" s="65"/>
      <c r="N30" s="158">
        <v>1000</v>
      </c>
      <c r="O30" s="95"/>
      <c r="P30" s="18">
        <v>3.0000000000000001E-3</v>
      </c>
      <c r="Q30" s="18">
        <v>4.3299999999999998E-2</v>
      </c>
      <c r="R30" s="18">
        <v>0.1666</v>
      </c>
      <c r="S30" s="18">
        <v>0</v>
      </c>
      <c r="T30" s="26">
        <v>0</v>
      </c>
      <c r="U30" s="119"/>
    </row>
    <row r="31" spans="1:21" x14ac:dyDescent="0.25">
      <c r="A31" s="81" t="s">
        <v>79</v>
      </c>
      <c r="B31" s="118" t="s">
        <v>59</v>
      </c>
      <c r="C31" s="45" t="s">
        <v>66</v>
      </c>
      <c r="D31" s="70" t="s">
        <v>98</v>
      </c>
      <c r="E31" s="72" t="s">
        <v>19</v>
      </c>
      <c r="F31" s="163">
        <v>700</v>
      </c>
      <c r="G31" s="70"/>
      <c r="H31" s="70"/>
      <c r="I31" s="70"/>
      <c r="J31" s="70">
        <f t="shared" si="3"/>
        <v>700</v>
      </c>
      <c r="K31" s="68" t="s">
        <v>73</v>
      </c>
      <c r="L31" s="63"/>
      <c r="M31" s="65"/>
      <c r="N31" s="158">
        <v>700</v>
      </c>
      <c r="O31" s="95"/>
      <c r="P31" s="18">
        <v>1E-3</v>
      </c>
      <c r="Q31" s="18">
        <v>1.66E-2</v>
      </c>
      <c r="R31" s="18">
        <v>0.12</v>
      </c>
      <c r="S31" s="18">
        <v>0</v>
      </c>
      <c r="T31" s="26">
        <v>0</v>
      </c>
      <c r="U31" s="119"/>
    </row>
    <row r="32" spans="1:21" x14ac:dyDescent="0.25">
      <c r="A32" s="81" t="s">
        <v>79</v>
      </c>
      <c r="B32" s="118" t="s">
        <v>59</v>
      </c>
      <c r="C32" s="45" t="s">
        <v>66</v>
      </c>
      <c r="D32" s="70" t="s">
        <v>98</v>
      </c>
      <c r="E32" s="72" t="s">
        <v>19</v>
      </c>
      <c r="F32" s="163">
        <v>1000</v>
      </c>
      <c r="G32" s="70"/>
      <c r="H32" s="70"/>
      <c r="I32" s="70"/>
      <c r="J32" s="70">
        <f t="shared" si="3"/>
        <v>1000</v>
      </c>
      <c r="K32" s="68" t="s">
        <v>92</v>
      </c>
      <c r="L32" s="63"/>
      <c r="M32" s="65"/>
      <c r="N32" s="158">
        <v>1000</v>
      </c>
      <c r="O32" s="95"/>
      <c r="P32" s="18">
        <v>2E-3</v>
      </c>
      <c r="Q32" s="18">
        <v>0.04</v>
      </c>
      <c r="R32" s="18">
        <v>0.1133</v>
      </c>
      <c r="S32" s="18">
        <v>0</v>
      </c>
      <c r="T32" s="26">
        <v>0</v>
      </c>
      <c r="U32" s="119"/>
    </row>
    <row r="33" spans="1:21" x14ac:dyDescent="0.25">
      <c r="A33" s="81" t="s">
        <v>79</v>
      </c>
      <c r="B33" s="118" t="s">
        <v>59</v>
      </c>
      <c r="C33" s="45" t="s">
        <v>66</v>
      </c>
      <c r="D33" s="70" t="s">
        <v>98</v>
      </c>
      <c r="E33" s="72" t="s">
        <v>19</v>
      </c>
      <c r="F33" s="163">
        <v>1000</v>
      </c>
      <c r="G33" s="70"/>
      <c r="H33" s="70"/>
      <c r="I33" s="70"/>
      <c r="J33" s="70">
        <f t="shared" si="3"/>
        <v>1000</v>
      </c>
      <c r="K33" s="68" t="s">
        <v>93</v>
      </c>
      <c r="L33" s="63"/>
      <c r="M33" s="65"/>
      <c r="N33" s="158">
        <v>1000</v>
      </c>
      <c r="O33" s="95"/>
      <c r="P33" s="18">
        <v>2E-3</v>
      </c>
      <c r="Q33" s="18">
        <v>3.6600000000000001E-2</v>
      </c>
      <c r="R33" s="18">
        <v>0.1</v>
      </c>
      <c r="S33" s="18">
        <v>0</v>
      </c>
      <c r="T33" s="26">
        <v>0</v>
      </c>
      <c r="U33" s="119"/>
    </row>
    <row r="34" spans="1:21" x14ac:dyDescent="0.25">
      <c r="A34" s="81" t="s">
        <v>79</v>
      </c>
      <c r="B34" s="118" t="s">
        <v>59</v>
      </c>
      <c r="C34" s="45" t="s">
        <v>66</v>
      </c>
      <c r="D34" s="70" t="s">
        <v>98</v>
      </c>
      <c r="E34" s="72" t="s">
        <v>19</v>
      </c>
      <c r="F34" s="163">
        <v>1000</v>
      </c>
      <c r="G34" s="70"/>
      <c r="H34" s="70"/>
      <c r="I34" s="70"/>
      <c r="J34" s="70">
        <f t="shared" si="3"/>
        <v>1000</v>
      </c>
      <c r="K34" s="68" t="s">
        <v>94</v>
      </c>
      <c r="L34" s="63"/>
      <c r="M34" s="65"/>
      <c r="N34" s="158">
        <v>1000</v>
      </c>
      <c r="O34" s="95"/>
      <c r="P34" s="18">
        <v>2E-3</v>
      </c>
      <c r="Q34" s="18">
        <v>0.04</v>
      </c>
      <c r="R34" s="18">
        <v>0.1333</v>
      </c>
      <c r="S34" s="18">
        <v>0</v>
      </c>
      <c r="T34" s="26">
        <v>0</v>
      </c>
      <c r="U34" s="119"/>
    </row>
    <row r="35" spans="1:21" x14ac:dyDescent="0.25">
      <c r="A35" s="81" t="s">
        <v>178</v>
      </c>
      <c r="B35" s="118" t="s">
        <v>168</v>
      </c>
      <c r="C35" s="45" t="s">
        <v>61</v>
      </c>
      <c r="D35" s="70" t="s">
        <v>98</v>
      </c>
      <c r="E35" s="72" t="s">
        <v>19</v>
      </c>
      <c r="F35" s="163">
        <v>1000</v>
      </c>
      <c r="G35" s="70"/>
      <c r="H35" s="70"/>
      <c r="I35" s="70"/>
      <c r="J35" s="70">
        <f t="shared" si="3"/>
        <v>1000</v>
      </c>
      <c r="K35" s="68" t="s">
        <v>63</v>
      </c>
      <c r="L35" s="63"/>
      <c r="M35" s="65"/>
      <c r="N35" s="158">
        <v>1000</v>
      </c>
      <c r="O35" s="95"/>
      <c r="P35" s="18">
        <v>1E-3</v>
      </c>
      <c r="Q35" s="18">
        <v>0.05</v>
      </c>
      <c r="R35" s="18">
        <v>0.11</v>
      </c>
      <c r="S35" s="18">
        <v>0</v>
      </c>
      <c r="T35" s="26">
        <v>0</v>
      </c>
      <c r="U35" s="119"/>
    </row>
    <row r="36" spans="1:21" x14ac:dyDescent="0.25">
      <c r="A36" s="81" t="s">
        <v>178</v>
      </c>
      <c r="B36" s="118" t="s">
        <v>168</v>
      </c>
      <c r="C36" s="45" t="s">
        <v>61</v>
      </c>
      <c r="D36" s="70" t="s">
        <v>98</v>
      </c>
      <c r="E36" s="72" t="s">
        <v>19</v>
      </c>
      <c r="F36" s="163">
        <v>572</v>
      </c>
      <c r="G36" s="70"/>
      <c r="H36" s="70"/>
      <c r="I36" s="70"/>
      <c r="J36" s="70">
        <f t="shared" si="3"/>
        <v>572</v>
      </c>
      <c r="K36" s="68" t="s">
        <v>64</v>
      </c>
      <c r="L36" s="63"/>
      <c r="M36" s="65"/>
      <c r="N36" s="158">
        <v>572</v>
      </c>
      <c r="O36" s="95"/>
      <c r="P36" s="18">
        <v>1E-3</v>
      </c>
      <c r="Q36" s="18">
        <v>0.05</v>
      </c>
      <c r="R36" s="18">
        <v>0.11</v>
      </c>
      <c r="S36" s="18">
        <v>0</v>
      </c>
      <c r="T36" s="26">
        <v>0</v>
      </c>
      <c r="U36" s="119"/>
    </row>
    <row r="37" spans="1:21" x14ac:dyDescent="0.25">
      <c r="A37" s="174"/>
      <c r="B37" s="175"/>
      <c r="C37" s="176"/>
      <c r="D37" s="177"/>
      <c r="E37" s="178"/>
      <c r="F37" s="179"/>
      <c r="G37" s="70"/>
      <c r="H37" s="70"/>
      <c r="I37" s="70"/>
      <c r="J37" s="70">
        <f t="shared" si="3"/>
        <v>0</v>
      </c>
      <c r="K37" s="154"/>
      <c r="L37" s="63"/>
      <c r="M37" s="65"/>
      <c r="N37" s="158"/>
      <c r="O37" s="95"/>
      <c r="P37" s="18"/>
      <c r="Q37" s="18"/>
      <c r="R37" s="18"/>
      <c r="S37" s="18"/>
      <c r="T37" s="26"/>
      <c r="U37" s="119"/>
    </row>
    <row r="38" spans="1:21" x14ac:dyDescent="0.25">
      <c r="A38" s="81"/>
      <c r="B38" s="118"/>
      <c r="C38" s="45"/>
      <c r="D38" s="70"/>
      <c r="E38" s="93"/>
      <c r="F38" s="70"/>
      <c r="G38" s="70"/>
      <c r="H38" s="70"/>
      <c r="I38" s="70"/>
      <c r="J38" s="70">
        <f t="shared" si="3"/>
        <v>0</v>
      </c>
      <c r="K38" s="154"/>
      <c r="L38" s="63"/>
      <c r="M38" s="65"/>
      <c r="N38" s="158"/>
      <c r="O38" s="95"/>
      <c r="P38" s="18"/>
      <c r="Q38" s="18"/>
      <c r="R38" s="18"/>
      <c r="S38" s="18"/>
      <c r="T38" s="26"/>
      <c r="U38" s="119"/>
    </row>
    <row r="39" spans="1:21" x14ac:dyDescent="0.25">
      <c r="A39" s="34"/>
      <c r="B39" s="35"/>
      <c r="C39" s="35"/>
      <c r="D39" s="36" t="s">
        <v>41</v>
      </c>
      <c r="E39" s="37"/>
      <c r="F39" s="147"/>
      <c r="G39" s="147"/>
      <c r="H39" s="147"/>
      <c r="I39" s="147"/>
      <c r="J39" s="106"/>
      <c r="K39" s="38"/>
      <c r="L39" s="63"/>
      <c r="M39" s="65"/>
      <c r="N39" s="66"/>
      <c r="O39" s="95"/>
      <c r="P39" s="18"/>
      <c r="Q39" s="18"/>
      <c r="R39" s="18"/>
      <c r="S39" s="18"/>
      <c r="T39" s="26"/>
      <c r="U39" s="119"/>
    </row>
    <row r="40" spans="1:21" x14ac:dyDescent="0.25">
      <c r="A40" s="34"/>
      <c r="B40" s="35"/>
      <c r="C40" s="35"/>
      <c r="D40" s="36"/>
      <c r="E40" s="37"/>
      <c r="F40" s="147"/>
      <c r="G40" s="147"/>
      <c r="H40" s="147"/>
      <c r="I40" s="147"/>
      <c r="J40" s="106"/>
      <c r="K40" s="38"/>
      <c r="L40" s="27"/>
      <c r="M40" s="28"/>
      <c r="N40" s="103"/>
      <c r="O40" s="95"/>
      <c r="P40" s="18"/>
      <c r="Q40" s="29"/>
      <c r="R40" s="29"/>
      <c r="S40" s="29"/>
      <c r="T40" s="26"/>
      <c r="U40" s="119"/>
    </row>
    <row r="41" spans="1:21" x14ac:dyDescent="0.25">
      <c r="A41" s="34"/>
      <c r="B41" s="35"/>
      <c r="C41" s="35"/>
      <c r="D41" s="36" t="s">
        <v>115</v>
      </c>
      <c r="E41" s="37"/>
      <c r="F41" s="147"/>
      <c r="G41" s="147"/>
      <c r="H41" s="147"/>
      <c r="I41" s="147">
        <v>116</v>
      </c>
      <c r="J41" s="106"/>
      <c r="K41" s="38"/>
      <c r="L41" s="27"/>
      <c r="M41" s="28"/>
      <c r="N41" s="103"/>
      <c r="O41" s="95"/>
      <c r="P41" s="18"/>
      <c r="Q41" s="29"/>
      <c r="R41" s="29"/>
      <c r="S41" s="29"/>
      <c r="T41" s="26"/>
      <c r="U41" s="119"/>
    </row>
    <row r="42" spans="1:21" x14ac:dyDescent="0.25">
      <c r="A42" s="34"/>
      <c r="B42" s="35"/>
      <c r="C42" s="35"/>
      <c r="D42" s="36"/>
      <c r="E42" s="37"/>
      <c r="F42" s="147"/>
      <c r="G42" s="147"/>
      <c r="H42" s="147"/>
      <c r="I42" s="147"/>
      <c r="J42" s="106"/>
      <c r="K42" s="38"/>
      <c r="L42" s="27"/>
      <c r="M42" s="28"/>
      <c r="N42" s="103"/>
      <c r="O42" s="95"/>
      <c r="P42" s="18"/>
      <c r="Q42" s="29"/>
      <c r="R42" s="29"/>
      <c r="S42" s="29"/>
      <c r="T42" s="26"/>
      <c r="U42" s="119"/>
    </row>
    <row r="43" spans="1:21" x14ac:dyDescent="0.25">
      <c r="A43" s="34"/>
      <c r="B43" s="35"/>
      <c r="C43" s="35"/>
      <c r="D43" s="36"/>
      <c r="E43" s="37"/>
      <c r="F43" s="147"/>
      <c r="G43" s="147"/>
      <c r="H43" s="147"/>
      <c r="I43" s="147"/>
      <c r="J43" s="106"/>
      <c r="K43" s="38"/>
      <c r="L43" s="27"/>
      <c r="M43" s="28"/>
      <c r="N43" s="103"/>
      <c r="O43" s="95"/>
      <c r="P43" s="18"/>
      <c r="Q43" s="29"/>
      <c r="R43" s="29"/>
      <c r="S43" s="29"/>
      <c r="T43" s="26"/>
      <c r="U43" s="119"/>
    </row>
    <row r="44" spans="1:21" x14ac:dyDescent="0.25">
      <c r="A44" s="34"/>
      <c r="B44" s="35"/>
      <c r="C44" s="35"/>
      <c r="D44" s="36"/>
      <c r="E44" s="37"/>
      <c r="F44" s="147"/>
      <c r="G44" s="147"/>
      <c r="H44" s="147"/>
      <c r="I44" s="147"/>
      <c r="J44" s="106"/>
      <c r="K44" s="38"/>
      <c r="L44" s="27"/>
      <c r="M44" s="28"/>
      <c r="N44" s="103"/>
      <c r="O44" s="95"/>
      <c r="P44" s="18"/>
      <c r="Q44" s="29"/>
      <c r="R44" s="29"/>
      <c r="S44" s="29"/>
      <c r="T44" s="26"/>
      <c r="U44" s="119"/>
    </row>
    <row r="45" spans="1:21" x14ac:dyDescent="0.25">
      <c r="A45" s="34"/>
      <c r="B45" s="35"/>
      <c r="C45" s="80"/>
      <c r="D45" s="36"/>
      <c r="E45" s="37"/>
      <c r="F45" s="147"/>
      <c r="G45" s="147"/>
      <c r="H45" s="147"/>
      <c r="I45" s="147"/>
      <c r="J45" s="106"/>
      <c r="K45" s="38"/>
      <c r="L45" s="101"/>
      <c r="M45" s="102"/>
      <c r="N45" s="103"/>
      <c r="O45" s="95"/>
      <c r="P45" s="26"/>
      <c r="Q45" s="26"/>
      <c r="R45" s="26"/>
      <c r="S45" s="26"/>
      <c r="T45" s="26"/>
      <c r="U45" s="119"/>
    </row>
    <row r="46" spans="1:21" x14ac:dyDescent="0.25">
      <c r="A46" s="70"/>
      <c r="B46" s="131"/>
      <c r="C46" s="70"/>
      <c r="D46" s="23" t="s">
        <v>15</v>
      </c>
      <c r="E46" s="24" t="s">
        <v>19</v>
      </c>
      <c r="F46" s="23">
        <f>SUM(F26:F38)</f>
        <v>9272</v>
      </c>
      <c r="G46" s="23">
        <f>SUM(G26:G45)</f>
        <v>0</v>
      </c>
      <c r="H46" s="23"/>
      <c r="I46" s="23"/>
      <c r="J46" s="23">
        <f>F46-G46</f>
        <v>9272</v>
      </c>
      <c r="K46" s="24" t="s">
        <v>16</v>
      </c>
      <c r="L46" s="25">
        <f>SUM(L26:L45)</f>
        <v>0</v>
      </c>
      <c r="M46" s="25">
        <f>SUM(M26:M45)</f>
        <v>0</v>
      </c>
      <c r="N46" s="25">
        <f>SUM(N26:N45)</f>
        <v>9272</v>
      </c>
      <c r="O46" s="25">
        <f>SUM(O26:O45)</f>
        <v>0</v>
      </c>
      <c r="P46" s="26"/>
      <c r="Q46" s="26"/>
      <c r="R46" s="26"/>
      <c r="S46" s="26"/>
      <c r="T46" s="26"/>
      <c r="U46" s="119"/>
    </row>
    <row r="47" spans="1:21" x14ac:dyDescent="0.25">
      <c r="A47" s="81"/>
      <c r="B47" s="118"/>
      <c r="C47" s="45"/>
      <c r="D47" s="70"/>
      <c r="E47" s="68"/>
      <c r="F47" s="58"/>
      <c r="G47" s="47"/>
      <c r="H47" s="76"/>
      <c r="I47" s="47"/>
      <c r="J47" s="70">
        <f t="shared" ref="J47:J54" si="4">F47-G47</f>
        <v>0</v>
      </c>
      <c r="K47" s="68"/>
      <c r="L47" s="63"/>
      <c r="M47" s="65"/>
      <c r="N47" s="66"/>
      <c r="O47" s="137"/>
      <c r="P47" s="18"/>
      <c r="Q47" s="18"/>
      <c r="R47" s="18"/>
      <c r="S47" s="18"/>
      <c r="T47" s="94"/>
      <c r="U47" s="123"/>
    </row>
    <row r="48" spans="1:21" x14ac:dyDescent="0.25">
      <c r="A48" s="124"/>
      <c r="B48" s="133"/>
      <c r="C48" s="125"/>
      <c r="D48" s="127"/>
      <c r="E48" s="87"/>
      <c r="F48" s="88"/>
      <c r="G48" s="91"/>
      <c r="H48" s="91"/>
      <c r="I48" s="91"/>
      <c r="J48" s="70">
        <f t="shared" si="4"/>
        <v>0</v>
      </c>
      <c r="K48" s="144"/>
      <c r="L48" s="63"/>
      <c r="M48" s="65"/>
      <c r="N48" s="107"/>
      <c r="O48" s="115"/>
      <c r="P48" s="18"/>
      <c r="Q48" s="18"/>
      <c r="R48" s="18"/>
      <c r="S48" s="18"/>
      <c r="T48" s="18"/>
      <c r="U48" s="122"/>
    </row>
    <row r="49" spans="1:21" x14ac:dyDescent="0.25">
      <c r="A49" s="127"/>
      <c r="B49" s="134"/>
      <c r="C49" s="125"/>
      <c r="D49" s="127"/>
      <c r="E49" s="87"/>
      <c r="F49" s="88"/>
      <c r="G49" s="91"/>
      <c r="H49" s="91"/>
      <c r="I49" s="91"/>
      <c r="J49" s="70">
        <f t="shared" si="4"/>
        <v>0</v>
      </c>
      <c r="K49" s="90"/>
      <c r="L49" s="56"/>
      <c r="M49" s="65"/>
      <c r="N49" s="107"/>
      <c r="O49" s="115"/>
      <c r="P49" s="18"/>
      <c r="Q49" s="18"/>
      <c r="R49" s="18"/>
      <c r="S49" s="18"/>
      <c r="T49" s="18"/>
      <c r="U49" s="123"/>
    </row>
    <row r="50" spans="1:21" x14ac:dyDescent="0.25">
      <c r="A50" s="128"/>
      <c r="B50" s="135"/>
      <c r="C50" s="129"/>
      <c r="D50" s="23" t="s">
        <v>15</v>
      </c>
      <c r="E50" s="52" t="s">
        <v>22</v>
      </c>
      <c r="F50" s="23">
        <f>SUM(F47:F49)</f>
        <v>0</v>
      </c>
      <c r="G50" s="23">
        <f>SUM(G47:G49)</f>
        <v>0</v>
      </c>
      <c r="H50" s="23"/>
      <c r="I50" s="23"/>
      <c r="J50" s="23">
        <f>F50-G50</f>
        <v>0</v>
      </c>
      <c r="K50" s="24" t="s">
        <v>16</v>
      </c>
      <c r="L50" s="25">
        <f>SUM(L47:L49)</f>
        <v>0</v>
      </c>
      <c r="M50" s="25">
        <f>SUM(M47:M47)</f>
        <v>0</v>
      </c>
      <c r="N50" s="25">
        <f>SUM(N47:N49)</f>
        <v>0</v>
      </c>
      <c r="O50" s="25">
        <f>SUM(O47:O49)</f>
        <v>0</v>
      </c>
      <c r="P50" s="18"/>
      <c r="Q50" s="18"/>
      <c r="R50" s="18"/>
      <c r="S50" s="18"/>
      <c r="T50" s="18"/>
      <c r="U50" s="123"/>
    </row>
    <row r="51" spans="1:21" x14ac:dyDescent="0.25">
      <c r="A51" s="128" t="s">
        <v>79</v>
      </c>
      <c r="B51" s="77" t="s">
        <v>97</v>
      </c>
      <c r="C51" s="129" t="s">
        <v>133</v>
      </c>
      <c r="D51" s="171" t="s">
        <v>76</v>
      </c>
      <c r="E51" s="180" t="s">
        <v>134</v>
      </c>
      <c r="F51" s="181">
        <v>560</v>
      </c>
      <c r="G51" s="47"/>
      <c r="H51" s="47"/>
      <c r="I51" s="47"/>
      <c r="J51" s="171">
        <f t="shared" si="4"/>
        <v>560</v>
      </c>
      <c r="K51" s="75" t="s">
        <v>78</v>
      </c>
      <c r="L51" s="63"/>
      <c r="M51" s="65"/>
      <c r="N51" s="107">
        <v>560</v>
      </c>
      <c r="O51" s="115"/>
      <c r="P51" s="18">
        <v>0.35899999999999999</v>
      </c>
      <c r="Q51" s="18">
        <v>0.09</v>
      </c>
      <c r="R51" s="18">
        <v>0.37</v>
      </c>
      <c r="S51" s="18">
        <v>0</v>
      </c>
      <c r="T51" s="18">
        <v>2.5999999999999999E-2</v>
      </c>
      <c r="U51" s="123"/>
    </row>
    <row r="52" spans="1:21" x14ac:dyDescent="0.25">
      <c r="A52" s="128"/>
      <c r="B52" s="135"/>
      <c r="C52" s="129"/>
      <c r="D52" s="47"/>
      <c r="E52" s="183"/>
      <c r="F52" s="47"/>
      <c r="G52" s="47"/>
      <c r="H52" s="47"/>
      <c r="I52" s="47"/>
      <c r="J52" s="171">
        <f t="shared" si="4"/>
        <v>0</v>
      </c>
      <c r="K52" s="182"/>
      <c r="L52" s="63"/>
      <c r="M52" s="65"/>
      <c r="N52" s="107"/>
      <c r="O52" s="115"/>
      <c r="P52" s="18"/>
      <c r="Q52" s="18"/>
      <c r="R52" s="18"/>
      <c r="S52" s="18"/>
      <c r="T52" s="18"/>
      <c r="U52" s="123"/>
    </row>
    <row r="53" spans="1:21" x14ac:dyDescent="0.25">
      <c r="A53" s="128"/>
      <c r="B53" s="135"/>
      <c r="C53" s="129"/>
      <c r="D53" s="47"/>
      <c r="E53" s="183"/>
      <c r="F53" s="47"/>
      <c r="G53" s="47"/>
      <c r="H53" s="47"/>
      <c r="I53" s="47"/>
      <c r="J53" s="171">
        <f t="shared" si="4"/>
        <v>0</v>
      </c>
      <c r="K53" s="182"/>
      <c r="L53" s="63"/>
      <c r="M53" s="65"/>
      <c r="N53" s="107"/>
      <c r="O53" s="115"/>
      <c r="P53" s="18"/>
      <c r="Q53" s="18"/>
      <c r="R53" s="18"/>
      <c r="S53" s="18"/>
      <c r="T53" s="18"/>
      <c r="U53" s="123"/>
    </row>
    <row r="54" spans="1:21" x14ac:dyDescent="0.25">
      <c r="A54" s="128" t="s">
        <v>79</v>
      </c>
      <c r="B54" s="77" t="s">
        <v>97</v>
      </c>
      <c r="C54" s="129" t="s">
        <v>133</v>
      </c>
      <c r="D54" s="171" t="s">
        <v>76</v>
      </c>
      <c r="E54" s="180" t="s">
        <v>135</v>
      </c>
      <c r="F54" s="157">
        <v>415</v>
      </c>
      <c r="G54" s="47"/>
      <c r="H54" s="47"/>
      <c r="I54" s="47"/>
      <c r="J54" s="171">
        <f t="shared" si="4"/>
        <v>415</v>
      </c>
      <c r="K54" s="75" t="s">
        <v>78</v>
      </c>
      <c r="L54" s="63"/>
      <c r="M54" s="65"/>
      <c r="N54" s="107">
        <v>415</v>
      </c>
      <c r="O54" s="115"/>
      <c r="P54" s="18">
        <v>0.42599999999999999</v>
      </c>
      <c r="Q54" s="18">
        <v>0.12</v>
      </c>
      <c r="R54" s="18">
        <v>0.28999999999999998</v>
      </c>
      <c r="S54" s="18">
        <v>0</v>
      </c>
      <c r="T54" s="18">
        <v>1.7999999999999999E-2</v>
      </c>
      <c r="U54" s="123"/>
    </row>
    <row r="55" spans="1:21" x14ac:dyDescent="0.25">
      <c r="A55" s="128"/>
      <c r="B55" s="135"/>
      <c r="C55" s="129"/>
      <c r="D55" s="46"/>
      <c r="E55" s="146"/>
      <c r="F55" s="46"/>
      <c r="G55" s="46"/>
      <c r="H55" s="46"/>
      <c r="I55" s="46"/>
      <c r="J55" s="70">
        <f t="shared" ref="J55" si="5">F55-G55</f>
        <v>0</v>
      </c>
      <c r="K55" s="145"/>
      <c r="L55" s="63"/>
      <c r="M55" s="65"/>
      <c r="N55" s="107"/>
      <c r="O55" s="115"/>
      <c r="P55" s="18"/>
      <c r="Q55" s="18"/>
      <c r="R55" s="18"/>
      <c r="S55" s="18"/>
      <c r="T55" s="18"/>
      <c r="U55" s="123"/>
    </row>
    <row r="56" spans="1:21" x14ac:dyDescent="0.25">
      <c r="A56" s="70"/>
      <c r="B56" s="131"/>
      <c r="C56" s="70"/>
      <c r="D56" s="23" t="s">
        <v>15</v>
      </c>
      <c r="E56" s="52" t="s">
        <v>39</v>
      </c>
      <c r="F56" s="25">
        <f>SUM(F51:F55)</f>
        <v>975</v>
      </c>
      <c r="G56" s="25">
        <f>SUM(G55:G55)</f>
        <v>0</v>
      </c>
      <c r="H56" s="23"/>
      <c r="I56" s="23"/>
      <c r="J56" s="25">
        <f>F56-G56</f>
        <v>975</v>
      </c>
      <c r="K56" s="24" t="s">
        <v>16</v>
      </c>
      <c r="L56" s="25">
        <f>SUM(L55:L55)</f>
        <v>0</v>
      </c>
      <c r="M56" s="25">
        <f>SUM(M47:M55)</f>
        <v>0</v>
      </c>
      <c r="N56" s="25">
        <f>SUM(N51:N55)</f>
        <v>975</v>
      </c>
      <c r="O56" s="25">
        <f>SUM(O47:O55)</f>
        <v>0</v>
      </c>
      <c r="P56" s="26"/>
      <c r="Q56" s="26"/>
      <c r="R56" s="26"/>
      <c r="S56" s="26"/>
      <c r="T56" s="26"/>
      <c r="U56" s="111"/>
    </row>
    <row r="57" spans="1:21" x14ac:dyDescent="0.25">
      <c r="A57" s="70"/>
      <c r="B57" s="131"/>
      <c r="C57" s="81"/>
      <c r="D57" s="70"/>
      <c r="E57" s="108"/>
      <c r="F57" s="70"/>
      <c r="G57" s="70"/>
      <c r="H57" s="70"/>
      <c r="I57" s="70"/>
      <c r="J57" s="70"/>
      <c r="K57" s="70"/>
      <c r="L57" s="101"/>
      <c r="M57" s="109"/>
      <c r="N57" s="107"/>
      <c r="O57" s="115"/>
      <c r="P57" s="26"/>
      <c r="Q57" s="26"/>
      <c r="R57" s="26"/>
      <c r="S57" s="26"/>
      <c r="T57" s="26"/>
      <c r="U57" s="111"/>
    </row>
    <row r="58" spans="1:21" x14ac:dyDescent="0.25">
      <c r="A58" s="70"/>
      <c r="B58" s="131"/>
      <c r="C58" s="70"/>
      <c r="D58" s="70"/>
      <c r="E58" s="70"/>
      <c r="F58" s="70"/>
      <c r="G58" s="70"/>
      <c r="H58" s="70"/>
      <c r="I58" s="70"/>
      <c r="J58" s="70"/>
      <c r="K58" s="70"/>
      <c r="L58" s="101"/>
      <c r="M58" s="109"/>
      <c r="N58" s="107"/>
      <c r="O58" s="115"/>
      <c r="P58" s="26"/>
      <c r="Q58" s="26"/>
      <c r="R58" s="26"/>
      <c r="S58" s="26"/>
      <c r="T58" s="70"/>
      <c r="U58" s="111"/>
    </row>
    <row r="59" spans="1:21" x14ac:dyDescent="0.25">
      <c r="A59" s="70"/>
      <c r="B59" s="131"/>
      <c r="C59" s="70"/>
      <c r="D59" s="204" t="s">
        <v>24</v>
      </c>
      <c r="E59" s="205"/>
      <c r="F59" s="39">
        <f>SUM(F10,F25,F46,F50,F56)</f>
        <v>11320</v>
      </c>
      <c r="G59" s="39">
        <f>SUM(G10,G25,G46,G50,G56)</f>
        <v>0</v>
      </c>
      <c r="H59" s="39"/>
      <c r="I59" s="39"/>
      <c r="J59" s="39">
        <f>SUM(F59-G59)</f>
        <v>11320</v>
      </c>
      <c r="K59" s="40" t="s">
        <v>16</v>
      </c>
      <c r="L59" s="39">
        <f>SUM(L10,L25,L46,L50,L56)</f>
        <v>0</v>
      </c>
      <c r="M59" s="39">
        <f>SUM(M10,M25,M46,M50,M56)</f>
        <v>0</v>
      </c>
      <c r="N59" s="39">
        <f>SUM(N10,N25,N46,N50,N56)</f>
        <v>11320</v>
      </c>
      <c r="O59" s="39">
        <f>SUM(O10,O25,O46,O50,O56)</f>
        <v>0</v>
      </c>
      <c r="P59" s="26"/>
      <c r="Q59" s="26"/>
      <c r="R59" s="26"/>
      <c r="S59" s="26"/>
      <c r="T59" s="70"/>
      <c r="U59" s="111"/>
    </row>
    <row r="60" spans="1:21" x14ac:dyDescent="0.25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6"/>
      <c r="Q60" s="116"/>
      <c r="R60" s="116"/>
      <c r="S60" s="116"/>
      <c r="T60" s="111"/>
      <c r="U60" s="111"/>
    </row>
    <row r="61" spans="1:21" ht="18" x14ac:dyDescent="0.25">
      <c r="A61" s="111"/>
      <c r="B61" s="111"/>
      <c r="C61" s="111"/>
      <c r="D61" s="41"/>
      <c r="E61" s="111"/>
      <c r="F61" s="111"/>
      <c r="G61" s="111"/>
      <c r="H61" s="111"/>
      <c r="I61" s="111"/>
      <c r="J61" s="111"/>
      <c r="K61" s="42" t="s">
        <v>20</v>
      </c>
      <c r="L61" s="42">
        <f>F59-L59-M59-N59-O59</f>
        <v>0</v>
      </c>
      <c r="M61" s="111"/>
      <c r="N61" s="111"/>
      <c r="O61" s="111"/>
      <c r="P61" s="111"/>
      <c r="Q61" s="111"/>
      <c r="R61" s="111"/>
      <c r="S61" s="111"/>
      <c r="T61" s="111"/>
      <c r="U61" s="111"/>
    </row>
    <row r="62" spans="1:21" x14ac:dyDescent="0.25">
      <c r="A62" s="111"/>
      <c r="B62" s="111"/>
      <c r="C62" s="111"/>
      <c r="D62" s="43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</row>
    <row r="63" spans="1:21" x14ac:dyDescent="0.25">
      <c r="A63" s="111"/>
      <c r="B63" s="111"/>
      <c r="C63" s="111"/>
      <c r="D63" s="43"/>
      <c r="E63" s="111"/>
      <c r="F63" s="111"/>
      <c r="G63" s="48"/>
      <c r="H63" s="48"/>
      <c r="I63" s="48"/>
      <c r="J63" s="48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</row>
    <row r="64" spans="1:21" x14ac:dyDescent="0.25">
      <c r="A64" s="111"/>
      <c r="B64" s="111"/>
      <c r="C64" s="111"/>
      <c r="D64" s="43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</row>
    <row r="65" spans="1:21" x14ac:dyDescent="0.25">
      <c r="A65" s="111"/>
      <c r="B65" s="111"/>
      <c r="C65" s="111"/>
      <c r="D65" s="43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</row>
    <row r="66" spans="1:21" x14ac:dyDescent="0.25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</row>
    <row r="67" spans="1:21" x14ac:dyDescent="0.25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</row>
    <row r="68" spans="1:21" ht="33" x14ac:dyDescent="0.45">
      <c r="A68" s="111"/>
      <c r="B68" s="111"/>
      <c r="C68" s="111"/>
      <c r="D68" s="206" t="s">
        <v>46</v>
      </c>
      <c r="E68" s="207"/>
      <c r="F68" s="207"/>
      <c r="G68" s="207"/>
      <c r="H68" s="207"/>
      <c r="I68" s="207"/>
      <c r="J68" s="207"/>
      <c r="K68" s="207"/>
      <c r="L68" s="207"/>
      <c r="M68" s="208"/>
      <c r="N68" s="111"/>
      <c r="O68" s="111"/>
      <c r="P68" s="111"/>
      <c r="Q68" s="111"/>
      <c r="R68" s="111"/>
      <c r="S68" s="111"/>
      <c r="T68" s="111"/>
      <c r="U68" s="111"/>
    </row>
    <row r="69" spans="1:21" x14ac:dyDescent="0.25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</row>
    <row r="70" spans="1:21" x14ac:dyDescent="0.2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</row>
    <row r="71" spans="1:21" x14ac:dyDescent="0.25">
      <c r="A71" s="209" t="s">
        <v>25</v>
      </c>
      <c r="B71" s="210"/>
      <c r="C71" s="211"/>
      <c r="D71" s="44" t="s">
        <v>26</v>
      </c>
      <c r="E71" s="59" t="s">
        <v>34</v>
      </c>
      <c r="F71" s="61" t="s">
        <v>33</v>
      </c>
      <c r="G71" s="209" t="s">
        <v>27</v>
      </c>
      <c r="H71" s="211"/>
      <c r="I71" s="209" t="s">
        <v>28</v>
      </c>
      <c r="J71" s="2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</row>
    <row r="72" spans="1:2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224" t="s">
        <v>44</v>
      </c>
      <c r="M72" s="225"/>
      <c r="N72" s="225"/>
      <c r="O72" s="225"/>
      <c r="P72" s="225"/>
      <c r="Q72" s="225"/>
      <c r="R72" s="225"/>
      <c r="S72" s="225"/>
      <c r="T72" s="225"/>
      <c r="U72" s="225"/>
    </row>
    <row r="73" spans="1:2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30" t="s">
        <v>61</v>
      </c>
      <c r="M73" s="130"/>
      <c r="N73" s="130"/>
      <c r="O73" s="130"/>
      <c r="P73" s="130"/>
      <c r="Q73" s="130"/>
      <c r="R73" s="130"/>
      <c r="S73" s="130"/>
      <c r="T73" s="130"/>
      <c r="U73" s="130"/>
    </row>
    <row r="74" spans="1:21" x14ac:dyDescent="0.25">
      <c r="A74" s="196" t="s">
        <v>54</v>
      </c>
      <c r="B74" s="197"/>
      <c r="C74" s="198"/>
      <c r="D74" s="84"/>
      <c r="E74" s="84">
        <v>51420</v>
      </c>
      <c r="F74" s="153">
        <v>0.42799999999999999</v>
      </c>
      <c r="G74" s="199">
        <f>E74*0.428</f>
        <v>22007.759999999998</v>
      </c>
      <c r="H74" s="200"/>
      <c r="I74" s="201">
        <v>22</v>
      </c>
      <c r="J74" s="202"/>
      <c r="K74" s="111"/>
      <c r="L74" s="70">
        <v>9390</v>
      </c>
      <c r="M74" s="70"/>
      <c r="N74" s="70"/>
      <c r="O74" s="70"/>
      <c r="P74" s="70"/>
      <c r="Q74" s="70"/>
      <c r="R74" s="70"/>
      <c r="S74" s="70"/>
      <c r="T74" s="70"/>
      <c r="U74" s="70"/>
    </row>
    <row r="75" spans="1:21" x14ac:dyDescent="0.25">
      <c r="A75" s="196" t="s">
        <v>55</v>
      </c>
      <c r="B75" s="197"/>
      <c r="C75" s="198"/>
      <c r="D75" s="84"/>
      <c r="E75" s="84">
        <v>38070</v>
      </c>
      <c r="F75" s="153">
        <v>0.33100000000000002</v>
      </c>
      <c r="G75" s="199">
        <f>E75*0.331</f>
        <v>12601.17</v>
      </c>
      <c r="H75" s="200"/>
      <c r="I75" s="201">
        <v>12</v>
      </c>
      <c r="J75" s="202"/>
      <c r="K75" s="111"/>
      <c r="L75" s="70">
        <v>12480</v>
      </c>
      <c r="M75" s="70"/>
      <c r="N75" s="70"/>
      <c r="O75" s="70"/>
      <c r="P75" s="70"/>
      <c r="Q75" s="70"/>
      <c r="R75" s="70"/>
      <c r="S75" s="70"/>
      <c r="T75" s="70"/>
      <c r="U75" s="70"/>
    </row>
    <row r="76" spans="1:21" x14ac:dyDescent="0.25">
      <c r="A76" s="196" t="s">
        <v>56</v>
      </c>
      <c r="B76" s="197"/>
      <c r="C76" s="198"/>
      <c r="D76" s="84"/>
      <c r="E76" s="84">
        <v>42100</v>
      </c>
      <c r="F76" s="153">
        <v>0.36899999999999999</v>
      </c>
      <c r="G76" s="199">
        <f>E76*0.369</f>
        <v>15534.9</v>
      </c>
      <c r="H76" s="200"/>
      <c r="I76" s="201">
        <v>15</v>
      </c>
      <c r="J76" s="202"/>
      <c r="K76" s="111"/>
      <c r="L76" s="70">
        <v>13240</v>
      </c>
      <c r="M76" s="70"/>
      <c r="N76" s="70"/>
      <c r="O76" s="70"/>
      <c r="P76" s="70"/>
      <c r="Q76" s="70"/>
      <c r="R76" s="70"/>
      <c r="S76" s="70"/>
      <c r="T76" s="70"/>
      <c r="U76" s="70"/>
    </row>
    <row r="77" spans="1:21" x14ac:dyDescent="0.25">
      <c r="A77" s="196" t="s">
        <v>61</v>
      </c>
      <c r="B77" s="197"/>
      <c r="C77" s="198"/>
      <c r="D77" s="84"/>
      <c r="E77" s="84">
        <v>64570</v>
      </c>
      <c r="F77" s="153">
        <v>0.48</v>
      </c>
      <c r="G77" s="199">
        <f>E77*0.48</f>
        <v>30993.599999999999</v>
      </c>
      <c r="H77" s="200"/>
      <c r="I77" s="222">
        <v>31</v>
      </c>
      <c r="J77" s="223"/>
      <c r="K77" s="111"/>
      <c r="L77" s="70"/>
      <c r="M77" s="70"/>
      <c r="N77" s="70"/>
      <c r="O77" s="70"/>
      <c r="P77" s="70"/>
      <c r="Q77" s="70"/>
      <c r="R77" s="70"/>
      <c r="S77" s="70"/>
      <c r="T77" s="70"/>
      <c r="U77" s="70"/>
    </row>
    <row r="78" spans="1:21" x14ac:dyDescent="0.25">
      <c r="A78" s="149"/>
      <c r="B78" s="150" t="s">
        <v>66</v>
      </c>
      <c r="C78" s="151"/>
      <c r="D78" s="148"/>
      <c r="E78" s="84">
        <v>81170</v>
      </c>
      <c r="F78" s="153">
        <v>0.43</v>
      </c>
      <c r="G78" s="199">
        <f>E78*0.43</f>
        <v>34903.1</v>
      </c>
      <c r="H78" s="200"/>
      <c r="I78" s="222">
        <v>35</v>
      </c>
      <c r="J78" s="223"/>
      <c r="K78" s="111"/>
      <c r="L78" s="70"/>
      <c r="M78" s="70"/>
      <c r="N78" s="70"/>
      <c r="O78" s="70"/>
      <c r="P78" s="70"/>
      <c r="Q78" s="70"/>
      <c r="R78" s="70"/>
      <c r="S78" s="70"/>
      <c r="T78" s="70"/>
      <c r="U78" s="70"/>
    </row>
    <row r="79" spans="1:21" x14ac:dyDescent="0.25">
      <c r="A79" s="212" t="s">
        <v>29</v>
      </c>
      <c r="B79" s="213"/>
      <c r="C79" s="214"/>
      <c r="D79" s="50">
        <f>SUM(D74:D78)</f>
        <v>0</v>
      </c>
      <c r="E79" s="86">
        <f>SUM(E74:E78)</f>
        <v>277330</v>
      </c>
      <c r="F79" s="60"/>
      <c r="G79" s="215">
        <f>SUM(G74:G78)</f>
        <v>116040.53</v>
      </c>
      <c r="H79" s="216"/>
      <c r="I79" s="212">
        <f>SUM(I74:I78)</f>
        <v>115</v>
      </c>
      <c r="J79" s="214"/>
      <c r="L79">
        <f>SUM(L74:L78)</f>
        <v>35110</v>
      </c>
    </row>
    <row r="81" spans="4:4" x14ac:dyDescent="0.25">
      <c r="D81" s="169"/>
    </row>
    <row r="82" spans="4:4" x14ac:dyDescent="0.25">
      <c r="D82" s="169"/>
    </row>
  </sheetData>
  <mergeCells count="25">
    <mergeCell ref="A75:C75"/>
    <mergeCell ref="G75:H75"/>
    <mergeCell ref="I75:J75"/>
    <mergeCell ref="A71:C71"/>
    <mergeCell ref="G71:H71"/>
    <mergeCell ref="I71:J71"/>
    <mergeCell ref="L72:U72"/>
    <mergeCell ref="A74:C74"/>
    <mergeCell ref="G74:H74"/>
    <mergeCell ref="I74:J74"/>
    <mergeCell ref="K1:L1"/>
    <mergeCell ref="G1:J1"/>
    <mergeCell ref="D59:E59"/>
    <mergeCell ref="D68:M68"/>
    <mergeCell ref="G78:H78"/>
    <mergeCell ref="I78:J78"/>
    <mergeCell ref="A79:C79"/>
    <mergeCell ref="G79:H79"/>
    <mergeCell ref="I79:J79"/>
    <mergeCell ref="A76:C76"/>
    <mergeCell ref="G76:H76"/>
    <mergeCell ref="I76:J76"/>
    <mergeCell ref="A77:C77"/>
    <mergeCell ref="G77:H77"/>
    <mergeCell ref="I77:J77"/>
  </mergeCells>
  <phoneticPr fontId="15" type="noConversion"/>
  <pageMargins left="0.7" right="0.7" top="0.75" bottom="0.75" header="0.3" footer="0.3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C30B-60FE-4803-A34A-FC87DD6C3347}">
  <sheetPr codeName="Foglio4"/>
  <dimension ref="A1:U141"/>
  <sheetViews>
    <sheetView tabSelected="1" workbookViewId="0">
      <selection activeCell="D1" sqref="D1"/>
    </sheetView>
  </sheetViews>
  <sheetFormatPr defaultRowHeight="15" x14ac:dyDescent="0.25"/>
  <cols>
    <col min="1" max="1" width="12.28515625" customWidth="1"/>
    <col min="2" max="2" width="12" customWidth="1"/>
    <col min="3" max="3" width="16.28515625" customWidth="1"/>
    <col min="4" max="4" width="33.140625" customWidth="1"/>
    <col min="5" max="5" width="21" customWidth="1"/>
    <col min="6" max="6" width="14.42578125" customWidth="1"/>
    <col min="7" max="7" width="13.85546875" customWidth="1"/>
    <col min="8" max="8" width="13.7109375" customWidth="1"/>
    <col min="9" max="9" width="12.7109375" customWidth="1"/>
    <col min="10" max="10" width="12.140625" customWidth="1"/>
    <col min="11" max="11" width="18.7109375" customWidth="1"/>
    <col min="12" max="12" width="10.7109375" customWidth="1"/>
    <col min="13" max="13" width="10.5703125" customWidth="1"/>
    <col min="14" max="14" width="11.140625" customWidth="1"/>
    <col min="15" max="15" width="10.85546875" customWidth="1"/>
  </cols>
  <sheetData>
    <row r="1" spans="1:21" ht="27" thickBot="1" x14ac:dyDescent="0.45">
      <c r="A1" s="203" t="s">
        <v>0</v>
      </c>
      <c r="B1" s="203"/>
      <c r="C1" s="203"/>
      <c r="D1" s="1">
        <v>46280</v>
      </c>
      <c r="E1" s="2"/>
      <c r="F1" s="3"/>
      <c r="G1" s="217" t="s">
        <v>47</v>
      </c>
      <c r="H1" s="218"/>
      <c r="I1" s="218"/>
      <c r="J1" s="218"/>
      <c r="K1" s="218"/>
      <c r="L1" s="218"/>
      <c r="M1" s="218"/>
      <c r="N1" s="219"/>
    </row>
    <row r="2" spans="1:21" ht="15.75" thickTop="1" x14ac:dyDescent="0.25">
      <c r="A2" s="4"/>
      <c r="B2" s="4"/>
      <c r="C2" s="4"/>
      <c r="D2" s="4"/>
      <c r="E2" s="5"/>
    </row>
    <row r="3" spans="1:21" ht="51" customHeight="1" x14ac:dyDescent="0.25">
      <c r="A3" s="6" t="s">
        <v>2</v>
      </c>
      <c r="B3" s="73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52" t="s">
        <v>31</v>
      </c>
      <c r="N3" s="136" t="s">
        <v>32</v>
      </c>
      <c r="O3" s="54" t="s">
        <v>40</v>
      </c>
      <c r="P3" s="12" t="s">
        <v>10</v>
      </c>
      <c r="Q3" s="12" t="s">
        <v>11</v>
      </c>
      <c r="R3" s="12" t="s">
        <v>12</v>
      </c>
      <c r="S3" s="12" t="s">
        <v>13</v>
      </c>
      <c r="T3" s="67" t="s">
        <v>36</v>
      </c>
      <c r="U3" s="138"/>
    </row>
    <row r="4" spans="1:21" x14ac:dyDescent="0.25">
      <c r="A4" s="108" t="s">
        <v>104</v>
      </c>
      <c r="B4" s="79" t="s">
        <v>97</v>
      </c>
      <c r="C4" s="79" t="s">
        <v>51</v>
      </c>
      <c r="D4" s="72" t="s">
        <v>98</v>
      </c>
      <c r="E4" s="72" t="s">
        <v>14</v>
      </c>
      <c r="F4" s="163"/>
      <c r="G4" s="76"/>
      <c r="H4" s="76" t="s">
        <v>180</v>
      </c>
      <c r="I4" s="76"/>
      <c r="J4" s="76">
        <f t="shared" ref="J4:J10" si="0">F4-G4</f>
        <v>0</v>
      </c>
      <c r="K4" s="195" t="s">
        <v>65</v>
      </c>
      <c r="L4" s="63"/>
      <c r="M4" s="141"/>
      <c r="N4" s="165"/>
      <c r="O4" s="142"/>
      <c r="P4" s="16">
        <v>3.0000000000000001E-3</v>
      </c>
      <c r="Q4" s="18">
        <v>0.02</v>
      </c>
      <c r="R4" s="18">
        <v>6.6600000000000006E-2</v>
      </c>
      <c r="S4" s="16">
        <v>0</v>
      </c>
      <c r="T4" s="13">
        <v>0</v>
      </c>
      <c r="U4" s="119"/>
    </row>
    <row r="5" spans="1:21" x14ac:dyDescent="0.25">
      <c r="A5" s="108" t="s">
        <v>159</v>
      </c>
      <c r="B5" s="79" t="s">
        <v>97</v>
      </c>
      <c r="C5" s="79" t="s">
        <v>52</v>
      </c>
      <c r="D5" s="72" t="s">
        <v>98</v>
      </c>
      <c r="E5" s="72" t="s">
        <v>14</v>
      </c>
      <c r="F5" s="163"/>
      <c r="G5" s="76"/>
      <c r="H5" s="76" t="s">
        <v>180</v>
      </c>
      <c r="I5" s="76"/>
      <c r="J5" s="76">
        <f t="shared" si="0"/>
        <v>0</v>
      </c>
      <c r="K5" s="195" t="s">
        <v>60</v>
      </c>
      <c r="L5" s="63"/>
      <c r="M5" s="141"/>
      <c r="N5" s="165"/>
      <c r="O5" s="142"/>
      <c r="P5" s="16">
        <v>2E-3</v>
      </c>
      <c r="Q5" s="18">
        <v>0.01</v>
      </c>
      <c r="R5" s="18">
        <v>0.1033</v>
      </c>
      <c r="S5" s="16">
        <v>0</v>
      </c>
      <c r="T5" s="13">
        <v>0</v>
      </c>
      <c r="U5" s="119"/>
    </row>
    <row r="6" spans="1:21" x14ac:dyDescent="0.25">
      <c r="A6" s="108" t="s">
        <v>159</v>
      </c>
      <c r="B6" s="79" t="s">
        <v>97</v>
      </c>
      <c r="C6" s="79" t="s">
        <v>52</v>
      </c>
      <c r="D6" s="72" t="s">
        <v>98</v>
      </c>
      <c r="E6" s="72" t="s">
        <v>14</v>
      </c>
      <c r="F6" s="163"/>
      <c r="G6" s="76"/>
      <c r="H6" s="76" t="s">
        <v>180</v>
      </c>
      <c r="I6" s="76"/>
      <c r="J6" s="76">
        <f t="shared" si="0"/>
        <v>0</v>
      </c>
      <c r="K6" s="72" t="s">
        <v>62</v>
      </c>
      <c r="L6" s="63"/>
      <c r="M6" s="141"/>
      <c r="N6" s="165"/>
      <c r="O6" s="142"/>
      <c r="P6" s="16">
        <v>2E-3</v>
      </c>
      <c r="Q6" s="18">
        <v>2.6599999999999999E-2</v>
      </c>
      <c r="R6" s="18">
        <v>7.6600000000000001E-2</v>
      </c>
      <c r="S6" s="16">
        <v>0</v>
      </c>
      <c r="T6" s="13">
        <v>0</v>
      </c>
      <c r="U6" s="119"/>
    </row>
    <row r="7" spans="1:21" x14ac:dyDescent="0.25">
      <c r="A7" s="81" t="s">
        <v>164</v>
      </c>
      <c r="B7" s="79" t="s">
        <v>97</v>
      </c>
      <c r="C7" s="170" t="s">
        <v>53</v>
      </c>
      <c r="D7" s="72" t="s">
        <v>98</v>
      </c>
      <c r="E7" s="72" t="s">
        <v>14</v>
      </c>
      <c r="F7" s="163"/>
      <c r="G7" s="76"/>
      <c r="H7" s="76"/>
      <c r="I7" s="76"/>
      <c r="J7" s="76">
        <f t="shared" si="0"/>
        <v>0</v>
      </c>
      <c r="K7" s="72" t="s">
        <v>60</v>
      </c>
      <c r="L7" s="63"/>
      <c r="M7" s="141"/>
      <c r="N7" s="165"/>
      <c r="O7" s="142"/>
      <c r="P7" s="16">
        <v>4.0000000000000001E-3</v>
      </c>
      <c r="Q7" s="18">
        <v>0.03</v>
      </c>
      <c r="R7" s="18">
        <v>6.3299999999999995E-2</v>
      </c>
      <c r="S7" s="16">
        <v>0</v>
      </c>
      <c r="T7" s="13">
        <v>0</v>
      </c>
      <c r="U7" s="119"/>
    </row>
    <row r="8" spans="1:21" x14ac:dyDescent="0.25">
      <c r="A8" s="81" t="s">
        <v>164</v>
      </c>
      <c r="B8" s="79" t="s">
        <v>97</v>
      </c>
      <c r="C8" s="170" t="s">
        <v>53</v>
      </c>
      <c r="D8" s="72" t="s">
        <v>98</v>
      </c>
      <c r="E8" s="72" t="s">
        <v>14</v>
      </c>
      <c r="F8" s="163"/>
      <c r="G8" s="76"/>
      <c r="H8" s="76"/>
      <c r="I8" s="76"/>
      <c r="J8" s="76">
        <f t="shared" si="0"/>
        <v>0</v>
      </c>
      <c r="K8" s="72" t="s">
        <v>62</v>
      </c>
      <c r="L8" s="63"/>
      <c r="M8" s="141"/>
      <c r="N8" s="165"/>
      <c r="O8" s="142"/>
      <c r="P8" s="16">
        <v>1E-3</v>
      </c>
      <c r="Q8" s="18">
        <v>3.3300000000000003E-2</v>
      </c>
      <c r="R8" s="18">
        <v>7.3300000000000004E-2</v>
      </c>
      <c r="S8" s="16">
        <v>0</v>
      </c>
      <c r="T8" s="13">
        <v>0</v>
      </c>
      <c r="U8" s="119"/>
    </row>
    <row r="9" spans="1:21" x14ac:dyDescent="0.25">
      <c r="A9" s="81"/>
      <c r="B9" s="79"/>
      <c r="C9" s="170"/>
      <c r="D9" s="72"/>
      <c r="E9" s="72"/>
      <c r="F9" s="163"/>
      <c r="G9" s="76"/>
      <c r="H9" s="76"/>
      <c r="I9" s="76"/>
      <c r="J9" s="76">
        <f t="shared" si="0"/>
        <v>0</v>
      </c>
      <c r="K9" s="72"/>
      <c r="L9" s="63"/>
      <c r="M9" s="141"/>
      <c r="N9" s="165"/>
      <c r="O9" s="142"/>
      <c r="P9" s="16"/>
      <c r="Q9" s="18"/>
      <c r="R9" s="18"/>
      <c r="S9" s="16"/>
      <c r="T9" s="13"/>
      <c r="U9" s="119"/>
    </row>
    <row r="10" spans="1:21" x14ac:dyDescent="0.25">
      <c r="A10" s="81"/>
      <c r="B10" s="77"/>
      <c r="C10" s="170"/>
      <c r="D10" s="72"/>
      <c r="E10" s="72"/>
      <c r="F10" s="163"/>
      <c r="G10" s="76"/>
      <c r="H10" s="76"/>
      <c r="I10" s="76"/>
      <c r="J10" s="76">
        <f t="shared" si="0"/>
        <v>0</v>
      </c>
      <c r="K10" s="72"/>
      <c r="L10" s="63"/>
      <c r="M10" s="140"/>
      <c r="N10" s="165"/>
      <c r="O10" s="53"/>
      <c r="P10" s="16"/>
      <c r="Q10" s="18"/>
      <c r="R10" s="18"/>
      <c r="S10" s="16"/>
      <c r="T10" s="13"/>
      <c r="U10" s="119"/>
    </row>
    <row r="11" spans="1:21" x14ac:dyDescent="0.25">
      <c r="A11" s="19"/>
      <c r="B11" s="74"/>
      <c r="C11" s="96"/>
      <c r="D11" s="20"/>
      <c r="E11" s="97"/>
      <c r="F11" s="98"/>
      <c r="G11" s="98"/>
      <c r="H11" s="98"/>
      <c r="I11" s="98"/>
      <c r="J11" s="98"/>
      <c r="K11" s="21"/>
      <c r="L11" s="14"/>
      <c r="M11" s="143"/>
      <c r="N11" s="15"/>
      <c r="O11" s="53"/>
      <c r="P11" s="16"/>
      <c r="Q11" s="17"/>
      <c r="R11" s="17"/>
      <c r="S11" s="17"/>
      <c r="T11" s="13"/>
      <c r="U11" s="119"/>
    </row>
    <row r="12" spans="1:21" x14ac:dyDescent="0.25">
      <c r="A12" s="19"/>
      <c r="B12" s="74"/>
      <c r="C12" s="96"/>
      <c r="D12" s="20" t="s">
        <v>180</v>
      </c>
      <c r="E12" s="97" t="s">
        <v>229</v>
      </c>
      <c r="F12" s="98"/>
      <c r="G12" s="98"/>
      <c r="H12" s="98"/>
      <c r="I12" s="98"/>
      <c r="J12" s="98"/>
      <c r="K12" s="21"/>
      <c r="L12" s="14"/>
      <c r="M12" s="143"/>
      <c r="N12" s="15"/>
      <c r="O12" s="53"/>
      <c r="P12" s="16"/>
      <c r="Q12" s="17"/>
      <c r="R12" s="17"/>
      <c r="S12" s="17"/>
      <c r="T12" s="13"/>
      <c r="U12" s="119"/>
    </row>
    <row r="13" spans="1:21" x14ac:dyDescent="0.25">
      <c r="A13" s="112"/>
      <c r="B13" s="96"/>
      <c r="C13" s="99"/>
      <c r="D13" s="100"/>
      <c r="E13" s="120"/>
      <c r="F13" s="98"/>
      <c r="G13" s="98"/>
      <c r="H13" s="98"/>
      <c r="I13" s="98"/>
      <c r="J13" s="98"/>
      <c r="K13" s="21"/>
      <c r="L13" s="22"/>
      <c r="M13" s="143"/>
      <c r="N13" s="15"/>
      <c r="O13" s="53"/>
      <c r="P13" s="13"/>
      <c r="Q13" s="13"/>
      <c r="R13" s="13"/>
      <c r="S13" s="13"/>
      <c r="T13" s="13"/>
      <c r="U13" s="119"/>
    </row>
    <row r="14" spans="1:21" x14ac:dyDescent="0.25">
      <c r="A14" s="112"/>
      <c r="B14" s="112"/>
      <c r="C14" s="99"/>
      <c r="D14" s="100"/>
      <c r="E14" s="97"/>
      <c r="F14" s="98"/>
      <c r="G14" s="98"/>
      <c r="H14" s="98"/>
      <c r="I14" s="98"/>
      <c r="J14" s="98"/>
      <c r="K14" s="21"/>
      <c r="L14" s="22"/>
      <c r="M14" s="143"/>
      <c r="N14" s="15"/>
      <c r="O14" s="53"/>
      <c r="P14" s="13"/>
      <c r="Q14" s="13"/>
      <c r="R14" s="13"/>
      <c r="S14" s="13"/>
      <c r="T14" s="13"/>
      <c r="U14" s="119"/>
    </row>
    <row r="15" spans="1:21" x14ac:dyDescent="0.25">
      <c r="A15" s="112"/>
      <c r="B15" s="112"/>
      <c r="C15" s="99"/>
      <c r="D15" s="100"/>
      <c r="E15" s="97"/>
      <c r="F15" s="98"/>
      <c r="G15" s="98"/>
      <c r="H15" s="98"/>
      <c r="I15" s="98"/>
      <c r="J15" s="98"/>
      <c r="K15" s="21"/>
      <c r="L15" s="22"/>
      <c r="M15" s="143"/>
      <c r="N15" s="15"/>
      <c r="O15" s="53"/>
      <c r="P15" s="13"/>
      <c r="Q15" s="13"/>
      <c r="R15" s="13"/>
      <c r="S15" s="13"/>
      <c r="T15" s="13"/>
      <c r="U15" s="119"/>
    </row>
    <row r="16" spans="1:21" x14ac:dyDescent="0.25">
      <c r="A16" s="113"/>
      <c r="B16" s="111"/>
      <c r="C16" s="70"/>
      <c r="D16" s="23" t="s">
        <v>15</v>
      </c>
      <c r="E16" s="51" t="s">
        <v>14</v>
      </c>
      <c r="F16" s="23">
        <f>SUM(F4:F15)</f>
        <v>0</v>
      </c>
      <c r="G16" s="23">
        <f>SUM(G4:G15)</f>
        <v>0</v>
      </c>
      <c r="H16" s="23"/>
      <c r="I16" s="23"/>
      <c r="J16" s="23">
        <f>F16-G16</f>
        <v>0</v>
      </c>
      <c r="K16" s="24" t="s">
        <v>16</v>
      </c>
      <c r="L16" s="25">
        <f>SUM(L4:L10)</f>
        <v>0</v>
      </c>
      <c r="M16" s="25">
        <f>SUM(M4:M10)</f>
        <v>0</v>
      </c>
      <c r="N16" s="25">
        <f>SUM(N4:N13)</f>
        <v>0</v>
      </c>
      <c r="O16" s="25">
        <f>SUM(O4:O10)</f>
        <v>0</v>
      </c>
      <c r="P16" s="26"/>
      <c r="Q16" s="26"/>
      <c r="R16" s="26"/>
      <c r="S16" s="26"/>
      <c r="T16" s="26"/>
      <c r="U16" s="119"/>
    </row>
    <row r="17" spans="1:21" x14ac:dyDescent="0.25">
      <c r="A17" s="108" t="s">
        <v>159</v>
      </c>
      <c r="B17" s="79" t="s">
        <v>97</v>
      </c>
      <c r="C17" s="79" t="s">
        <v>52</v>
      </c>
      <c r="D17" s="72" t="s">
        <v>98</v>
      </c>
      <c r="E17" s="72" t="s">
        <v>17</v>
      </c>
      <c r="F17" s="167"/>
      <c r="G17" s="70"/>
      <c r="H17" s="70" t="s">
        <v>180</v>
      </c>
      <c r="I17" s="70"/>
      <c r="J17" s="76">
        <f t="shared" ref="J17:J46" si="1">F17-G17</f>
        <v>0</v>
      </c>
      <c r="K17" s="195" t="s">
        <v>94</v>
      </c>
      <c r="L17" s="63"/>
      <c r="M17" s="140"/>
      <c r="N17" s="165"/>
      <c r="O17" s="95"/>
      <c r="P17" s="18">
        <v>2E-3</v>
      </c>
      <c r="Q17" s="18">
        <v>3.6600000000000001E-2</v>
      </c>
      <c r="R17" s="18">
        <v>0.1</v>
      </c>
      <c r="S17" s="18">
        <v>0</v>
      </c>
      <c r="T17" s="26">
        <v>0</v>
      </c>
      <c r="U17" s="119"/>
    </row>
    <row r="18" spans="1:21" x14ac:dyDescent="0.25">
      <c r="A18" s="108" t="s">
        <v>159</v>
      </c>
      <c r="B18" s="79" t="s">
        <v>97</v>
      </c>
      <c r="C18" s="79" t="s">
        <v>52</v>
      </c>
      <c r="D18" s="72" t="s">
        <v>98</v>
      </c>
      <c r="E18" s="72" t="s">
        <v>17</v>
      </c>
      <c r="F18" s="167"/>
      <c r="G18" s="70"/>
      <c r="H18" s="70" t="s">
        <v>180</v>
      </c>
      <c r="I18" s="70"/>
      <c r="J18" s="76">
        <f t="shared" si="1"/>
        <v>0</v>
      </c>
      <c r="K18" s="195" t="s">
        <v>95</v>
      </c>
      <c r="L18" s="63"/>
      <c r="M18" s="140"/>
      <c r="N18" s="165"/>
      <c r="O18" s="95"/>
      <c r="P18" s="18">
        <v>1E-3</v>
      </c>
      <c r="Q18" s="18">
        <v>3.3300000000000003E-2</v>
      </c>
      <c r="R18" s="18">
        <v>0.1033</v>
      </c>
      <c r="S18" s="18">
        <v>0</v>
      </c>
      <c r="T18" s="26">
        <v>0</v>
      </c>
      <c r="U18" s="119"/>
    </row>
    <row r="19" spans="1:21" x14ac:dyDescent="0.25">
      <c r="A19" s="108" t="s">
        <v>159</v>
      </c>
      <c r="B19" s="79" t="s">
        <v>97</v>
      </c>
      <c r="C19" s="79" t="s">
        <v>52</v>
      </c>
      <c r="D19" s="72" t="s">
        <v>98</v>
      </c>
      <c r="E19" s="72" t="s">
        <v>17</v>
      </c>
      <c r="F19" s="167"/>
      <c r="G19" s="70"/>
      <c r="H19" s="70" t="s">
        <v>278</v>
      </c>
      <c r="I19" s="70"/>
      <c r="J19" s="76">
        <f t="shared" si="1"/>
        <v>0</v>
      </c>
      <c r="K19" s="195" t="s">
        <v>118</v>
      </c>
      <c r="L19" s="63"/>
      <c r="M19" s="140"/>
      <c r="N19" s="165"/>
      <c r="O19" s="95"/>
      <c r="P19" s="18">
        <v>1E-3</v>
      </c>
      <c r="Q19" s="18">
        <v>0.04</v>
      </c>
      <c r="R19" s="18">
        <v>0.1366</v>
      </c>
      <c r="S19" s="18">
        <v>0</v>
      </c>
      <c r="T19" s="26">
        <v>0</v>
      </c>
      <c r="U19" s="119"/>
    </row>
    <row r="20" spans="1:21" x14ac:dyDescent="0.25">
      <c r="A20" s="108" t="s">
        <v>164</v>
      </c>
      <c r="B20" s="79" t="s">
        <v>97</v>
      </c>
      <c r="C20" s="79" t="s">
        <v>53</v>
      </c>
      <c r="D20" s="72" t="s">
        <v>98</v>
      </c>
      <c r="E20" s="72" t="s">
        <v>17</v>
      </c>
      <c r="F20" s="167"/>
      <c r="G20" s="70"/>
      <c r="H20" s="70" t="s">
        <v>180</v>
      </c>
      <c r="I20" s="70"/>
      <c r="J20" s="76">
        <f t="shared" si="1"/>
        <v>0</v>
      </c>
      <c r="K20" s="195" t="s">
        <v>63</v>
      </c>
      <c r="L20" s="63"/>
      <c r="M20" s="140"/>
      <c r="N20" s="165"/>
      <c r="O20" s="95"/>
      <c r="P20" s="18">
        <v>0</v>
      </c>
      <c r="Q20" s="18">
        <v>3.3300000000000003E-2</v>
      </c>
      <c r="R20" s="18">
        <v>0.1</v>
      </c>
      <c r="S20" s="18">
        <v>0</v>
      </c>
      <c r="T20" s="26">
        <v>0</v>
      </c>
      <c r="U20" s="119"/>
    </row>
    <row r="21" spans="1:21" x14ac:dyDescent="0.25">
      <c r="A21" s="108" t="s">
        <v>164</v>
      </c>
      <c r="B21" s="79" t="s">
        <v>97</v>
      </c>
      <c r="C21" s="79" t="s">
        <v>53</v>
      </c>
      <c r="D21" s="72" t="s">
        <v>98</v>
      </c>
      <c r="E21" s="72" t="s">
        <v>17</v>
      </c>
      <c r="F21" s="167"/>
      <c r="G21" s="70"/>
      <c r="H21" s="70" t="s">
        <v>180</v>
      </c>
      <c r="I21" s="70"/>
      <c r="J21" s="76">
        <f t="shared" si="1"/>
        <v>0</v>
      </c>
      <c r="K21" s="195" t="s">
        <v>64</v>
      </c>
      <c r="L21" s="63"/>
      <c r="M21" s="140"/>
      <c r="N21" s="165"/>
      <c r="O21" s="95"/>
      <c r="P21" s="18">
        <v>2E-3</v>
      </c>
      <c r="Q21" s="18">
        <v>0.03</v>
      </c>
      <c r="R21" s="18">
        <v>6.3299999999999995E-2</v>
      </c>
      <c r="S21" s="18">
        <v>0</v>
      </c>
      <c r="T21" s="26">
        <v>0</v>
      </c>
      <c r="U21" s="119"/>
    </row>
    <row r="22" spans="1:21" x14ac:dyDescent="0.25">
      <c r="A22" s="108" t="s">
        <v>164</v>
      </c>
      <c r="B22" s="79" t="s">
        <v>97</v>
      </c>
      <c r="C22" s="79" t="s">
        <v>53</v>
      </c>
      <c r="D22" s="72" t="s">
        <v>98</v>
      </c>
      <c r="E22" s="72" t="s">
        <v>17</v>
      </c>
      <c r="F22" s="167"/>
      <c r="G22" s="70"/>
      <c r="H22" s="70" t="s">
        <v>278</v>
      </c>
      <c r="I22" s="70"/>
      <c r="J22" s="76">
        <f t="shared" si="1"/>
        <v>0</v>
      </c>
      <c r="K22" s="195" t="s">
        <v>68</v>
      </c>
      <c r="L22" s="63"/>
      <c r="M22" s="140"/>
      <c r="N22" s="165"/>
      <c r="O22" s="95"/>
      <c r="P22" s="18">
        <v>2E-3</v>
      </c>
      <c r="Q22" s="18">
        <v>3.6600000000000001E-2</v>
      </c>
      <c r="R22" s="18">
        <v>0.1066</v>
      </c>
      <c r="S22" s="18">
        <v>0</v>
      </c>
      <c r="T22" s="26">
        <v>0</v>
      </c>
      <c r="U22" s="119"/>
    </row>
    <row r="23" spans="1:21" x14ac:dyDescent="0.25">
      <c r="A23" s="108" t="s">
        <v>164</v>
      </c>
      <c r="B23" s="79" t="s">
        <v>97</v>
      </c>
      <c r="C23" s="79" t="s">
        <v>53</v>
      </c>
      <c r="D23" s="72" t="s">
        <v>98</v>
      </c>
      <c r="E23" s="72" t="s">
        <v>17</v>
      </c>
      <c r="F23" s="167"/>
      <c r="G23" s="70"/>
      <c r="H23" s="70" t="s">
        <v>180</v>
      </c>
      <c r="I23" s="70"/>
      <c r="J23" s="76">
        <f t="shared" si="1"/>
        <v>0</v>
      </c>
      <c r="K23" s="195" t="s">
        <v>69</v>
      </c>
      <c r="L23" s="63"/>
      <c r="M23" s="140"/>
      <c r="N23" s="165"/>
      <c r="O23" s="95"/>
      <c r="P23" s="18">
        <v>2E-3</v>
      </c>
      <c r="Q23" s="18">
        <v>0.03</v>
      </c>
      <c r="R23" s="18">
        <v>0.1133</v>
      </c>
      <c r="S23" s="18">
        <v>0</v>
      </c>
      <c r="T23" s="26">
        <v>0</v>
      </c>
      <c r="U23" s="119"/>
    </row>
    <row r="24" spans="1:21" x14ac:dyDescent="0.25">
      <c r="A24" s="108" t="s">
        <v>164</v>
      </c>
      <c r="B24" s="79" t="s">
        <v>97</v>
      </c>
      <c r="C24" s="79" t="s">
        <v>53</v>
      </c>
      <c r="D24" s="72" t="s">
        <v>98</v>
      </c>
      <c r="E24" s="72" t="s">
        <v>17</v>
      </c>
      <c r="F24" s="167"/>
      <c r="G24" s="70"/>
      <c r="H24" s="70" t="s">
        <v>180</v>
      </c>
      <c r="I24" s="70"/>
      <c r="J24" s="76">
        <f t="shared" si="1"/>
        <v>0</v>
      </c>
      <c r="K24" s="72" t="s">
        <v>70</v>
      </c>
      <c r="L24" s="63"/>
      <c r="M24" s="140"/>
      <c r="N24" s="165"/>
      <c r="O24" s="95"/>
      <c r="P24" s="18">
        <v>1E-3</v>
      </c>
      <c r="Q24" s="18">
        <v>2.6599999999999999E-2</v>
      </c>
      <c r="R24" s="18">
        <v>0.1</v>
      </c>
      <c r="S24" s="18">
        <v>0</v>
      </c>
      <c r="T24" s="26">
        <v>0</v>
      </c>
      <c r="U24" s="119"/>
    </row>
    <row r="25" spans="1:21" x14ac:dyDescent="0.25">
      <c r="A25" s="108" t="s">
        <v>164</v>
      </c>
      <c r="B25" s="79" t="s">
        <v>97</v>
      </c>
      <c r="C25" s="79" t="s">
        <v>53</v>
      </c>
      <c r="D25" s="72" t="s">
        <v>98</v>
      </c>
      <c r="E25" s="72" t="s">
        <v>17</v>
      </c>
      <c r="F25" s="167"/>
      <c r="G25" s="70"/>
      <c r="H25" s="70" t="s">
        <v>180</v>
      </c>
      <c r="I25" s="70"/>
      <c r="J25" s="76">
        <f t="shared" si="1"/>
        <v>0</v>
      </c>
      <c r="K25" s="195" t="s">
        <v>71</v>
      </c>
      <c r="L25" s="63"/>
      <c r="M25" s="140"/>
      <c r="N25" s="165"/>
      <c r="O25" s="95"/>
      <c r="P25" s="18">
        <v>2E-3</v>
      </c>
      <c r="Q25" s="18">
        <v>3.3300000000000003E-2</v>
      </c>
      <c r="R25" s="18">
        <v>8.6599999999999996E-2</v>
      </c>
      <c r="S25" s="18">
        <v>0</v>
      </c>
      <c r="T25" s="26">
        <v>0</v>
      </c>
      <c r="U25" s="119"/>
    </row>
    <row r="26" spans="1:21" x14ac:dyDescent="0.25">
      <c r="A26" s="108" t="s">
        <v>164</v>
      </c>
      <c r="B26" s="79" t="s">
        <v>97</v>
      </c>
      <c r="C26" s="79" t="s">
        <v>53</v>
      </c>
      <c r="D26" s="72" t="s">
        <v>98</v>
      </c>
      <c r="E26" s="72" t="s">
        <v>17</v>
      </c>
      <c r="F26" s="167"/>
      <c r="G26" s="70"/>
      <c r="H26" s="70" t="s">
        <v>278</v>
      </c>
      <c r="I26" s="70"/>
      <c r="J26" s="76">
        <f t="shared" si="1"/>
        <v>0</v>
      </c>
      <c r="K26" s="72" t="s">
        <v>72</v>
      </c>
      <c r="L26" s="63"/>
      <c r="M26" s="140"/>
      <c r="N26" s="165"/>
      <c r="O26" s="95"/>
      <c r="P26" s="18">
        <v>2E-3</v>
      </c>
      <c r="Q26" s="18">
        <v>0.05</v>
      </c>
      <c r="R26" s="18">
        <v>0.1</v>
      </c>
      <c r="S26" s="18">
        <v>0</v>
      </c>
      <c r="T26" s="26">
        <v>0</v>
      </c>
      <c r="U26" s="119"/>
    </row>
    <row r="27" spans="1:21" x14ac:dyDescent="0.25">
      <c r="A27" s="108" t="s">
        <v>164</v>
      </c>
      <c r="B27" s="79" t="s">
        <v>97</v>
      </c>
      <c r="C27" s="79" t="s">
        <v>53</v>
      </c>
      <c r="D27" s="72" t="s">
        <v>98</v>
      </c>
      <c r="E27" s="72" t="s">
        <v>17</v>
      </c>
      <c r="F27" s="167"/>
      <c r="G27" s="70"/>
      <c r="H27" s="70" t="s">
        <v>278</v>
      </c>
      <c r="I27" s="70"/>
      <c r="J27" s="76">
        <f t="shared" si="1"/>
        <v>0</v>
      </c>
      <c r="K27" s="72" t="s">
        <v>73</v>
      </c>
      <c r="L27" s="63"/>
      <c r="M27" s="140"/>
      <c r="N27" s="165"/>
      <c r="O27" s="95"/>
      <c r="P27" s="18">
        <v>3.0000000000000001E-3</v>
      </c>
      <c r="Q27" s="18">
        <v>4.3299999999999998E-2</v>
      </c>
      <c r="R27" s="18">
        <v>0.1033</v>
      </c>
      <c r="S27" s="18">
        <v>0</v>
      </c>
      <c r="T27" s="26">
        <v>0</v>
      </c>
      <c r="U27" s="119"/>
    </row>
    <row r="28" spans="1:21" x14ac:dyDescent="0.25">
      <c r="A28" s="108" t="s">
        <v>164</v>
      </c>
      <c r="B28" s="79" t="s">
        <v>97</v>
      </c>
      <c r="C28" s="79" t="s">
        <v>53</v>
      </c>
      <c r="D28" s="72" t="s">
        <v>98</v>
      </c>
      <c r="E28" s="72" t="s">
        <v>17</v>
      </c>
      <c r="F28" s="167"/>
      <c r="G28" s="70"/>
      <c r="H28" s="70" t="s">
        <v>278</v>
      </c>
      <c r="I28" s="70"/>
      <c r="J28" s="76">
        <f t="shared" si="1"/>
        <v>0</v>
      </c>
      <c r="K28" s="72" t="s">
        <v>92</v>
      </c>
      <c r="L28" s="63"/>
      <c r="M28" s="140"/>
      <c r="N28" s="165"/>
      <c r="O28" s="95"/>
      <c r="P28" s="18">
        <v>2E-3</v>
      </c>
      <c r="Q28" s="18">
        <v>4.3299999999999998E-2</v>
      </c>
      <c r="R28" s="18">
        <v>0.1133</v>
      </c>
      <c r="S28" s="18">
        <v>0</v>
      </c>
      <c r="T28" s="26">
        <v>0</v>
      </c>
      <c r="U28" s="119"/>
    </row>
    <row r="29" spans="1:21" x14ac:dyDescent="0.25">
      <c r="A29" s="108" t="s">
        <v>164</v>
      </c>
      <c r="B29" s="79" t="s">
        <v>97</v>
      </c>
      <c r="C29" s="79" t="s">
        <v>53</v>
      </c>
      <c r="D29" s="72" t="s">
        <v>98</v>
      </c>
      <c r="E29" s="72" t="s">
        <v>17</v>
      </c>
      <c r="F29" s="167"/>
      <c r="G29" s="70"/>
      <c r="H29" s="70" t="s">
        <v>278</v>
      </c>
      <c r="I29" s="70"/>
      <c r="J29" s="76">
        <f t="shared" si="1"/>
        <v>0</v>
      </c>
      <c r="K29" s="72" t="s">
        <v>93</v>
      </c>
      <c r="L29" s="63"/>
      <c r="M29" s="140"/>
      <c r="N29" s="165"/>
      <c r="O29" s="95"/>
      <c r="P29" s="18">
        <v>1E-3</v>
      </c>
      <c r="Q29" s="18">
        <v>0.04</v>
      </c>
      <c r="R29" s="18">
        <v>0.12659999999999999</v>
      </c>
      <c r="S29" s="18">
        <v>0</v>
      </c>
      <c r="T29" s="26">
        <v>0</v>
      </c>
      <c r="U29" s="119"/>
    </row>
    <row r="30" spans="1:21" x14ac:dyDescent="0.25">
      <c r="A30" s="108" t="s">
        <v>167</v>
      </c>
      <c r="B30" s="79" t="s">
        <v>97</v>
      </c>
      <c r="C30" s="79" t="s">
        <v>77</v>
      </c>
      <c r="D30" s="72" t="s">
        <v>98</v>
      </c>
      <c r="E30" s="72" t="s">
        <v>17</v>
      </c>
      <c r="F30" s="167"/>
      <c r="G30" s="70"/>
      <c r="H30" s="70" t="s">
        <v>180</v>
      </c>
      <c r="I30" s="70"/>
      <c r="J30" s="76">
        <f t="shared" si="1"/>
        <v>0</v>
      </c>
      <c r="K30" s="195" t="s">
        <v>63</v>
      </c>
      <c r="L30" s="63"/>
      <c r="M30" s="140"/>
      <c r="N30" s="165"/>
      <c r="O30" s="95"/>
      <c r="P30" s="18">
        <v>2E-3</v>
      </c>
      <c r="Q30" s="18">
        <v>4.6600000000000003E-2</v>
      </c>
      <c r="R30" s="18">
        <v>0.14330000000000001</v>
      </c>
      <c r="S30" s="18">
        <v>0</v>
      </c>
      <c r="T30" s="26">
        <v>0</v>
      </c>
      <c r="U30" s="119"/>
    </row>
    <row r="31" spans="1:21" x14ac:dyDescent="0.25">
      <c r="A31" s="108" t="s">
        <v>167</v>
      </c>
      <c r="B31" s="79" t="s">
        <v>97</v>
      </c>
      <c r="C31" s="79" t="s">
        <v>77</v>
      </c>
      <c r="D31" s="72" t="s">
        <v>98</v>
      </c>
      <c r="E31" s="72" t="s">
        <v>17</v>
      </c>
      <c r="F31" s="167"/>
      <c r="G31" s="70"/>
      <c r="H31" s="70" t="s">
        <v>180</v>
      </c>
      <c r="I31" s="70"/>
      <c r="J31" s="76">
        <f t="shared" si="1"/>
        <v>0</v>
      </c>
      <c r="K31" s="195" t="s">
        <v>64</v>
      </c>
      <c r="L31" s="63"/>
      <c r="M31" s="140"/>
      <c r="N31" s="165"/>
      <c r="O31" s="95"/>
      <c r="P31" s="18">
        <v>0</v>
      </c>
      <c r="Q31" s="18">
        <v>0.03</v>
      </c>
      <c r="R31" s="18">
        <v>0.13</v>
      </c>
      <c r="S31" s="18">
        <v>0</v>
      </c>
      <c r="T31" s="26">
        <v>0</v>
      </c>
      <c r="U31" s="119"/>
    </row>
    <row r="32" spans="1:21" x14ac:dyDescent="0.25">
      <c r="A32" s="108" t="s">
        <v>167</v>
      </c>
      <c r="B32" s="79" t="s">
        <v>97</v>
      </c>
      <c r="C32" s="79" t="s">
        <v>77</v>
      </c>
      <c r="D32" s="72" t="s">
        <v>98</v>
      </c>
      <c r="E32" s="72" t="s">
        <v>17</v>
      </c>
      <c r="F32" s="167"/>
      <c r="G32" s="70"/>
      <c r="H32" s="70" t="s">
        <v>180</v>
      </c>
      <c r="I32" s="70"/>
      <c r="J32" s="76">
        <f t="shared" si="1"/>
        <v>0</v>
      </c>
      <c r="K32" s="195" t="s">
        <v>68</v>
      </c>
      <c r="L32" s="63"/>
      <c r="M32" s="140"/>
      <c r="N32" s="165"/>
      <c r="O32" s="95"/>
      <c r="P32" s="18">
        <v>1E-3</v>
      </c>
      <c r="Q32" s="18">
        <v>0.02</v>
      </c>
      <c r="R32" s="18">
        <v>5.6599999999999998E-2</v>
      </c>
      <c r="S32" s="18">
        <v>0</v>
      </c>
      <c r="T32" s="26">
        <v>0</v>
      </c>
      <c r="U32" s="119"/>
    </row>
    <row r="33" spans="1:21" x14ac:dyDescent="0.25">
      <c r="A33" s="108" t="s">
        <v>167</v>
      </c>
      <c r="B33" s="79" t="s">
        <v>97</v>
      </c>
      <c r="C33" s="79" t="s">
        <v>77</v>
      </c>
      <c r="D33" s="72" t="s">
        <v>98</v>
      </c>
      <c r="E33" s="72" t="s">
        <v>17</v>
      </c>
      <c r="F33" s="167"/>
      <c r="G33" s="70"/>
      <c r="H33" s="70" t="s">
        <v>180</v>
      </c>
      <c r="I33" s="70"/>
      <c r="J33" s="76">
        <f t="shared" si="1"/>
        <v>0</v>
      </c>
      <c r="K33" s="195" t="s">
        <v>69</v>
      </c>
      <c r="L33" s="63"/>
      <c r="M33" s="140"/>
      <c r="N33" s="165"/>
      <c r="O33" s="95"/>
      <c r="P33" s="18">
        <v>1E-3</v>
      </c>
      <c r="Q33" s="18">
        <v>1.3299999999999999E-2</v>
      </c>
      <c r="R33" s="18">
        <v>5.33E-2</v>
      </c>
      <c r="S33" s="18">
        <v>0</v>
      </c>
      <c r="T33" s="26">
        <v>0</v>
      </c>
      <c r="U33" s="119"/>
    </row>
    <row r="34" spans="1:21" x14ac:dyDescent="0.25">
      <c r="A34" s="108" t="s">
        <v>167</v>
      </c>
      <c r="B34" s="79" t="s">
        <v>97</v>
      </c>
      <c r="C34" s="79" t="s">
        <v>77</v>
      </c>
      <c r="D34" s="72" t="s">
        <v>98</v>
      </c>
      <c r="E34" s="72" t="s">
        <v>17</v>
      </c>
      <c r="F34" s="167">
        <v>962</v>
      </c>
      <c r="G34" s="70"/>
      <c r="H34" s="70"/>
      <c r="I34" s="70"/>
      <c r="J34" s="76">
        <f t="shared" si="1"/>
        <v>962</v>
      </c>
      <c r="K34" s="195" t="s">
        <v>70</v>
      </c>
      <c r="L34" s="63"/>
      <c r="M34" s="140"/>
      <c r="N34" s="165">
        <v>962</v>
      </c>
      <c r="O34" s="95"/>
      <c r="P34" s="18"/>
      <c r="Q34" s="18"/>
      <c r="R34" s="18"/>
      <c r="S34" s="18"/>
      <c r="T34" s="26"/>
      <c r="U34" s="119"/>
    </row>
    <row r="35" spans="1:21" x14ac:dyDescent="0.25">
      <c r="A35" s="108"/>
      <c r="B35" s="79"/>
      <c r="C35" s="79"/>
      <c r="D35" s="72"/>
      <c r="E35" s="72"/>
      <c r="F35" s="167"/>
      <c r="G35" s="70"/>
      <c r="H35" s="70"/>
      <c r="I35" s="70"/>
      <c r="J35" s="76"/>
      <c r="K35" s="195"/>
      <c r="L35" s="63"/>
      <c r="M35" s="140"/>
      <c r="N35" s="165"/>
      <c r="O35" s="95"/>
      <c r="P35" s="18"/>
      <c r="Q35" s="18"/>
      <c r="R35" s="18"/>
      <c r="S35" s="18"/>
      <c r="T35" s="26"/>
      <c r="U35" s="119"/>
    </row>
    <row r="36" spans="1:21" x14ac:dyDescent="0.25">
      <c r="A36" s="108" t="s">
        <v>304</v>
      </c>
      <c r="B36" s="79" t="s">
        <v>305</v>
      </c>
      <c r="C36" s="79" t="s">
        <v>77</v>
      </c>
      <c r="D36" s="72" t="s">
        <v>98</v>
      </c>
      <c r="E36" s="72" t="s">
        <v>17</v>
      </c>
      <c r="F36" s="167">
        <v>1000</v>
      </c>
      <c r="G36" s="70"/>
      <c r="H36" s="70" t="s">
        <v>306</v>
      </c>
      <c r="I36" s="70"/>
      <c r="J36" s="76">
        <f t="shared" si="1"/>
        <v>1000</v>
      </c>
      <c r="K36" s="195" t="s">
        <v>63</v>
      </c>
      <c r="L36" s="63"/>
      <c r="M36" s="140"/>
      <c r="N36" s="165">
        <v>1000</v>
      </c>
      <c r="O36" s="95"/>
      <c r="P36" s="18">
        <v>6.0000000000000001E-3</v>
      </c>
      <c r="Q36" s="18">
        <v>4.6600000000000003E-2</v>
      </c>
      <c r="R36" s="18">
        <v>9.3299999999999994E-2</v>
      </c>
      <c r="S36" s="18">
        <v>0</v>
      </c>
      <c r="T36" s="26">
        <v>0</v>
      </c>
      <c r="U36" s="119"/>
    </row>
    <row r="37" spans="1:21" x14ac:dyDescent="0.25">
      <c r="A37" s="108" t="s">
        <v>304</v>
      </c>
      <c r="B37" s="79" t="s">
        <v>305</v>
      </c>
      <c r="C37" s="79" t="s">
        <v>77</v>
      </c>
      <c r="D37" s="72" t="s">
        <v>98</v>
      </c>
      <c r="E37" s="72" t="s">
        <v>17</v>
      </c>
      <c r="F37" s="167">
        <v>1000</v>
      </c>
      <c r="G37" s="70"/>
      <c r="H37" s="70" t="s">
        <v>306</v>
      </c>
      <c r="I37" s="70"/>
      <c r="J37" s="76">
        <f t="shared" si="1"/>
        <v>1000</v>
      </c>
      <c r="K37" s="195" t="s">
        <v>64</v>
      </c>
      <c r="L37" s="63"/>
      <c r="M37" s="140"/>
      <c r="N37" s="165">
        <v>1000</v>
      </c>
      <c r="O37" s="95"/>
      <c r="P37" s="18">
        <v>6.0000000000000001E-3</v>
      </c>
      <c r="Q37" s="18">
        <v>4.6600000000000003E-2</v>
      </c>
      <c r="R37" s="18">
        <v>9.3299999999999994E-2</v>
      </c>
      <c r="S37" s="18">
        <v>0</v>
      </c>
      <c r="T37" s="26">
        <v>0</v>
      </c>
      <c r="U37" s="119"/>
    </row>
    <row r="38" spans="1:21" x14ac:dyDescent="0.25">
      <c r="A38" s="108" t="s">
        <v>304</v>
      </c>
      <c r="B38" s="79" t="s">
        <v>305</v>
      </c>
      <c r="C38" s="79" t="s">
        <v>77</v>
      </c>
      <c r="D38" s="72" t="s">
        <v>98</v>
      </c>
      <c r="E38" s="72" t="s">
        <v>17</v>
      </c>
      <c r="F38" s="167">
        <v>877</v>
      </c>
      <c r="G38" s="70"/>
      <c r="H38" s="70" t="s">
        <v>306</v>
      </c>
      <c r="I38" s="70"/>
      <c r="J38" s="76">
        <f t="shared" si="1"/>
        <v>877</v>
      </c>
      <c r="K38" s="195" t="s">
        <v>68</v>
      </c>
      <c r="L38" s="63"/>
      <c r="M38" s="140"/>
      <c r="N38" s="165">
        <v>877</v>
      </c>
      <c r="O38" s="95"/>
      <c r="P38" s="18">
        <v>6.0000000000000001E-3</v>
      </c>
      <c r="Q38" s="18">
        <v>4.6600000000000003E-2</v>
      </c>
      <c r="R38" s="18">
        <v>9.3299999999999994E-2</v>
      </c>
      <c r="S38" s="18">
        <v>0</v>
      </c>
      <c r="T38" s="26">
        <v>0</v>
      </c>
      <c r="U38" s="119"/>
    </row>
    <row r="39" spans="1:21" x14ac:dyDescent="0.25">
      <c r="A39" s="108" t="s">
        <v>304</v>
      </c>
      <c r="B39" s="79" t="s">
        <v>305</v>
      </c>
      <c r="C39" s="79" t="s">
        <v>53</v>
      </c>
      <c r="D39" s="72" t="s">
        <v>98</v>
      </c>
      <c r="E39" s="72" t="s">
        <v>17</v>
      </c>
      <c r="F39" s="167">
        <v>1000</v>
      </c>
      <c r="G39" s="70"/>
      <c r="H39" s="70" t="s">
        <v>306</v>
      </c>
      <c r="I39" s="70"/>
      <c r="J39" s="76">
        <f t="shared" si="1"/>
        <v>1000</v>
      </c>
      <c r="K39" s="195" t="s">
        <v>63</v>
      </c>
      <c r="L39" s="63"/>
      <c r="M39" s="140"/>
      <c r="N39" s="165">
        <v>1000</v>
      </c>
      <c r="O39" s="95"/>
      <c r="P39" s="18">
        <v>6.0000000000000001E-3</v>
      </c>
      <c r="Q39" s="18">
        <v>4.6600000000000003E-2</v>
      </c>
      <c r="R39" s="18">
        <v>9.3299999999999994E-2</v>
      </c>
      <c r="S39" s="18">
        <v>0</v>
      </c>
      <c r="T39" s="26">
        <v>0</v>
      </c>
      <c r="U39" s="119"/>
    </row>
    <row r="40" spans="1:21" x14ac:dyDescent="0.25">
      <c r="A40" s="108" t="s">
        <v>304</v>
      </c>
      <c r="B40" s="79" t="s">
        <v>305</v>
      </c>
      <c r="C40" s="79" t="s">
        <v>53</v>
      </c>
      <c r="D40" s="72" t="s">
        <v>98</v>
      </c>
      <c r="E40" s="72" t="s">
        <v>17</v>
      </c>
      <c r="F40" s="167">
        <v>1000</v>
      </c>
      <c r="G40" s="70"/>
      <c r="H40" s="70" t="s">
        <v>306</v>
      </c>
      <c r="I40" s="70"/>
      <c r="J40" s="76">
        <f t="shared" si="1"/>
        <v>1000</v>
      </c>
      <c r="K40" s="195" t="s">
        <v>64</v>
      </c>
      <c r="L40" s="63"/>
      <c r="M40" s="140"/>
      <c r="N40" s="165">
        <v>1000</v>
      </c>
      <c r="O40" s="95"/>
      <c r="P40" s="18">
        <v>6.0000000000000001E-3</v>
      </c>
      <c r="Q40" s="18">
        <v>4.6600000000000003E-2</v>
      </c>
      <c r="R40" s="18">
        <v>9.3299999999999994E-2</v>
      </c>
      <c r="S40" s="18">
        <v>0</v>
      </c>
      <c r="T40" s="26">
        <v>0</v>
      </c>
      <c r="U40" s="119"/>
    </row>
    <row r="41" spans="1:21" x14ac:dyDescent="0.25">
      <c r="A41" s="108" t="s">
        <v>304</v>
      </c>
      <c r="B41" s="79" t="s">
        <v>305</v>
      </c>
      <c r="C41" s="79" t="s">
        <v>53</v>
      </c>
      <c r="D41" s="72" t="s">
        <v>98</v>
      </c>
      <c r="E41" s="72" t="s">
        <v>17</v>
      </c>
      <c r="F41" s="167">
        <v>1000</v>
      </c>
      <c r="G41" s="70"/>
      <c r="H41" s="70" t="s">
        <v>306</v>
      </c>
      <c r="I41" s="70"/>
      <c r="J41" s="76">
        <f t="shared" si="1"/>
        <v>1000</v>
      </c>
      <c r="K41" s="195" t="s">
        <v>68</v>
      </c>
      <c r="L41" s="63"/>
      <c r="M41" s="140"/>
      <c r="N41" s="165">
        <v>1000</v>
      </c>
      <c r="O41" s="95"/>
      <c r="P41" s="18">
        <v>6.0000000000000001E-3</v>
      </c>
      <c r="Q41" s="18">
        <v>4.6600000000000003E-2</v>
      </c>
      <c r="R41" s="18">
        <v>9.3299999999999994E-2</v>
      </c>
      <c r="S41" s="18">
        <v>0</v>
      </c>
      <c r="T41" s="26">
        <v>0</v>
      </c>
      <c r="U41" s="119"/>
    </row>
    <row r="42" spans="1:21" x14ac:dyDescent="0.25">
      <c r="A42" s="108" t="s">
        <v>304</v>
      </c>
      <c r="B42" s="79" t="s">
        <v>305</v>
      </c>
      <c r="C42" s="79" t="s">
        <v>53</v>
      </c>
      <c r="D42" s="72" t="s">
        <v>98</v>
      </c>
      <c r="E42" s="72" t="s">
        <v>17</v>
      </c>
      <c r="F42" s="167">
        <v>859</v>
      </c>
      <c r="G42" s="70"/>
      <c r="H42" s="70" t="s">
        <v>306</v>
      </c>
      <c r="I42" s="70"/>
      <c r="J42" s="76">
        <f t="shared" si="1"/>
        <v>859</v>
      </c>
      <c r="K42" s="195" t="s">
        <v>69</v>
      </c>
      <c r="L42" s="63"/>
      <c r="M42" s="140"/>
      <c r="N42" s="165">
        <v>859</v>
      </c>
      <c r="O42" s="95"/>
      <c r="P42" s="18">
        <v>6.0000000000000001E-3</v>
      </c>
      <c r="Q42" s="18">
        <v>4.6600000000000003E-2</v>
      </c>
      <c r="R42" s="18">
        <v>9.3299999999999994E-2</v>
      </c>
      <c r="S42" s="18">
        <v>0</v>
      </c>
      <c r="T42" s="26">
        <v>0</v>
      </c>
      <c r="U42" s="119"/>
    </row>
    <row r="43" spans="1:21" x14ac:dyDescent="0.25">
      <c r="A43" s="108"/>
      <c r="B43" s="79"/>
      <c r="C43" s="79"/>
      <c r="D43" s="72"/>
      <c r="E43" s="72"/>
      <c r="F43" s="167"/>
      <c r="G43" s="70"/>
      <c r="H43" s="70"/>
      <c r="I43" s="70"/>
      <c r="J43" s="76"/>
      <c r="K43" s="195"/>
      <c r="L43" s="63"/>
      <c r="M43" s="140"/>
      <c r="N43" s="165"/>
      <c r="O43" s="95"/>
      <c r="P43" s="18"/>
      <c r="Q43" s="18"/>
      <c r="R43" s="18"/>
      <c r="S43" s="18"/>
      <c r="T43" s="26"/>
      <c r="U43" s="119"/>
    </row>
    <row r="44" spans="1:21" x14ac:dyDescent="0.25">
      <c r="A44" s="108"/>
      <c r="B44" s="79"/>
      <c r="C44" s="79"/>
      <c r="D44" s="72"/>
      <c r="E44" s="72"/>
      <c r="F44" s="167"/>
      <c r="G44" s="70"/>
      <c r="H44" s="70"/>
      <c r="I44" s="70"/>
      <c r="J44" s="76"/>
      <c r="K44" s="195"/>
      <c r="L44" s="63"/>
      <c r="M44" s="140"/>
      <c r="N44" s="165"/>
      <c r="O44" s="95"/>
      <c r="P44" s="18"/>
      <c r="Q44" s="18"/>
      <c r="R44" s="18"/>
      <c r="S44" s="18"/>
      <c r="T44" s="26"/>
      <c r="U44" s="119"/>
    </row>
    <row r="45" spans="1:21" x14ac:dyDescent="0.25">
      <c r="A45" s="108"/>
      <c r="B45" s="79"/>
      <c r="C45" s="79"/>
      <c r="D45" s="72"/>
      <c r="E45" s="72"/>
      <c r="F45" s="167"/>
      <c r="G45" s="70"/>
      <c r="H45" s="70"/>
      <c r="I45" s="70"/>
      <c r="J45" s="76"/>
      <c r="K45" s="195"/>
      <c r="L45" s="63"/>
      <c r="M45" s="140"/>
      <c r="N45" s="165"/>
      <c r="O45" s="95"/>
      <c r="P45" s="18"/>
      <c r="Q45" s="18"/>
      <c r="R45" s="18"/>
      <c r="S45" s="18"/>
      <c r="T45" s="26"/>
      <c r="U45" s="119"/>
    </row>
    <row r="46" spans="1:21" x14ac:dyDescent="0.25">
      <c r="A46" s="108"/>
      <c r="B46" s="79"/>
      <c r="C46" s="79"/>
      <c r="D46" s="72"/>
      <c r="E46" s="72"/>
      <c r="F46" s="167"/>
      <c r="G46" s="70"/>
      <c r="H46" s="70"/>
      <c r="I46" s="70"/>
      <c r="J46" s="76">
        <f t="shared" si="1"/>
        <v>0</v>
      </c>
      <c r="K46" s="72"/>
      <c r="L46" s="63"/>
      <c r="M46" s="140"/>
      <c r="N46" s="165"/>
      <c r="O46" s="95"/>
      <c r="P46" s="18"/>
      <c r="Q46" s="18"/>
      <c r="R46" s="18"/>
      <c r="S46" s="18"/>
      <c r="T46" s="26"/>
      <c r="U46" s="119"/>
    </row>
    <row r="47" spans="1:21" x14ac:dyDescent="0.25">
      <c r="A47" s="114"/>
      <c r="B47" s="78"/>
      <c r="C47" s="30"/>
      <c r="D47" s="31" t="s">
        <v>18</v>
      </c>
      <c r="E47" s="32"/>
      <c r="F47" s="104"/>
      <c r="G47" s="104"/>
      <c r="H47" s="104"/>
      <c r="I47" s="104"/>
      <c r="J47" s="104"/>
      <c r="K47" s="33"/>
      <c r="L47" s="27"/>
      <c r="M47" s="140"/>
      <c r="N47" s="103"/>
      <c r="O47" s="95"/>
      <c r="P47" s="18"/>
      <c r="Q47" s="18"/>
      <c r="R47" s="18"/>
      <c r="S47" s="18"/>
      <c r="T47" s="26"/>
      <c r="U47" s="119"/>
    </row>
    <row r="48" spans="1:21" x14ac:dyDescent="0.25">
      <c r="A48" s="114"/>
      <c r="B48" s="78"/>
      <c r="C48" s="30"/>
      <c r="D48" s="31"/>
      <c r="E48" s="32"/>
      <c r="F48" s="104"/>
      <c r="G48" s="104"/>
      <c r="H48" s="104"/>
      <c r="I48" s="104"/>
      <c r="J48" s="104"/>
      <c r="K48" s="33"/>
      <c r="L48" s="27"/>
      <c r="M48" s="140"/>
      <c r="N48" s="103"/>
      <c r="O48" s="95"/>
      <c r="P48" s="18"/>
      <c r="Q48" s="18"/>
      <c r="R48" s="18"/>
      <c r="S48" s="18"/>
      <c r="T48" s="26"/>
      <c r="U48" s="119"/>
    </row>
    <row r="49" spans="1:21" x14ac:dyDescent="0.25">
      <c r="A49" s="114"/>
      <c r="B49" s="78"/>
      <c r="C49" s="30"/>
      <c r="D49" s="31" t="s">
        <v>99</v>
      </c>
      <c r="E49" s="32"/>
      <c r="F49" s="104"/>
      <c r="G49" s="104">
        <v>0</v>
      </c>
      <c r="H49" s="104"/>
      <c r="I49" s="104" t="s">
        <v>100</v>
      </c>
      <c r="J49" s="104"/>
      <c r="K49" s="33"/>
      <c r="L49" s="27"/>
      <c r="M49" s="140"/>
      <c r="N49" s="103"/>
      <c r="O49" s="95"/>
      <c r="P49" s="18"/>
      <c r="Q49" s="18"/>
      <c r="R49" s="18"/>
      <c r="S49" s="18"/>
      <c r="T49" s="26"/>
      <c r="U49" s="119"/>
    </row>
    <row r="50" spans="1:21" x14ac:dyDescent="0.25">
      <c r="A50" s="114"/>
      <c r="B50" s="78"/>
      <c r="C50" s="30"/>
      <c r="D50" s="31" t="s">
        <v>123</v>
      </c>
      <c r="E50" s="32"/>
      <c r="F50" s="104"/>
      <c r="G50" s="104">
        <v>0</v>
      </c>
      <c r="H50" s="104"/>
      <c r="I50" s="104" t="s">
        <v>100</v>
      </c>
      <c r="J50" s="104"/>
      <c r="K50" s="33"/>
      <c r="L50" s="27"/>
      <c r="M50" s="140"/>
      <c r="N50" s="103"/>
      <c r="O50" s="95"/>
      <c r="P50" s="18"/>
      <c r="Q50" s="18"/>
      <c r="R50" s="18"/>
      <c r="S50" s="18"/>
      <c r="T50" s="26"/>
      <c r="U50" s="119"/>
    </row>
    <row r="51" spans="1:21" x14ac:dyDescent="0.25">
      <c r="A51" s="114"/>
      <c r="B51" s="78"/>
      <c r="C51" s="30"/>
      <c r="D51" s="31" t="s">
        <v>157</v>
      </c>
      <c r="E51" s="32"/>
      <c r="F51" s="104"/>
      <c r="G51" s="104">
        <v>0</v>
      </c>
      <c r="H51" s="104"/>
      <c r="I51" s="104" t="s">
        <v>100</v>
      </c>
      <c r="J51" s="104"/>
      <c r="K51" s="33"/>
      <c r="L51" s="27"/>
      <c r="M51" s="140"/>
      <c r="N51" s="103"/>
      <c r="O51" s="95"/>
      <c r="P51" s="18"/>
      <c r="Q51" s="18"/>
      <c r="R51" s="18"/>
      <c r="S51" s="18"/>
      <c r="T51" s="26"/>
      <c r="U51" s="119"/>
    </row>
    <row r="52" spans="1:21" x14ac:dyDescent="0.25">
      <c r="A52" s="114"/>
      <c r="B52" s="78"/>
      <c r="C52" s="30"/>
      <c r="D52" s="31" t="s">
        <v>180</v>
      </c>
      <c r="E52" s="32" t="s">
        <v>227</v>
      </c>
      <c r="F52" s="104"/>
      <c r="G52" s="104"/>
      <c r="H52" s="104"/>
      <c r="I52" s="104"/>
      <c r="J52" s="104"/>
      <c r="K52" s="33"/>
      <c r="L52" s="27"/>
      <c r="M52" s="140"/>
      <c r="N52" s="103"/>
      <c r="O52" s="95"/>
      <c r="P52" s="18"/>
      <c r="Q52" s="18"/>
      <c r="R52" s="18"/>
      <c r="S52" s="18"/>
      <c r="T52" s="26"/>
      <c r="U52" s="119"/>
    </row>
    <row r="53" spans="1:21" x14ac:dyDescent="0.25">
      <c r="A53" s="114"/>
      <c r="B53" s="78"/>
      <c r="C53" s="78"/>
      <c r="D53" s="121"/>
      <c r="E53" s="83"/>
      <c r="F53" s="104"/>
      <c r="G53" s="104"/>
      <c r="H53" s="110"/>
      <c r="I53" s="105"/>
      <c r="J53" s="104"/>
      <c r="K53" s="33"/>
      <c r="L53" s="27"/>
      <c r="M53" s="140"/>
      <c r="N53" s="103"/>
      <c r="O53" s="95"/>
      <c r="P53" s="18"/>
      <c r="Q53" s="18"/>
      <c r="R53" s="18"/>
      <c r="S53" s="18"/>
      <c r="T53" s="26"/>
      <c r="U53" s="119"/>
    </row>
    <row r="54" spans="1:21" x14ac:dyDescent="0.25">
      <c r="A54" s="70"/>
      <c r="B54" s="79"/>
      <c r="C54" s="79"/>
      <c r="D54" s="23" t="s">
        <v>15</v>
      </c>
      <c r="E54" s="51" t="s">
        <v>17</v>
      </c>
      <c r="F54" s="23">
        <f>SUM(F17:F47)</f>
        <v>7698</v>
      </c>
      <c r="G54" s="23">
        <f>SUM(G17:G53)</f>
        <v>0</v>
      </c>
      <c r="H54" s="23"/>
      <c r="I54" s="23"/>
      <c r="J54" s="23">
        <f>F54-G54</f>
        <v>7698</v>
      </c>
      <c r="K54" s="24" t="s">
        <v>16</v>
      </c>
      <c r="L54" s="25">
        <f>SUM(L17:L46)</f>
        <v>0</v>
      </c>
      <c r="M54" s="25">
        <f>SUM(M17:M46)</f>
        <v>0</v>
      </c>
      <c r="N54" s="25">
        <f>SUM(N17:N47)</f>
        <v>7698</v>
      </c>
      <c r="O54" s="25">
        <f>SUM(O17:O46)</f>
        <v>0</v>
      </c>
      <c r="P54" s="26"/>
      <c r="Q54" s="26"/>
      <c r="R54" s="26"/>
      <c r="S54" s="26"/>
      <c r="T54" s="26"/>
      <c r="U54" s="119"/>
    </row>
    <row r="55" spans="1:21" x14ac:dyDescent="0.25">
      <c r="A55" s="108" t="s">
        <v>159</v>
      </c>
      <c r="B55" s="79" t="s">
        <v>97</v>
      </c>
      <c r="C55" s="79" t="s">
        <v>52</v>
      </c>
      <c r="D55" s="72" t="s">
        <v>98</v>
      </c>
      <c r="E55" s="93" t="s">
        <v>19</v>
      </c>
      <c r="F55" s="58"/>
      <c r="G55" s="70"/>
      <c r="H55" s="70"/>
      <c r="I55" s="70"/>
      <c r="J55" s="70">
        <f t="shared" ref="J55:J91" si="2">F55-G55</f>
        <v>0</v>
      </c>
      <c r="K55" s="72" t="s">
        <v>120</v>
      </c>
      <c r="L55" s="63"/>
      <c r="M55" s="65"/>
      <c r="N55" s="66"/>
      <c r="O55" s="95"/>
      <c r="P55" s="18">
        <v>2E-3</v>
      </c>
      <c r="Q55" s="18">
        <v>0.04</v>
      </c>
      <c r="R55" s="18">
        <v>0.12330000000000001</v>
      </c>
      <c r="S55" s="18">
        <v>0</v>
      </c>
      <c r="T55" s="26">
        <v>0</v>
      </c>
      <c r="U55" s="119"/>
    </row>
    <row r="56" spans="1:21" x14ac:dyDescent="0.25">
      <c r="A56" s="108" t="s">
        <v>159</v>
      </c>
      <c r="B56" s="79" t="s">
        <v>97</v>
      </c>
      <c r="C56" s="79" t="s">
        <v>52</v>
      </c>
      <c r="D56" s="72" t="s">
        <v>98</v>
      </c>
      <c r="E56" s="93" t="s">
        <v>19</v>
      </c>
      <c r="F56" s="58"/>
      <c r="G56" s="70"/>
      <c r="H56" s="70"/>
      <c r="I56" s="70"/>
      <c r="J56" s="70">
        <f t="shared" si="2"/>
        <v>0</v>
      </c>
      <c r="K56" s="72" t="s">
        <v>124</v>
      </c>
      <c r="L56" s="63"/>
      <c r="M56" s="65"/>
      <c r="N56" s="66"/>
      <c r="O56" s="95"/>
      <c r="P56" s="18">
        <v>1E-3</v>
      </c>
      <c r="Q56" s="18">
        <v>0.04</v>
      </c>
      <c r="R56" s="18">
        <v>0.1633</v>
      </c>
      <c r="S56" s="18">
        <v>0</v>
      </c>
      <c r="T56" s="26">
        <v>0</v>
      </c>
      <c r="U56" s="119"/>
    </row>
    <row r="57" spans="1:21" x14ac:dyDescent="0.25">
      <c r="A57" s="108" t="s">
        <v>164</v>
      </c>
      <c r="B57" s="79" t="s">
        <v>97</v>
      </c>
      <c r="C57" s="79" t="s">
        <v>53</v>
      </c>
      <c r="D57" s="72" t="s">
        <v>98</v>
      </c>
      <c r="E57" s="93" t="s">
        <v>19</v>
      </c>
      <c r="F57" s="58">
        <v>1000</v>
      </c>
      <c r="G57" s="70"/>
      <c r="H57" s="70" t="s">
        <v>303</v>
      </c>
      <c r="I57" s="70"/>
      <c r="J57" s="70">
        <f t="shared" si="2"/>
        <v>1000</v>
      </c>
      <c r="K57" s="195" t="s">
        <v>63</v>
      </c>
      <c r="L57" s="63"/>
      <c r="M57" s="65"/>
      <c r="N57" s="66">
        <v>1000</v>
      </c>
      <c r="O57" s="95"/>
      <c r="P57" s="18">
        <v>2E-3</v>
      </c>
      <c r="Q57" s="18">
        <v>0.03</v>
      </c>
      <c r="R57" s="18">
        <v>0.12659999999999999</v>
      </c>
      <c r="S57" s="18">
        <v>0</v>
      </c>
      <c r="T57" s="26">
        <v>0</v>
      </c>
      <c r="U57" s="119"/>
    </row>
    <row r="58" spans="1:21" x14ac:dyDescent="0.25">
      <c r="A58" s="108" t="s">
        <v>164</v>
      </c>
      <c r="B58" s="79" t="s">
        <v>97</v>
      </c>
      <c r="C58" s="79" t="s">
        <v>53</v>
      </c>
      <c r="D58" s="72" t="s">
        <v>98</v>
      </c>
      <c r="E58" s="93" t="s">
        <v>19</v>
      </c>
      <c r="F58" s="58"/>
      <c r="G58" s="70"/>
      <c r="H58" s="70"/>
      <c r="I58" s="70"/>
      <c r="J58" s="70">
        <f t="shared" si="2"/>
        <v>0</v>
      </c>
      <c r="K58" s="72" t="s">
        <v>64</v>
      </c>
      <c r="L58" s="63"/>
      <c r="M58" s="65"/>
      <c r="N58" s="66"/>
      <c r="O58" s="95"/>
      <c r="P58" s="18">
        <v>1E-3</v>
      </c>
      <c r="Q58" s="18">
        <v>2.6599999999999999E-2</v>
      </c>
      <c r="R58" s="18">
        <v>7.0000000000000007E-2</v>
      </c>
      <c r="S58" s="18">
        <v>0</v>
      </c>
      <c r="T58" s="26">
        <v>0</v>
      </c>
      <c r="U58" s="119"/>
    </row>
    <row r="59" spans="1:21" x14ac:dyDescent="0.25">
      <c r="A59" s="108" t="s">
        <v>164</v>
      </c>
      <c r="B59" s="79" t="s">
        <v>97</v>
      </c>
      <c r="C59" s="79" t="s">
        <v>53</v>
      </c>
      <c r="D59" s="72" t="s">
        <v>98</v>
      </c>
      <c r="E59" s="93" t="s">
        <v>19</v>
      </c>
      <c r="F59" s="58"/>
      <c r="G59" s="70"/>
      <c r="H59" s="70"/>
      <c r="I59" s="70"/>
      <c r="J59" s="70">
        <f t="shared" si="2"/>
        <v>0</v>
      </c>
      <c r="K59" s="72" t="s">
        <v>68</v>
      </c>
      <c r="L59" s="63"/>
      <c r="M59" s="65"/>
      <c r="N59" s="66"/>
      <c r="O59" s="95"/>
      <c r="P59" s="18">
        <v>0</v>
      </c>
      <c r="Q59" s="18">
        <v>0.05</v>
      </c>
      <c r="R59" s="18">
        <v>0.1166</v>
      </c>
      <c r="S59" s="18">
        <v>0</v>
      </c>
      <c r="T59" s="26">
        <v>0</v>
      </c>
      <c r="U59" s="119"/>
    </row>
    <row r="60" spans="1:21" x14ac:dyDescent="0.25">
      <c r="A60" s="108" t="s">
        <v>164</v>
      </c>
      <c r="B60" s="79" t="s">
        <v>97</v>
      </c>
      <c r="C60" s="79" t="s">
        <v>53</v>
      </c>
      <c r="D60" s="72" t="s">
        <v>98</v>
      </c>
      <c r="E60" s="93" t="s">
        <v>19</v>
      </c>
      <c r="F60" s="58"/>
      <c r="G60" s="70"/>
      <c r="H60" s="70" t="s">
        <v>180</v>
      </c>
      <c r="I60" s="70"/>
      <c r="J60" s="70">
        <f t="shared" si="2"/>
        <v>0</v>
      </c>
      <c r="K60" s="195" t="s">
        <v>69</v>
      </c>
      <c r="L60" s="63"/>
      <c r="M60" s="65"/>
      <c r="N60" s="66"/>
      <c r="O60" s="95"/>
      <c r="P60" s="18">
        <v>0</v>
      </c>
      <c r="Q60" s="18">
        <v>0.03</v>
      </c>
      <c r="R60" s="18">
        <v>0.1166</v>
      </c>
      <c r="S60" s="18">
        <v>0</v>
      </c>
      <c r="T60" s="26">
        <v>0</v>
      </c>
      <c r="U60" s="119"/>
    </row>
    <row r="61" spans="1:21" x14ac:dyDescent="0.25">
      <c r="A61" s="108" t="s">
        <v>164</v>
      </c>
      <c r="B61" s="79" t="s">
        <v>97</v>
      </c>
      <c r="C61" s="79" t="s">
        <v>53</v>
      </c>
      <c r="D61" s="72" t="s">
        <v>98</v>
      </c>
      <c r="E61" s="93" t="s">
        <v>19</v>
      </c>
      <c r="F61" s="58"/>
      <c r="G61" s="70"/>
      <c r="H61" s="70"/>
      <c r="I61" s="70"/>
      <c r="J61" s="70">
        <f t="shared" si="2"/>
        <v>0</v>
      </c>
      <c r="K61" s="72" t="s">
        <v>70</v>
      </c>
      <c r="L61" s="63"/>
      <c r="M61" s="65"/>
      <c r="N61" s="66"/>
      <c r="O61" s="95"/>
      <c r="P61" s="18">
        <v>1E-3</v>
      </c>
      <c r="Q61" s="18">
        <v>4.3299999999999998E-2</v>
      </c>
      <c r="R61" s="18">
        <v>0.11</v>
      </c>
      <c r="S61" s="18">
        <v>0</v>
      </c>
      <c r="T61" s="26">
        <v>0</v>
      </c>
      <c r="U61" s="119"/>
    </row>
    <row r="62" spans="1:21" x14ac:dyDescent="0.25">
      <c r="A62" s="108" t="s">
        <v>164</v>
      </c>
      <c r="B62" s="79" t="s">
        <v>97</v>
      </c>
      <c r="C62" s="79" t="s">
        <v>53</v>
      </c>
      <c r="D62" s="72" t="s">
        <v>98</v>
      </c>
      <c r="E62" s="93" t="s">
        <v>19</v>
      </c>
      <c r="F62" s="58"/>
      <c r="G62" s="70"/>
      <c r="H62" s="70" t="s">
        <v>180</v>
      </c>
      <c r="I62" s="70"/>
      <c r="J62" s="70">
        <f t="shared" si="2"/>
        <v>0</v>
      </c>
      <c r="K62" s="72" t="s">
        <v>71</v>
      </c>
      <c r="L62" s="63"/>
      <c r="M62" s="65"/>
      <c r="N62" s="66"/>
      <c r="O62" s="95"/>
      <c r="P62" s="18">
        <v>1E-3</v>
      </c>
      <c r="Q62" s="18">
        <v>3.6600000000000001E-2</v>
      </c>
      <c r="R62" s="18">
        <v>9.6600000000000005E-2</v>
      </c>
      <c r="S62" s="18">
        <v>0</v>
      </c>
      <c r="T62" s="26">
        <v>0</v>
      </c>
      <c r="U62" s="119"/>
    </row>
    <row r="63" spans="1:21" x14ac:dyDescent="0.25">
      <c r="A63" s="108" t="s">
        <v>164</v>
      </c>
      <c r="B63" s="79" t="s">
        <v>97</v>
      </c>
      <c r="C63" s="79" t="s">
        <v>53</v>
      </c>
      <c r="D63" s="72" t="s">
        <v>98</v>
      </c>
      <c r="E63" s="93" t="s">
        <v>19</v>
      </c>
      <c r="F63" s="58"/>
      <c r="G63" s="70"/>
      <c r="H63" s="70" t="s">
        <v>180</v>
      </c>
      <c r="I63" s="70"/>
      <c r="J63" s="70">
        <f t="shared" si="2"/>
        <v>0</v>
      </c>
      <c r="K63" s="195" t="s">
        <v>72</v>
      </c>
      <c r="L63" s="63"/>
      <c r="M63" s="65"/>
      <c r="N63" s="66"/>
      <c r="O63" s="95"/>
      <c r="P63" s="18">
        <v>0</v>
      </c>
      <c r="Q63" s="18">
        <v>0.02</v>
      </c>
      <c r="R63" s="18">
        <v>0.1033</v>
      </c>
      <c r="S63" s="18">
        <v>0</v>
      </c>
      <c r="T63" s="26">
        <v>0</v>
      </c>
      <c r="U63" s="119"/>
    </row>
    <row r="64" spans="1:21" x14ac:dyDescent="0.25">
      <c r="A64" s="108" t="s">
        <v>164</v>
      </c>
      <c r="B64" s="79" t="s">
        <v>97</v>
      </c>
      <c r="C64" s="79" t="s">
        <v>53</v>
      </c>
      <c r="D64" s="72" t="s">
        <v>98</v>
      </c>
      <c r="E64" s="93" t="s">
        <v>19</v>
      </c>
      <c r="F64" s="58"/>
      <c r="G64" s="70"/>
      <c r="H64" s="70"/>
      <c r="I64" s="70"/>
      <c r="J64" s="70">
        <f t="shared" si="2"/>
        <v>0</v>
      </c>
      <c r="K64" s="72" t="s">
        <v>73</v>
      </c>
      <c r="L64" s="63"/>
      <c r="M64" s="65"/>
      <c r="N64" s="66"/>
      <c r="O64" s="95"/>
      <c r="P64" s="18">
        <v>0</v>
      </c>
      <c r="Q64" s="18">
        <v>0.04</v>
      </c>
      <c r="R64" s="18">
        <v>0.09</v>
      </c>
      <c r="S64" s="18">
        <v>0</v>
      </c>
      <c r="T64" s="26">
        <v>0</v>
      </c>
      <c r="U64" s="119"/>
    </row>
    <row r="65" spans="1:21" x14ac:dyDescent="0.25">
      <c r="A65" s="108" t="s">
        <v>164</v>
      </c>
      <c r="B65" s="79" t="s">
        <v>97</v>
      </c>
      <c r="C65" s="79" t="s">
        <v>53</v>
      </c>
      <c r="D65" s="72" t="s">
        <v>98</v>
      </c>
      <c r="E65" s="93" t="s">
        <v>19</v>
      </c>
      <c r="F65" s="58"/>
      <c r="G65" s="70"/>
      <c r="H65" s="70" t="s">
        <v>278</v>
      </c>
      <c r="I65" s="70"/>
      <c r="J65" s="70">
        <f t="shared" si="2"/>
        <v>0</v>
      </c>
      <c r="K65" s="72" t="s">
        <v>92</v>
      </c>
      <c r="L65" s="63"/>
      <c r="M65" s="65"/>
      <c r="N65" s="66"/>
      <c r="O65" s="95"/>
      <c r="P65" s="18">
        <v>2E-3</v>
      </c>
      <c r="Q65" s="18">
        <v>4.6600000000000003E-2</v>
      </c>
      <c r="R65" s="18">
        <v>6.6600000000000006E-2</v>
      </c>
      <c r="S65" s="18">
        <v>0</v>
      </c>
      <c r="T65" s="26">
        <v>0</v>
      </c>
      <c r="U65" s="119"/>
    </row>
    <row r="66" spans="1:21" x14ac:dyDescent="0.25">
      <c r="A66" s="108" t="s">
        <v>164</v>
      </c>
      <c r="B66" s="79" t="s">
        <v>97</v>
      </c>
      <c r="C66" s="79" t="s">
        <v>53</v>
      </c>
      <c r="D66" s="72" t="s">
        <v>98</v>
      </c>
      <c r="E66" s="93" t="s">
        <v>19</v>
      </c>
      <c r="F66" s="58"/>
      <c r="G66" s="70"/>
      <c r="H66" s="70" t="s">
        <v>278</v>
      </c>
      <c r="I66" s="70"/>
      <c r="J66" s="70">
        <f t="shared" si="2"/>
        <v>0</v>
      </c>
      <c r="K66" s="72" t="s">
        <v>93</v>
      </c>
      <c r="L66" s="63"/>
      <c r="M66" s="65"/>
      <c r="N66" s="66"/>
      <c r="O66" s="95"/>
      <c r="P66" s="18">
        <v>2E-3</v>
      </c>
      <c r="Q66" s="18">
        <v>0.04</v>
      </c>
      <c r="R66" s="18">
        <v>9.6600000000000005E-2</v>
      </c>
      <c r="S66" s="18">
        <v>0</v>
      </c>
      <c r="T66" s="26">
        <v>0</v>
      </c>
      <c r="U66" s="119"/>
    </row>
    <row r="67" spans="1:21" x14ac:dyDescent="0.25">
      <c r="A67" s="108" t="s">
        <v>164</v>
      </c>
      <c r="B67" s="79" t="s">
        <v>97</v>
      </c>
      <c r="C67" s="79" t="s">
        <v>53</v>
      </c>
      <c r="D67" s="72" t="s">
        <v>98</v>
      </c>
      <c r="E67" s="93" t="s">
        <v>19</v>
      </c>
      <c r="F67" s="58"/>
      <c r="G67" s="70"/>
      <c r="H67" s="70" t="s">
        <v>278</v>
      </c>
      <c r="I67" s="70"/>
      <c r="J67" s="70">
        <f t="shared" si="2"/>
        <v>0</v>
      </c>
      <c r="K67" s="72" t="s">
        <v>94</v>
      </c>
      <c r="L67" s="63"/>
      <c r="M67" s="65"/>
      <c r="N67" s="66"/>
      <c r="O67" s="95"/>
      <c r="P67" s="18">
        <v>2E-3</v>
      </c>
      <c r="Q67" s="18">
        <v>4.3299999999999998E-2</v>
      </c>
      <c r="R67" s="18">
        <v>9.3299999999999994E-2</v>
      </c>
      <c r="S67" s="18">
        <v>0</v>
      </c>
      <c r="T67" s="26">
        <v>0</v>
      </c>
      <c r="U67" s="119"/>
    </row>
    <row r="68" spans="1:21" x14ac:dyDescent="0.25">
      <c r="A68" s="108" t="s">
        <v>164</v>
      </c>
      <c r="B68" s="79" t="s">
        <v>97</v>
      </c>
      <c r="C68" s="79" t="s">
        <v>53</v>
      </c>
      <c r="D68" s="72" t="s">
        <v>98</v>
      </c>
      <c r="E68" s="93" t="s">
        <v>19</v>
      </c>
      <c r="F68" s="58"/>
      <c r="G68" s="70"/>
      <c r="H68" s="70" t="s">
        <v>278</v>
      </c>
      <c r="I68" s="70"/>
      <c r="J68" s="70">
        <f t="shared" si="2"/>
        <v>0</v>
      </c>
      <c r="K68" s="72" t="s">
        <v>95</v>
      </c>
      <c r="L68" s="63"/>
      <c r="M68" s="65"/>
      <c r="N68" s="66"/>
      <c r="O68" s="95"/>
      <c r="P68" s="18">
        <v>2E-3</v>
      </c>
      <c r="Q68" s="18">
        <v>5.33E-2</v>
      </c>
      <c r="R68" s="18">
        <v>0.1066</v>
      </c>
      <c r="S68" s="18">
        <v>0</v>
      </c>
      <c r="T68" s="26">
        <v>0</v>
      </c>
      <c r="U68" s="119"/>
    </row>
    <row r="69" spans="1:21" x14ac:dyDescent="0.25">
      <c r="A69" s="108" t="s">
        <v>164</v>
      </c>
      <c r="B69" s="79" t="s">
        <v>97</v>
      </c>
      <c r="C69" s="79" t="s">
        <v>53</v>
      </c>
      <c r="D69" s="72" t="s">
        <v>98</v>
      </c>
      <c r="E69" s="93" t="s">
        <v>19</v>
      </c>
      <c r="F69" s="58"/>
      <c r="G69" s="70"/>
      <c r="H69" s="70" t="s">
        <v>278</v>
      </c>
      <c r="I69" s="70"/>
      <c r="J69" s="70">
        <f t="shared" si="2"/>
        <v>0</v>
      </c>
      <c r="K69" s="72" t="s">
        <v>118</v>
      </c>
      <c r="L69" s="63"/>
      <c r="M69" s="65"/>
      <c r="N69" s="66"/>
      <c r="O69" s="95"/>
      <c r="P69" s="18">
        <v>0</v>
      </c>
      <c r="Q69" s="18">
        <v>4.3299999999999998E-2</v>
      </c>
      <c r="R69" s="18">
        <v>0.14000000000000001</v>
      </c>
      <c r="S69" s="18">
        <v>0</v>
      </c>
      <c r="T69" s="26">
        <v>0</v>
      </c>
      <c r="U69" s="119"/>
    </row>
    <row r="70" spans="1:21" x14ac:dyDescent="0.25">
      <c r="A70" s="108" t="s">
        <v>164</v>
      </c>
      <c r="B70" s="79" t="s">
        <v>97</v>
      </c>
      <c r="C70" s="79" t="s">
        <v>53</v>
      </c>
      <c r="D70" s="72" t="s">
        <v>98</v>
      </c>
      <c r="E70" s="93" t="s">
        <v>19</v>
      </c>
      <c r="F70" s="58"/>
      <c r="G70" s="70"/>
      <c r="H70" s="70" t="s">
        <v>278</v>
      </c>
      <c r="I70" s="70"/>
      <c r="J70" s="70">
        <f t="shared" si="2"/>
        <v>0</v>
      </c>
      <c r="K70" s="72" t="s">
        <v>119</v>
      </c>
      <c r="L70" s="63"/>
      <c r="M70" s="65"/>
      <c r="N70" s="66"/>
      <c r="O70" s="95"/>
      <c r="P70" s="18">
        <v>1E-3</v>
      </c>
      <c r="Q70" s="18">
        <v>0.05</v>
      </c>
      <c r="R70" s="18">
        <v>0.12659999999999999</v>
      </c>
      <c r="S70" s="18">
        <v>0</v>
      </c>
      <c r="T70" s="26">
        <v>0</v>
      </c>
      <c r="U70" s="119"/>
    </row>
    <row r="71" spans="1:21" x14ac:dyDescent="0.25">
      <c r="A71" s="108" t="s">
        <v>164</v>
      </c>
      <c r="B71" s="79" t="s">
        <v>97</v>
      </c>
      <c r="C71" s="79" t="s">
        <v>53</v>
      </c>
      <c r="D71" s="72" t="s">
        <v>98</v>
      </c>
      <c r="E71" s="93" t="s">
        <v>19</v>
      </c>
      <c r="F71" s="58"/>
      <c r="G71" s="70"/>
      <c r="H71" s="70"/>
      <c r="I71" s="70"/>
      <c r="J71" s="70">
        <f t="shared" si="2"/>
        <v>0</v>
      </c>
      <c r="K71" s="72" t="s">
        <v>120</v>
      </c>
      <c r="L71" s="63"/>
      <c r="M71" s="65"/>
      <c r="N71" s="66"/>
      <c r="O71" s="95"/>
      <c r="P71" s="18">
        <v>1E-3</v>
      </c>
      <c r="Q71" s="18">
        <v>4.6600000000000003E-2</v>
      </c>
      <c r="R71" s="18">
        <v>0.1333</v>
      </c>
      <c r="S71" s="18">
        <v>0</v>
      </c>
      <c r="T71" s="26">
        <v>0</v>
      </c>
      <c r="U71" s="119"/>
    </row>
    <row r="72" spans="1:21" x14ac:dyDescent="0.25">
      <c r="A72" s="108" t="s">
        <v>164</v>
      </c>
      <c r="B72" s="79" t="s">
        <v>97</v>
      </c>
      <c r="C72" s="79" t="s">
        <v>53</v>
      </c>
      <c r="D72" s="72" t="s">
        <v>98</v>
      </c>
      <c r="E72" s="93" t="s">
        <v>19</v>
      </c>
      <c r="F72" s="58"/>
      <c r="G72" s="70"/>
      <c r="H72" s="70" t="s">
        <v>278</v>
      </c>
      <c r="I72" s="70"/>
      <c r="J72" s="70">
        <f t="shared" si="2"/>
        <v>0</v>
      </c>
      <c r="K72" s="195" t="s">
        <v>124</v>
      </c>
      <c r="L72" s="63"/>
      <c r="M72" s="65"/>
      <c r="N72" s="66"/>
      <c r="O72" s="95"/>
      <c r="P72" s="18">
        <v>2E-3</v>
      </c>
      <c r="Q72" s="18">
        <v>3.6600000000000001E-2</v>
      </c>
      <c r="R72" s="18">
        <v>0.16</v>
      </c>
      <c r="S72" s="18">
        <v>0</v>
      </c>
      <c r="T72" s="26">
        <v>0</v>
      </c>
      <c r="U72" s="119"/>
    </row>
    <row r="73" spans="1:21" x14ac:dyDescent="0.25">
      <c r="A73" s="108" t="s">
        <v>167</v>
      </c>
      <c r="B73" s="79" t="s">
        <v>97</v>
      </c>
      <c r="C73" s="79" t="s">
        <v>77</v>
      </c>
      <c r="D73" s="72" t="s">
        <v>98</v>
      </c>
      <c r="E73" s="93" t="s">
        <v>19</v>
      </c>
      <c r="F73" s="58"/>
      <c r="G73" s="70"/>
      <c r="H73" s="70" t="s">
        <v>180</v>
      </c>
      <c r="I73" s="70"/>
      <c r="J73" s="70">
        <f t="shared" si="2"/>
        <v>0</v>
      </c>
      <c r="K73" s="195" t="s">
        <v>63</v>
      </c>
      <c r="L73" s="63"/>
      <c r="M73" s="65"/>
      <c r="N73" s="66"/>
      <c r="O73" s="95"/>
      <c r="P73" s="18">
        <v>1E-3</v>
      </c>
      <c r="Q73" s="18">
        <v>3.6600000000000001E-2</v>
      </c>
      <c r="R73" s="18">
        <v>0.12330000000000001</v>
      </c>
      <c r="S73" s="18">
        <v>0</v>
      </c>
      <c r="T73" s="26">
        <v>0</v>
      </c>
      <c r="U73" s="119"/>
    </row>
    <row r="74" spans="1:21" x14ac:dyDescent="0.25">
      <c r="A74" s="108" t="s">
        <v>167</v>
      </c>
      <c r="B74" s="79" t="s">
        <v>97</v>
      </c>
      <c r="C74" s="79" t="s">
        <v>77</v>
      </c>
      <c r="D74" s="72" t="s">
        <v>98</v>
      </c>
      <c r="E74" s="93" t="s">
        <v>19</v>
      </c>
      <c r="F74" s="58"/>
      <c r="G74" s="70"/>
      <c r="H74" s="70" t="s">
        <v>180</v>
      </c>
      <c r="I74" s="70"/>
      <c r="J74" s="70">
        <f t="shared" si="2"/>
        <v>0</v>
      </c>
      <c r="K74" s="195" t="s">
        <v>64</v>
      </c>
      <c r="L74" s="63"/>
      <c r="M74" s="65"/>
      <c r="N74" s="66"/>
      <c r="O74" s="95"/>
      <c r="P74" s="18">
        <v>3.0000000000000001E-3</v>
      </c>
      <c r="Q74" s="18">
        <v>2.3300000000000001E-2</v>
      </c>
      <c r="R74" s="18">
        <v>0.1366</v>
      </c>
      <c r="S74" s="18">
        <v>0</v>
      </c>
      <c r="T74" s="26">
        <v>0</v>
      </c>
      <c r="U74" s="119"/>
    </row>
    <row r="75" spans="1:21" x14ac:dyDescent="0.25">
      <c r="A75" s="108" t="s">
        <v>167</v>
      </c>
      <c r="B75" s="79" t="s">
        <v>97</v>
      </c>
      <c r="C75" s="79" t="s">
        <v>77</v>
      </c>
      <c r="D75" s="72" t="s">
        <v>98</v>
      </c>
      <c r="E75" s="93" t="s">
        <v>19</v>
      </c>
      <c r="F75" s="58"/>
      <c r="G75" s="70"/>
      <c r="H75" s="70" t="s">
        <v>180</v>
      </c>
      <c r="I75" s="70"/>
      <c r="J75" s="70">
        <f t="shared" si="2"/>
        <v>0</v>
      </c>
      <c r="K75" s="195" t="s">
        <v>68</v>
      </c>
      <c r="L75" s="63"/>
      <c r="M75" s="65"/>
      <c r="N75" s="66"/>
      <c r="O75" s="95"/>
      <c r="P75" s="18">
        <v>2E-3</v>
      </c>
      <c r="Q75" s="18">
        <v>0.02</v>
      </c>
      <c r="R75" s="18">
        <v>9.3299999999999994E-2</v>
      </c>
      <c r="S75" s="18">
        <v>0</v>
      </c>
      <c r="T75" s="26">
        <v>0</v>
      </c>
      <c r="U75" s="119"/>
    </row>
    <row r="76" spans="1:21" x14ac:dyDescent="0.25">
      <c r="A76" s="108" t="s">
        <v>167</v>
      </c>
      <c r="B76" s="79" t="s">
        <v>97</v>
      </c>
      <c r="C76" s="79" t="s">
        <v>77</v>
      </c>
      <c r="D76" s="72" t="s">
        <v>98</v>
      </c>
      <c r="E76" s="93" t="s">
        <v>19</v>
      </c>
      <c r="F76" s="58"/>
      <c r="G76" s="70"/>
      <c r="H76" s="70" t="s">
        <v>180</v>
      </c>
      <c r="I76" s="70"/>
      <c r="J76" s="70">
        <f t="shared" si="2"/>
        <v>0</v>
      </c>
      <c r="K76" s="195" t="s">
        <v>69</v>
      </c>
      <c r="L76" s="63"/>
      <c r="M76" s="65"/>
      <c r="N76" s="66"/>
      <c r="O76" s="95"/>
      <c r="P76" s="18">
        <v>2E-3</v>
      </c>
      <c r="Q76" s="18">
        <v>2.3300000000000001E-2</v>
      </c>
      <c r="R76" s="18">
        <v>8.3299999999999999E-2</v>
      </c>
      <c r="S76" s="18">
        <v>0</v>
      </c>
      <c r="T76" s="26">
        <v>0</v>
      </c>
      <c r="U76" s="119"/>
    </row>
    <row r="77" spans="1:21" x14ac:dyDescent="0.25">
      <c r="A77" s="108" t="s">
        <v>167</v>
      </c>
      <c r="B77" s="79" t="s">
        <v>168</v>
      </c>
      <c r="C77" s="79" t="s">
        <v>77</v>
      </c>
      <c r="D77" s="72" t="s">
        <v>98</v>
      </c>
      <c r="E77" s="93" t="s">
        <v>19</v>
      </c>
      <c r="F77" s="58"/>
      <c r="G77" s="70"/>
      <c r="H77" s="70" t="s">
        <v>180</v>
      </c>
      <c r="I77" s="70"/>
      <c r="J77" s="70">
        <f t="shared" si="2"/>
        <v>0</v>
      </c>
      <c r="K77" s="195" t="s">
        <v>70</v>
      </c>
      <c r="L77" s="63"/>
      <c r="M77" s="65"/>
      <c r="N77" s="66"/>
      <c r="O77" s="95"/>
      <c r="P77" s="18">
        <v>1E-3</v>
      </c>
      <c r="Q77" s="18">
        <v>1.66E-2</v>
      </c>
      <c r="R77" s="18">
        <v>7.3300000000000004E-2</v>
      </c>
      <c r="S77" s="18">
        <v>0</v>
      </c>
      <c r="T77" s="26">
        <v>0</v>
      </c>
      <c r="U77" s="119"/>
    </row>
    <row r="78" spans="1:21" x14ac:dyDescent="0.25">
      <c r="A78" s="108" t="s">
        <v>167</v>
      </c>
      <c r="B78" s="79" t="s">
        <v>168</v>
      </c>
      <c r="C78" s="79" t="s">
        <v>77</v>
      </c>
      <c r="D78" s="72" t="s">
        <v>98</v>
      </c>
      <c r="E78" s="93" t="s">
        <v>19</v>
      </c>
      <c r="F78" s="58"/>
      <c r="G78" s="70"/>
      <c r="H78" s="70" t="s">
        <v>180</v>
      </c>
      <c r="I78" s="70"/>
      <c r="J78" s="70">
        <f t="shared" si="2"/>
        <v>0</v>
      </c>
      <c r="K78" s="195" t="s">
        <v>71</v>
      </c>
      <c r="L78" s="63"/>
      <c r="M78" s="65"/>
      <c r="N78" s="66"/>
      <c r="O78" s="95"/>
      <c r="P78" s="18">
        <v>1E-3</v>
      </c>
      <c r="Q78" s="18">
        <v>0.02</v>
      </c>
      <c r="R78" s="18">
        <v>6.6600000000000006E-2</v>
      </c>
      <c r="S78" s="18">
        <v>0</v>
      </c>
      <c r="T78" s="26">
        <v>0</v>
      </c>
      <c r="U78" s="119"/>
    </row>
    <row r="79" spans="1:21" x14ac:dyDescent="0.25">
      <c r="A79" s="108" t="s">
        <v>167</v>
      </c>
      <c r="B79" s="79" t="s">
        <v>168</v>
      </c>
      <c r="C79" s="79" t="s">
        <v>77</v>
      </c>
      <c r="D79" s="72" t="s">
        <v>98</v>
      </c>
      <c r="E79" s="93" t="s">
        <v>19</v>
      </c>
      <c r="F79" s="58"/>
      <c r="G79" s="70"/>
      <c r="H79" s="70" t="s">
        <v>180</v>
      </c>
      <c r="I79" s="70"/>
      <c r="J79" s="70">
        <f t="shared" si="2"/>
        <v>0</v>
      </c>
      <c r="K79" s="195" t="s">
        <v>72</v>
      </c>
      <c r="L79" s="63"/>
      <c r="M79" s="65"/>
      <c r="N79" s="66"/>
      <c r="O79" s="95"/>
      <c r="P79" s="18">
        <v>2E-3</v>
      </c>
      <c r="Q79" s="18">
        <v>2.3300000000000001E-2</v>
      </c>
      <c r="R79" s="18">
        <v>7.0000000000000007E-2</v>
      </c>
      <c r="S79" s="18">
        <v>0</v>
      </c>
      <c r="T79" s="26">
        <v>0</v>
      </c>
      <c r="U79" s="119"/>
    </row>
    <row r="80" spans="1:21" x14ac:dyDescent="0.25">
      <c r="A80" s="108" t="s">
        <v>304</v>
      </c>
      <c r="B80" s="79" t="s">
        <v>305</v>
      </c>
      <c r="C80" s="79" t="s">
        <v>77</v>
      </c>
      <c r="D80" s="72" t="s">
        <v>98</v>
      </c>
      <c r="E80" s="93" t="s">
        <v>19</v>
      </c>
      <c r="F80" s="58"/>
      <c r="G80" s="70"/>
      <c r="H80" s="70"/>
      <c r="I80" s="70"/>
      <c r="J80" s="70">
        <f t="shared" si="2"/>
        <v>0</v>
      </c>
      <c r="K80" s="195"/>
      <c r="L80" s="63"/>
      <c r="M80" s="65"/>
      <c r="N80" s="66"/>
      <c r="O80" s="95"/>
      <c r="P80" s="18"/>
      <c r="Q80" s="18"/>
      <c r="R80" s="18"/>
      <c r="S80" s="18"/>
      <c r="T80" s="26"/>
      <c r="U80" s="119"/>
    </row>
    <row r="81" spans="1:21" x14ac:dyDescent="0.25">
      <c r="A81" s="108" t="s">
        <v>304</v>
      </c>
      <c r="B81" s="79" t="s">
        <v>305</v>
      </c>
      <c r="C81" s="79" t="s">
        <v>77</v>
      </c>
      <c r="D81" s="72" t="s">
        <v>98</v>
      </c>
      <c r="E81" s="93" t="s">
        <v>19</v>
      </c>
      <c r="F81" s="58">
        <v>1000</v>
      </c>
      <c r="G81" s="70"/>
      <c r="H81" s="70" t="s">
        <v>306</v>
      </c>
      <c r="I81" s="70"/>
      <c r="J81" s="70">
        <f t="shared" si="2"/>
        <v>1000</v>
      </c>
      <c r="K81" s="195" t="s">
        <v>63</v>
      </c>
      <c r="L81" s="63"/>
      <c r="M81" s="65"/>
      <c r="N81" s="66">
        <v>1000</v>
      </c>
      <c r="O81" s="95"/>
      <c r="P81" s="18">
        <v>5.0000000000000001E-3</v>
      </c>
      <c r="Q81" s="18">
        <v>0.05</v>
      </c>
      <c r="R81" s="18">
        <v>0.08</v>
      </c>
      <c r="S81" s="18">
        <v>0</v>
      </c>
      <c r="T81" s="26">
        <v>0</v>
      </c>
      <c r="U81" s="119"/>
    </row>
    <row r="82" spans="1:21" x14ac:dyDescent="0.25">
      <c r="A82" s="108" t="s">
        <v>304</v>
      </c>
      <c r="B82" s="79" t="s">
        <v>305</v>
      </c>
      <c r="C82" s="79" t="s">
        <v>77</v>
      </c>
      <c r="D82" s="72" t="s">
        <v>98</v>
      </c>
      <c r="E82" s="93" t="s">
        <v>19</v>
      </c>
      <c r="F82" s="58">
        <v>1000</v>
      </c>
      <c r="G82" s="70"/>
      <c r="H82" s="70" t="s">
        <v>306</v>
      </c>
      <c r="I82" s="70"/>
      <c r="J82" s="70">
        <f t="shared" si="2"/>
        <v>1000</v>
      </c>
      <c r="K82" s="195" t="s">
        <v>64</v>
      </c>
      <c r="L82" s="63"/>
      <c r="M82" s="65"/>
      <c r="N82" s="66">
        <v>1000</v>
      </c>
      <c r="O82" s="95"/>
      <c r="P82" s="18">
        <v>5.0000000000000001E-3</v>
      </c>
      <c r="Q82" s="18">
        <v>0.05</v>
      </c>
      <c r="R82" s="18">
        <v>0.08</v>
      </c>
      <c r="S82" s="18">
        <v>0</v>
      </c>
      <c r="T82" s="26">
        <v>0</v>
      </c>
      <c r="U82" s="119"/>
    </row>
    <row r="83" spans="1:21" x14ac:dyDescent="0.25">
      <c r="A83" s="108" t="s">
        <v>304</v>
      </c>
      <c r="B83" s="79" t="s">
        <v>305</v>
      </c>
      <c r="C83" s="79" t="s">
        <v>77</v>
      </c>
      <c r="D83" s="72" t="s">
        <v>98</v>
      </c>
      <c r="E83" s="93" t="s">
        <v>19</v>
      </c>
      <c r="F83" s="58">
        <v>1000</v>
      </c>
      <c r="G83" s="70"/>
      <c r="H83" s="70" t="s">
        <v>306</v>
      </c>
      <c r="I83" s="70"/>
      <c r="J83" s="70">
        <f t="shared" si="2"/>
        <v>1000</v>
      </c>
      <c r="K83" s="195" t="s">
        <v>68</v>
      </c>
      <c r="L83" s="63"/>
      <c r="M83" s="65"/>
      <c r="N83" s="66">
        <v>1000</v>
      </c>
      <c r="O83" s="95"/>
      <c r="P83" s="18">
        <v>5.0000000000000001E-3</v>
      </c>
      <c r="Q83" s="18">
        <v>0.05</v>
      </c>
      <c r="R83" s="18">
        <v>0.08</v>
      </c>
      <c r="S83" s="18">
        <v>0</v>
      </c>
      <c r="T83" s="26">
        <v>0</v>
      </c>
      <c r="U83" s="119"/>
    </row>
    <row r="84" spans="1:21" x14ac:dyDescent="0.25">
      <c r="A84" s="108" t="s">
        <v>304</v>
      </c>
      <c r="B84" s="79" t="s">
        <v>305</v>
      </c>
      <c r="C84" s="79" t="s">
        <v>77</v>
      </c>
      <c r="D84" s="72" t="s">
        <v>98</v>
      </c>
      <c r="E84" s="93" t="s">
        <v>19</v>
      </c>
      <c r="F84" s="58">
        <v>1000</v>
      </c>
      <c r="G84" s="70"/>
      <c r="H84" s="70" t="s">
        <v>306</v>
      </c>
      <c r="I84" s="70"/>
      <c r="J84" s="70">
        <f t="shared" si="2"/>
        <v>1000</v>
      </c>
      <c r="K84" s="195" t="s">
        <v>69</v>
      </c>
      <c r="L84" s="63"/>
      <c r="M84" s="65"/>
      <c r="N84" s="66">
        <v>1000</v>
      </c>
      <c r="O84" s="95"/>
      <c r="P84" s="18">
        <v>5.0000000000000001E-3</v>
      </c>
      <c r="Q84" s="18">
        <v>0.05</v>
      </c>
      <c r="R84" s="18">
        <v>0.08</v>
      </c>
      <c r="S84" s="18">
        <v>0</v>
      </c>
      <c r="T84" s="26">
        <v>0</v>
      </c>
      <c r="U84" s="119"/>
    </row>
    <row r="85" spans="1:21" x14ac:dyDescent="0.25">
      <c r="A85" s="108" t="s">
        <v>304</v>
      </c>
      <c r="B85" s="79" t="s">
        <v>305</v>
      </c>
      <c r="C85" s="79" t="s">
        <v>77</v>
      </c>
      <c r="D85" s="72" t="s">
        <v>98</v>
      </c>
      <c r="E85" s="93" t="s">
        <v>19</v>
      </c>
      <c r="F85" s="58">
        <v>1000</v>
      </c>
      <c r="G85" s="70"/>
      <c r="H85" s="70" t="s">
        <v>306</v>
      </c>
      <c r="I85" s="70"/>
      <c r="J85" s="70">
        <f t="shared" si="2"/>
        <v>1000</v>
      </c>
      <c r="K85" s="195" t="s">
        <v>70</v>
      </c>
      <c r="L85" s="63"/>
      <c r="M85" s="65"/>
      <c r="N85" s="66">
        <v>1000</v>
      </c>
      <c r="O85" s="95"/>
      <c r="P85" s="18">
        <v>5.0000000000000001E-3</v>
      </c>
      <c r="Q85" s="18">
        <v>0.05</v>
      </c>
      <c r="R85" s="18">
        <v>0.08</v>
      </c>
      <c r="S85" s="18">
        <v>0</v>
      </c>
      <c r="T85" s="26">
        <v>0</v>
      </c>
      <c r="U85" s="119"/>
    </row>
    <row r="86" spans="1:21" x14ac:dyDescent="0.25">
      <c r="A86" s="108" t="s">
        <v>304</v>
      </c>
      <c r="B86" s="79" t="s">
        <v>305</v>
      </c>
      <c r="C86" s="79" t="s">
        <v>77</v>
      </c>
      <c r="D86" s="72" t="s">
        <v>98</v>
      </c>
      <c r="E86" s="93" t="s">
        <v>19</v>
      </c>
      <c r="F86" s="58">
        <v>874</v>
      </c>
      <c r="G86" s="70"/>
      <c r="H86" s="70" t="s">
        <v>306</v>
      </c>
      <c r="I86" s="70"/>
      <c r="J86" s="70">
        <f t="shared" si="2"/>
        <v>874</v>
      </c>
      <c r="K86" s="195" t="s">
        <v>71</v>
      </c>
      <c r="L86" s="63"/>
      <c r="M86" s="65"/>
      <c r="N86" s="66">
        <v>874</v>
      </c>
      <c r="O86" s="95"/>
      <c r="P86" s="18">
        <v>5.0000000000000001E-3</v>
      </c>
      <c r="Q86" s="18">
        <v>0.05</v>
      </c>
      <c r="R86" s="18">
        <v>0.08</v>
      </c>
      <c r="S86" s="18">
        <v>0</v>
      </c>
      <c r="T86" s="26">
        <v>0</v>
      </c>
      <c r="U86" s="119"/>
    </row>
    <row r="87" spans="1:21" x14ac:dyDescent="0.25">
      <c r="A87" s="108" t="s">
        <v>304</v>
      </c>
      <c r="B87" s="79" t="s">
        <v>305</v>
      </c>
      <c r="C87" s="79" t="s">
        <v>77</v>
      </c>
      <c r="D87" s="72" t="s">
        <v>98</v>
      </c>
      <c r="E87" s="93" t="s">
        <v>19</v>
      </c>
      <c r="F87" s="58">
        <v>950</v>
      </c>
      <c r="G87" s="70"/>
      <c r="H87" s="70" t="s">
        <v>306</v>
      </c>
      <c r="I87" s="70"/>
      <c r="J87" s="70">
        <f t="shared" si="2"/>
        <v>950</v>
      </c>
      <c r="K87" s="195" t="s">
        <v>72</v>
      </c>
      <c r="L87" s="63"/>
      <c r="M87" s="65"/>
      <c r="N87" s="66">
        <v>950</v>
      </c>
      <c r="O87" s="95"/>
      <c r="P87" s="18">
        <v>5.0000000000000001E-3</v>
      </c>
      <c r="Q87" s="18">
        <v>0.05</v>
      </c>
      <c r="R87" s="18">
        <v>0.08</v>
      </c>
      <c r="S87" s="18">
        <v>0</v>
      </c>
      <c r="T87" s="26">
        <v>0</v>
      </c>
      <c r="U87" s="119"/>
    </row>
    <row r="88" spans="1:21" x14ac:dyDescent="0.25">
      <c r="A88" s="108" t="s">
        <v>304</v>
      </c>
      <c r="B88" s="79" t="s">
        <v>305</v>
      </c>
      <c r="C88" s="79" t="s">
        <v>53</v>
      </c>
      <c r="D88" s="72" t="s">
        <v>98</v>
      </c>
      <c r="E88" s="93" t="s">
        <v>19</v>
      </c>
      <c r="F88" s="58">
        <v>1000</v>
      </c>
      <c r="G88" s="70"/>
      <c r="H88" s="70" t="s">
        <v>306</v>
      </c>
      <c r="I88" s="70"/>
      <c r="J88" s="70">
        <f t="shared" si="2"/>
        <v>1000</v>
      </c>
      <c r="K88" s="195" t="s">
        <v>63</v>
      </c>
      <c r="L88" s="63"/>
      <c r="M88" s="65"/>
      <c r="N88" s="66">
        <v>1000</v>
      </c>
      <c r="O88" s="95"/>
      <c r="P88" s="18">
        <v>5.0000000000000001E-3</v>
      </c>
      <c r="Q88" s="18">
        <v>0.05</v>
      </c>
      <c r="R88" s="18">
        <v>0.08</v>
      </c>
      <c r="S88" s="18">
        <v>0</v>
      </c>
      <c r="T88" s="26">
        <v>0</v>
      </c>
      <c r="U88" s="119"/>
    </row>
    <row r="89" spans="1:21" x14ac:dyDescent="0.25">
      <c r="A89" s="108" t="s">
        <v>304</v>
      </c>
      <c r="B89" s="79" t="s">
        <v>305</v>
      </c>
      <c r="C89" s="79" t="s">
        <v>53</v>
      </c>
      <c r="D89" s="72" t="s">
        <v>98</v>
      </c>
      <c r="E89" s="93" t="s">
        <v>19</v>
      </c>
      <c r="F89" s="58">
        <v>987</v>
      </c>
      <c r="G89" s="70"/>
      <c r="H89" s="70" t="s">
        <v>306</v>
      </c>
      <c r="I89" s="70"/>
      <c r="J89" s="70">
        <f t="shared" si="2"/>
        <v>987</v>
      </c>
      <c r="K89" s="195" t="s">
        <v>64</v>
      </c>
      <c r="L89" s="63"/>
      <c r="M89" s="65"/>
      <c r="N89" s="66">
        <v>987</v>
      </c>
      <c r="O89" s="95"/>
      <c r="P89" s="18">
        <v>5.0000000000000001E-3</v>
      </c>
      <c r="Q89" s="18">
        <v>0.05</v>
      </c>
      <c r="R89" s="18">
        <v>0.08</v>
      </c>
      <c r="S89" s="18">
        <v>0</v>
      </c>
      <c r="T89" s="26">
        <v>0</v>
      </c>
      <c r="U89" s="119"/>
    </row>
    <row r="90" spans="1:21" x14ac:dyDescent="0.25">
      <c r="A90" s="108"/>
      <c r="B90" s="79"/>
      <c r="C90" s="79"/>
      <c r="D90" s="72"/>
      <c r="E90" s="93"/>
      <c r="F90" s="58"/>
      <c r="G90" s="70"/>
      <c r="H90" s="70"/>
      <c r="I90" s="70"/>
      <c r="J90" s="70"/>
      <c r="K90" s="195"/>
      <c r="L90" s="63"/>
      <c r="M90" s="65"/>
      <c r="N90" s="66"/>
      <c r="O90" s="95"/>
      <c r="P90" s="18"/>
      <c r="Q90" s="18"/>
      <c r="R90" s="18"/>
      <c r="S90" s="18"/>
      <c r="T90" s="26"/>
      <c r="U90" s="119"/>
    </row>
    <row r="91" spans="1:21" x14ac:dyDescent="0.25">
      <c r="A91" s="108"/>
      <c r="B91" s="79"/>
      <c r="C91" s="79"/>
      <c r="D91" s="72"/>
      <c r="E91" s="93"/>
      <c r="F91" s="162"/>
      <c r="G91" s="70"/>
      <c r="H91" s="70"/>
      <c r="I91" s="70"/>
      <c r="J91" s="70">
        <f t="shared" si="2"/>
        <v>0</v>
      </c>
      <c r="K91" s="72"/>
      <c r="L91" s="63"/>
      <c r="M91" s="65"/>
      <c r="N91" s="66"/>
      <c r="O91" s="95"/>
      <c r="P91" s="18"/>
      <c r="Q91" s="18"/>
      <c r="R91" s="18"/>
      <c r="S91" s="18"/>
      <c r="T91" s="26"/>
      <c r="U91" s="119"/>
    </row>
    <row r="92" spans="1:21" x14ac:dyDescent="0.25">
      <c r="A92" s="34"/>
      <c r="B92" s="35"/>
      <c r="C92" s="35"/>
      <c r="D92" s="36" t="s">
        <v>101</v>
      </c>
      <c r="E92" s="37"/>
      <c r="F92" s="147"/>
      <c r="G92" s="147"/>
      <c r="H92" s="147"/>
      <c r="I92" s="147"/>
      <c r="J92" s="106"/>
      <c r="K92" s="38"/>
      <c r="L92" s="63"/>
      <c r="M92" s="65"/>
      <c r="N92" s="66"/>
      <c r="O92" s="95"/>
      <c r="P92" s="18"/>
      <c r="Q92" s="18"/>
      <c r="R92" s="18"/>
      <c r="S92" s="18"/>
      <c r="T92" s="26"/>
      <c r="U92" s="119"/>
    </row>
    <row r="93" spans="1:21" x14ac:dyDescent="0.25">
      <c r="A93" s="34"/>
      <c r="B93" s="35"/>
      <c r="C93" s="35"/>
      <c r="D93" s="36"/>
      <c r="E93" s="37"/>
      <c r="F93" s="147"/>
      <c r="G93" s="147"/>
      <c r="H93" s="147"/>
      <c r="I93" s="147"/>
      <c r="J93" s="106"/>
      <c r="K93" s="38"/>
      <c r="L93" s="63"/>
      <c r="M93" s="65"/>
      <c r="N93" s="66"/>
      <c r="O93" s="95"/>
      <c r="P93" s="18"/>
      <c r="Q93" s="18"/>
      <c r="R93" s="18"/>
      <c r="S93" s="18"/>
      <c r="T93" s="26"/>
      <c r="U93" s="119"/>
    </row>
    <row r="94" spans="1:21" x14ac:dyDescent="0.25">
      <c r="A94" s="34"/>
      <c r="B94" s="35"/>
      <c r="C94" s="35"/>
      <c r="D94" s="36" t="s">
        <v>123</v>
      </c>
      <c r="E94" s="37"/>
      <c r="F94" s="147"/>
      <c r="G94" s="147">
        <v>0</v>
      </c>
      <c r="H94" s="147"/>
      <c r="I94" s="185">
        <v>46296</v>
      </c>
      <c r="J94" s="106"/>
      <c r="K94" s="38"/>
      <c r="L94" s="27"/>
      <c r="M94" s="28"/>
      <c r="N94" s="103"/>
      <c r="O94" s="95"/>
      <c r="P94" s="18"/>
      <c r="Q94" s="29"/>
      <c r="R94" s="29"/>
      <c r="S94" s="29"/>
      <c r="T94" s="26"/>
      <c r="U94" s="119"/>
    </row>
    <row r="95" spans="1:21" x14ac:dyDescent="0.25">
      <c r="A95" s="34"/>
      <c r="B95" s="35"/>
      <c r="C95" s="80"/>
      <c r="D95" s="36" t="s">
        <v>157</v>
      </c>
      <c r="E95" s="37"/>
      <c r="F95" s="147"/>
      <c r="G95" s="147">
        <v>0</v>
      </c>
      <c r="H95" s="147"/>
      <c r="I95" s="185">
        <v>46296</v>
      </c>
      <c r="J95" s="106"/>
      <c r="K95" s="38"/>
      <c r="L95" s="101"/>
      <c r="M95" s="102"/>
      <c r="N95" s="103"/>
      <c r="O95" s="95"/>
      <c r="P95" s="26"/>
      <c r="Q95" s="26"/>
      <c r="R95" s="26"/>
      <c r="S95" s="26"/>
      <c r="T95" s="26"/>
      <c r="U95" s="119"/>
    </row>
    <row r="96" spans="1:21" x14ac:dyDescent="0.25">
      <c r="A96" s="34"/>
      <c r="B96" s="35"/>
      <c r="C96" s="80"/>
      <c r="D96" s="36" t="s">
        <v>180</v>
      </c>
      <c r="E96" s="37" t="s">
        <v>228</v>
      </c>
      <c r="F96" s="147"/>
      <c r="G96" s="147"/>
      <c r="H96" s="147"/>
      <c r="I96" s="185"/>
      <c r="J96" s="106"/>
      <c r="K96" s="38"/>
      <c r="L96" s="101"/>
      <c r="M96" s="102"/>
      <c r="N96" s="103"/>
      <c r="O96" s="95"/>
      <c r="P96" s="26"/>
      <c r="Q96" s="26"/>
      <c r="R96" s="26"/>
      <c r="S96" s="26"/>
      <c r="T96" s="26"/>
      <c r="U96" s="119"/>
    </row>
    <row r="97" spans="1:21" x14ac:dyDescent="0.25">
      <c r="A97" s="34"/>
      <c r="B97" s="35"/>
      <c r="C97" s="80"/>
      <c r="D97" s="36"/>
      <c r="E97" s="37"/>
      <c r="F97" s="147"/>
      <c r="G97" s="147"/>
      <c r="H97" s="147"/>
      <c r="I97" s="185"/>
      <c r="J97" s="106"/>
      <c r="K97" s="38"/>
      <c r="L97" s="101"/>
      <c r="M97" s="102"/>
      <c r="N97" s="103"/>
      <c r="O97" s="95"/>
      <c r="P97" s="26"/>
      <c r="Q97" s="26"/>
      <c r="R97" s="26"/>
      <c r="S97" s="26"/>
      <c r="T97" s="26"/>
      <c r="U97" s="119"/>
    </row>
    <row r="98" spans="1:21" x14ac:dyDescent="0.25">
      <c r="A98" s="70"/>
      <c r="B98" s="131"/>
      <c r="C98" s="70"/>
      <c r="D98" s="23" t="s">
        <v>15</v>
      </c>
      <c r="E98" s="24" t="s">
        <v>19</v>
      </c>
      <c r="F98" s="23">
        <f>SUM(F55:F91)</f>
        <v>9811</v>
      </c>
      <c r="G98" s="23">
        <f>SUM(G55:G96)</f>
        <v>0</v>
      </c>
      <c r="H98" s="23"/>
      <c r="I98" s="23"/>
      <c r="J98" s="23">
        <f>F98-G98</f>
        <v>9811</v>
      </c>
      <c r="K98" s="24" t="s">
        <v>16</v>
      </c>
      <c r="L98" s="25">
        <f>SUM(L55:L91)</f>
        <v>0</v>
      </c>
      <c r="M98" s="25">
        <f>SUM(M55:M95)</f>
        <v>0</v>
      </c>
      <c r="N98" s="25">
        <f>SUM(N55:N95)</f>
        <v>9811</v>
      </c>
      <c r="O98" s="25">
        <f>SUM(O49:O54)</f>
        <v>0</v>
      </c>
      <c r="P98" s="26"/>
      <c r="Q98" s="26"/>
      <c r="R98" s="26"/>
      <c r="S98" s="26"/>
      <c r="T98" s="26"/>
      <c r="U98" s="119"/>
    </row>
    <row r="99" spans="1:21" x14ac:dyDescent="0.25">
      <c r="A99" s="108"/>
      <c r="B99" s="79"/>
      <c r="C99" s="79"/>
      <c r="D99" s="157"/>
      <c r="E99" s="75"/>
      <c r="F99" s="58"/>
      <c r="G99" s="47"/>
      <c r="H99" s="47"/>
      <c r="I99" s="47"/>
      <c r="J99" s="70">
        <f t="shared" ref="J99:J110" si="3">F99-G99</f>
        <v>0</v>
      </c>
      <c r="K99" s="68"/>
      <c r="L99" s="63"/>
      <c r="M99" s="65"/>
      <c r="N99" s="66"/>
      <c r="O99" s="115"/>
      <c r="P99" s="18"/>
      <c r="Q99" s="18"/>
      <c r="R99" s="18"/>
      <c r="S99" s="18"/>
      <c r="T99" s="94"/>
      <c r="U99" s="123"/>
    </row>
    <row r="100" spans="1:21" x14ac:dyDescent="0.25">
      <c r="A100" s="108"/>
      <c r="B100" s="79"/>
      <c r="C100" s="79"/>
      <c r="D100" s="157"/>
      <c r="E100" s="75"/>
      <c r="F100" s="58"/>
      <c r="G100" s="47"/>
      <c r="H100" s="47"/>
      <c r="I100" s="47"/>
      <c r="J100" s="70">
        <f t="shared" si="3"/>
        <v>0</v>
      </c>
      <c r="K100" s="68"/>
      <c r="L100" s="63"/>
      <c r="M100" s="65"/>
      <c r="N100" s="66"/>
      <c r="O100" s="115"/>
      <c r="P100" s="18"/>
      <c r="Q100" s="18"/>
      <c r="R100" s="18"/>
      <c r="S100" s="18"/>
      <c r="T100" s="94"/>
      <c r="U100" s="123"/>
    </row>
    <row r="101" spans="1:21" x14ac:dyDescent="0.25">
      <c r="A101" s="108" t="s">
        <v>159</v>
      </c>
      <c r="B101" s="79" t="s">
        <v>97</v>
      </c>
      <c r="C101" s="79" t="s">
        <v>160</v>
      </c>
      <c r="D101" s="157" t="s">
        <v>76</v>
      </c>
      <c r="E101" s="75" t="s">
        <v>22</v>
      </c>
      <c r="F101" s="58">
        <v>990</v>
      </c>
      <c r="G101" s="47"/>
      <c r="H101" s="47"/>
      <c r="I101" s="47"/>
      <c r="J101" s="70">
        <f t="shared" si="3"/>
        <v>990</v>
      </c>
      <c r="K101" s="68" t="s">
        <v>78</v>
      </c>
      <c r="L101" s="63"/>
      <c r="M101" s="65"/>
      <c r="N101" s="66">
        <v>990</v>
      </c>
      <c r="O101" s="115"/>
      <c r="P101" s="18">
        <v>0.36499999999999999</v>
      </c>
      <c r="Q101" s="18">
        <v>0</v>
      </c>
      <c r="R101" s="18">
        <v>0</v>
      </c>
      <c r="S101" s="18">
        <v>0</v>
      </c>
      <c r="T101" s="94">
        <v>0.13900000000000001</v>
      </c>
      <c r="U101" s="123"/>
    </row>
    <row r="102" spans="1:21" x14ac:dyDescent="0.25">
      <c r="A102" s="108" t="s">
        <v>159</v>
      </c>
      <c r="B102" s="79" t="s">
        <v>97</v>
      </c>
      <c r="C102" s="79" t="s">
        <v>160</v>
      </c>
      <c r="D102" s="157" t="s">
        <v>76</v>
      </c>
      <c r="E102" s="75" t="s">
        <v>22</v>
      </c>
      <c r="F102" s="58">
        <v>872</v>
      </c>
      <c r="G102" s="47"/>
      <c r="H102" s="47"/>
      <c r="I102" s="47"/>
      <c r="J102" s="70">
        <f t="shared" si="3"/>
        <v>872</v>
      </c>
      <c r="K102" s="68" t="s">
        <v>78</v>
      </c>
      <c r="L102" s="63"/>
      <c r="M102" s="65"/>
      <c r="N102" s="66">
        <v>872</v>
      </c>
      <c r="O102" s="115"/>
      <c r="P102" s="18">
        <v>0.39200000000000002</v>
      </c>
      <c r="Q102" s="18">
        <v>0</v>
      </c>
      <c r="R102" s="18">
        <v>0</v>
      </c>
      <c r="S102" s="18">
        <v>0</v>
      </c>
      <c r="T102" s="94">
        <v>0.16400000000000001</v>
      </c>
      <c r="U102" s="123"/>
    </row>
    <row r="103" spans="1:21" x14ac:dyDescent="0.25">
      <c r="A103" s="108" t="s">
        <v>164</v>
      </c>
      <c r="B103" s="79" t="s">
        <v>97</v>
      </c>
      <c r="C103" s="79" t="s">
        <v>165</v>
      </c>
      <c r="D103" s="157" t="s">
        <v>76</v>
      </c>
      <c r="E103" s="75" t="s">
        <v>22</v>
      </c>
      <c r="F103" s="58">
        <v>931</v>
      </c>
      <c r="G103" s="47"/>
      <c r="H103" s="47"/>
      <c r="I103" s="47"/>
      <c r="J103" s="70">
        <f t="shared" si="3"/>
        <v>931</v>
      </c>
      <c r="K103" s="68" t="s">
        <v>78</v>
      </c>
      <c r="L103" s="63"/>
      <c r="M103" s="65"/>
      <c r="N103" s="66">
        <v>931</v>
      </c>
      <c r="O103" s="115"/>
      <c r="P103" s="18">
        <v>0.35599999999999998</v>
      </c>
      <c r="Q103" s="18">
        <v>0</v>
      </c>
      <c r="R103" s="18">
        <v>0</v>
      </c>
      <c r="S103" s="18">
        <v>0</v>
      </c>
      <c r="T103" s="94">
        <v>0.23599999999999999</v>
      </c>
      <c r="U103" s="123"/>
    </row>
    <row r="104" spans="1:21" x14ac:dyDescent="0.25">
      <c r="A104" s="108" t="s">
        <v>164</v>
      </c>
      <c r="B104" s="79" t="s">
        <v>97</v>
      </c>
      <c r="C104" s="79" t="s">
        <v>165</v>
      </c>
      <c r="D104" s="157" t="s">
        <v>76</v>
      </c>
      <c r="E104" s="75" t="s">
        <v>22</v>
      </c>
      <c r="F104" s="58">
        <v>949</v>
      </c>
      <c r="G104" s="47"/>
      <c r="H104" s="47"/>
      <c r="I104" s="47"/>
      <c r="J104" s="70">
        <f t="shared" si="3"/>
        <v>949</v>
      </c>
      <c r="K104" s="68" t="s">
        <v>78</v>
      </c>
      <c r="L104" s="63"/>
      <c r="M104" s="65"/>
      <c r="N104" s="66">
        <v>949</v>
      </c>
      <c r="O104" s="115"/>
      <c r="P104" s="18">
        <v>0.41299999999999998</v>
      </c>
      <c r="Q104" s="18">
        <v>0</v>
      </c>
      <c r="R104" s="18">
        <v>0</v>
      </c>
      <c r="S104" s="18">
        <v>0</v>
      </c>
      <c r="T104" s="94">
        <v>0.19700000000000001</v>
      </c>
      <c r="U104" s="123"/>
    </row>
    <row r="105" spans="1:21" x14ac:dyDescent="0.25">
      <c r="A105" s="108" t="s">
        <v>164</v>
      </c>
      <c r="B105" s="79" t="s">
        <v>97</v>
      </c>
      <c r="C105" s="79" t="s">
        <v>165</v>
      </c>
      <c r="D105" s="157" t="s">
        <v>76</v>
      </c>
      <c r="E105" s="75" t="s">
        <v>22</v>
      </c>
      <c r="F105" s="58">
        <v>1026</v>
      </c>
      <c r="G105" s="47"/>
      <c r="H105" s="47"/>
      <c r="I105" s="47"/>
      <c r="J105" s="70">
        <f t="shared" si="3"/>
        <v>1026</v>
      </c>
      <c r="K105" s="68" t="s">
        <v>78</v>
      </c>
      <c r="L105" s="63"/>
      <c r="M105" s="65"/>
      <c r="N105" s="66">
        <v>1026</v>
      </c>
      <c r="O105" s="115"/>
      <c r="P105" s="18">
        <v>8.9999999999999993E-3</v>
      </c>
      <c r="Q105" s="18">
        <v>0</v>
      </c>
      <c r="R105" s="18">
        <v>0</v>
      </c>
      <c r="S105" s="18">
        <v>0</v>
      </c>
      <c r="T105" s="94">
        <v>4.0000000000000001E-3</v>
      </c>
      <c r="U105" s="123"/>
    </row>
    <row r="106" spans="1:21" x14ac:dyDescent="0.25">
      <c r="A106" s="108" t="s">
        <v>164</v>
      </c>
      <c r="B106" s="79" t="s">
        <v>97</v>
      </c>
      <c r="C106" s="79" t="s">
        <v>165</v>
      </c>
      <c r="D106" s="157" t="s">
        <v>76</v>
      </c>
      <c r="E106" s="75" t="s">
        <v>22</v>
      </c>
      <c r="F106" s="58">
        <v>926</v>
      </c>
      <c r="G106" s="47"/>
      <c r="H106" s="47"/>
      <c r="I106" s="47"/>
      <c r="J106" s="70">
        <f t="shared" si="3"/>
        <v>926</v>
      </c>
      <c r="K106" s="68" t="s">
        <v>78</v>
      </c>
      <c r="L106" s="63"/>
      <c r="M106" s="65"/>
      <c r="N106" s="66">
        <v>926</v>
      </c>
      <c r="O106" s="115"/>
      <c r="P106" s="18">
        <v>0.307</v>
      </c>
      <c r="Q106" s="18">
        <v>0</v>
      </c>
      <c r="R106" s="18">
        <v>0</v>
      </c>
      <c r="S106" s="18">
        <v>0</v>
      </c>
      <c r="T106" s="94">
        <v>0.158</v>
      </c>
      <c r="U106" s="123"/>
    </row>
    <row r="107" spans="1:21" x14ac:dyDescent="0.25">
      <c r="A107" s="108" t="s">
        <v>167</v>
      </c>
      <c r="B107" s="79" t="s">
        <v>97</v>
      </c>
      <c r="C107" s="79" t="s">
        <v>77</v>
      </c>
      <c r="D107" s="157" t="s">
        <v>76</v>
      </c>
      <c r="E107" s="75" t="s">
        <v>22</v>
      </c>
      <c r="F107" s="58">
        <v>890</v>
      </c>
      <c r="G107" s="47"/>
      <c r="H107" s="47"/>
      <c r="I107" s="47"/>
      <c r="J107" s="70">
        <f t="shared" si="3"/>
        <v>890</v>
      </c>
      <c r="K107" s="68" t="s">
        <v>78</v>
      </c>
      <c r="L107" s="63"/>
      <c r="M107" s="65"/>
      <c r="N107" s="66">
        <v>890</v>
      </c>
      <c r="O107" s="115"/>
      <c r="P107" s="18">
        <v>0.27500000000000002</v>
      </c>
      <c r="Q107" s="18">
        <v>0</v>
      </c>
      <c r="R107" s="18">
        <v>0</v>
      </c>
      <c r="S107" s="18">
        <v>0</v>
      </c>
      <c r="T107" s="94">
        <v>0.11600000000000001</v>
      </c>
      <c r="U107" s="123"/>
    </row>
    <row r="108" spans="1:21" x14ac:dyDescent="0.25">
      <c r="A108" s="108" t="s">
        <v>167</v>
      </c>
      <c r="B108" s="79" t="s">
        <v>97</v>
      </c>
      <c r="C108" s="79" t="s">
        <v>77</v>
      </c>
      <c r="D108" s="157" t="s">
        <v>76</v>
      </c>
      <c r="E108" s="75" t="s">
        <v>22</v>
      </c>
      <c r="F108" s="58">
        <v>940</v>
      </c>
      <c r="G108" s="47"/>
      <c r="H108" s="47"/>
      <c r="I108" s="47"/>
      <c r="J108" s="70">
        <f t="shared" si="3"/>
        <v>940</v>
      </c>
      <c r="K108" s="68" t="s">
        <v>78</v>
      </c>
      <c r="L108" s="63"/>
      <c r="M108" s="65"/>
      <c r="N108" s="66">
        <v>940</v>
      </c>
      <c r="O108" s="115"/>
      <c r="P108" s="18">
        <v>0.28399999999999997</v>
      </c>
      <c r="Q108" s="18">
        <v>0</v>
      </c>
      <c r="R108" s="18">
        <v>0</v>
      </c>
      <c r="S108" s="18">
        <v>0</v>
      </c>
      <c r="T108" s="94">
        <v>0.158</v>
      </c>
      <c r="U108" s="123"/>
    </row>
    <row r="109" spans="1:21" x14ac:dyDescent="0.25">
      <c r="A109" s="108" t="s">
        <v>167</v>
      </c>
      <c r="B109" s="79" t="s">
        <v>168</v>
      </c>
      <c r="C109" s="79" t="s">
        <v>77</v>
      </c>
      <c r="D109" s="157" t="s">
        <v>76</v>
      </c>
      <c r="E109" s="75" t="s">
        <v>22</v>
      </c>
      <c r="F109" s="58">
        <v>746</v>
      </c>
      <c r="G109" s="47"/>
      <c r="H109" s="47"/>
      <c r="I109" s="47"/>
      <c r="J109" s="70">
        <f t="shared" si="3"/>
        <v>746</v>
      </c>
      <c r="K109" s="68" t="s">
        <v>78</v>
      </c>
      <c r="L109" s="63"/>
      <c r="M109" s="65"/>
      <c r="N109" s="66">
        <v>746</v>
      </c>
      <c r="O109" s="115"/>
      <c r="P109" s="18">
        <v>1.2E-2</v>
      </c>
      <c r="Q109" s="18">
        <v>0</v>
      </c>
      <c r="R109" s="18">
        <v>0</v>
      </c>
      <c r="S109" s="18">
        <v>0</v>
      </c>
      <c r="T109" s="94">
        <v>8.0000000000000002E-3</v>
      </c>
      <c r="U109" s="123"/>
    </row>
    <row r="110" spans="1:21" x14ac:dyDescent="0.25">
      <c r="A110" s="81"/>
      <c r="B110" s="132"/>
      <c r="C110" s="82"/>
      <c r="D110" s="70"/>
      <c r="E110" s="57"/>
      <c r="F110" s="58"/>
      <c r="G110" s="47"/>
      <c r="H110" s="47"/>
      <c r="I110" s="47"/>
      <c r="J110" s="70">
        <f t="shared" si="3"/>
        <v>0</v>
      </c>
      <c r="K110" s="55"/>
      <c r="L110" s="63"/>
      <c r="M110" s="65"/>
      <c r="N110" s="107"/>
      <c r="O110" s="115"/>
      <c r="P110" s="18"/>
      <c r="Q110" s="18"/>
      <c r="R110" s="18"/>
      <c r="S110" s="29"/>
      <c r="T110" s="29"/>
      <c r="U110" s="123"/>
    </row>
    <row r="111" spans="1:21" x14ac:dyDescent="0.25">
      <c r="A111" s="124"/>
      <c r="B111" s="133"/>
      <c r="C111" s="125"/>
      <c r="D111" s="126"/>
      <c r="E111" s="87"/>
      <c r="F111" s="88"/>
      <c r="G111" s="89"/>
      <c r="H111" s="89"/>
      <c r="I111" s="89"/>
      <c r="J111" s="127"/>
      <c r="K111" s="90"/>
      <c r="L111" s="63"/>
      <c r="M111" s="64"/>
      <c r="N111" s="107"/>
      <c r="O111" s="115"/>
      <c r="P111" s="18"/>
      <c r="Q111" s="18"/>
      <c r="R111" s="18"/>
      <c r="S111" s="18"/>
      <c r="T111" s="18"/>
      <c r="U111" s="122"/>
    </row>
    <row r="112" spans="1:21" x14ac:dyDescent="0.25">
      <c r="A112" s="124"/>
      <c r="B112" s="133"/>
      <c r="C112" s="125"/>
      <c r="D112" s="127"/>
      <c r="E112" s="87"/>
      <c r="F112" s="88"/>
      <c r="G112" s="91"/>
      <c r="H112" s="91"/>
      <c r="I112" s="91"/>
      <c r="J112" s="127"/>
      <c r="K112" s="144"/>
      <c r="L112" s="63"/>
      <c r="M112" s="65"/>
      <c r="N112" s="107"/>
      <c r="O112" s="115"/>
      <c r="P112" s="18"/>
      <c r="Q112" s="18"/>
      <c r="R112" s="18"/>
      <c r="S112" s="18"/>
      <c r="T112" s="18"/>
      <c r="U112" s="122"/>
    </row>
    <row r="113" spans="1:21" x14ac:dyDescent="0.25">
      <c r="A113" s="127"/>
      <c r="B113" s="134"/>
      <c r="C113" s="125"/>
      <c r="D113" s="127"/>
      <c r="E113" s="87"/>
      <c r="F113" s="88"/>
      <c r="G113" s="91"/>
      <c r="H113" s="91"/>
      <c r="I113" s="91"/>
      <c r="J113" s="127"/>
      <c r="K113" s="90"/>
      <c r="L113" s="56"/>
      <c r="M113" s="65"/>
      <c r="N113" s="107"/>
      <c r="O113" s="115"/>
      <c r="P113" s="18"/>
      <c r="Q113" s="18"/>
      <c r="R113" s="18"/>
      <c r="S113" s="18"/>
      <c r="T113" s="18"/>
      <c r="U113" s="123"/>
    </row>
    <row r="114" spans="1:21" x14ac:dyDescent="0.25">
      <c r="A114" s="128"/>
      <c r="B114" s="135"/>
      <c r="C114" s="129"/>
      <c r="D114" s="23" t="s">
        <v>15</v>
      </c>
      <c r="E114" s="52" t="s">
        <v>22</v>
      </c>
      <c r="F114" s="23">
        <f>SUM(F99:F113)</f>
        <v>8270</v>
      </c>
      <c r="G114" s="23">
        <f>SUM(G99:G113)</f>
        <v>0</v>
      </c>
      <c r="H114" s="23"/>
      <c r="I114" s="23"/>
      <c r="J114" s="23">
        <f>F114-G114</f>
        <v>8270</v>
      </c>
      <c r="K114" s="24" t="s">
        <v>16</v>
      </c>
      <c r="L114" s="25">
        <f>SUM(L99:L110)</f>
        <v>0</v>
      </c>
      <c r="M114" s="25">
        <f>SUM(M99:M110)</f>
        <v>0</v>
      </c>
      <c r="N114" s="25">
        <f>SUM(N99:N113)</f>
        <v>8270</v>
      </c>
      <c r="O114" s="25">
        <f>SUM(O99:O113)</f>
        <v>0</v>
      </c>
      <c r="P114" s="18"/>
      <c r="Q114" s="18"/>
      <c r="R114" s="18"/>
      <c r="S114" s="18"/>
      <c r="T114" s="18"/>
      <c r="U114" s="123"/>
    </row>
    <row r="115" spans="1:21" x14ac:dyDescent="0.25">
      <c r="A115" s="128"/>
      <c r="B115" s="135"/>
      <c r="C115" s="129"/>
      <c r="D115" s="23"/>
      <c r="E115" s="52"/>
      <c r="F115" s="23"/>
      <c r="G115" s="23"/>
      <c r="H115" s="23"/>
      <c r="I115" s="23"/>
      <c r="J115" s="23"/>
      <c r="K115" s="24"/>
      <c r="L115" s="25"/>
      <c r="M115" s="25"/>
      <c r="N115" s="25"/>
      <c r="O115" s="25"/>
      <c r="P115" s="18"/>
      <c r="Q115" s="18"/>
      <c r="R115" s="18"/>
      <c r="S115" s="18"/>
      <c r="T115" s="18"/>
      <c r="U115" s="123"/>
    </row>
    <row r="116" spans="1:21" x14ac:dyDescent="0.25">
      <c r="A116" s="81" t="s">
        <v>164</v>
      </c>
      <c r="B116" s="79" t="s">
        <v>97</v>
      </c>
      <c r="C116" s="79" t="s">
        <v>166</v>
      </c>
      <c r="D116" s="157" t="s">
        <v>76</v>
      </c>
      <c r="E116" s="75" t="s">
        <v>135</v>
      </c>
      <c r="F116" s="58">
        <v>665</v>
      </c>
      <c r="G116" s="47"/>
      <c r="H116" s="47"/>
      <c r="I116" s="47"/>
      <c r="J116" s="70">
        <v>665</v>
      </c>
      <c r="K116" s="68" t="s">
        <v>78</v>
      </c>
      <c r="L116" s="63"/>
      <c r="M116" s="64"/>
      <c r="N116" s="173">
        <v>665</v>
      </c>
      <c r="O116" s="25"/>
      <c r="P116" s="18">
        <v>0.36499999999999999</v>
      </c>
      <c r="Q116" s="18">
        <v>0.22</v>
      </c>
      <c r="R116" s="18">
        <v>0.18</v>
      </c>
      <c r="S116" s="18">
        <v>0</v>
      </c>
      <c r="T116" s="18">
        <v>5.0000000000000001E-3</v>
      </c>
      <c r="U116" s="123"/>
    </row>
    <row r="117" spans="1:21" x14ac:dyDescent="0.25">
      <c r="A117" s="81" t="s">
        <v>164</v>
      </c>
      <c r="B117" s="79" t="s">
        <v>97</v>
      </c>
      <c r="C117" s="79" t="s">
        <v>166</v>
      </c>
      <c r="D117" s="157" t="s">
        <v>76</v>
      </c>
      <c r="E117" s="75" t="s">
        <v>134</v>
      </c>
      <c r="F117" s="58">
        <v>653</v>
      </c>
      <c r="G117" s="46"/>
      <c r="H117" s="47"/>
      <c r="I117" s="46"/>
      <c r="J117" s="70">
        <v>653</v>
      </c>
      <c r="K117" s="68" t="s">
        <v>78</v>
      </c>
      <c r="L117" s="63"/>
      <c r="M117" s="65"/>
      <c r="N117" s="173">
        <v>653</v>
      </c>
      <c r="O117" s="115"/>
      <c r="P117" s="18">
        <v>0.32900000000000001</v>
      </c>
      <c r="Q117" s="18">
        <v>0.25</v>
      </c>
      <c r="R117" s="18">
        <v>0.23</v>
      </c>
      <c r="S117" s="18">
        <v>0</v>
      </c>
      <c r="T117" s="18">
        <v>1.9E-2</v>
      </c>
      <c r="U117" s="123"/>
    </row>
    <row r="118" spans="1:21" x14ac:dyDescent="0.25">
      <c r="A118" s="70"/>
      <c r="B118" s="131"/>
      <c r="C118" s="70"/>
      <c r="D118" s="23" t="s">
        <v>15</v>
      </c>
      <c r="E118" s="52" t="s">
        <v>39</v>
      </c>
      <c r="F118" s="25">
        <f>SUM(F116:F117)</f>
        <v>1318</v>
      </c>
      <c r="G118" s="25">
        <f>SUM(G116:G117)</f>
        <v>0</v>
      </c>
      <c r="H118" s="23"/>
      <c r="I118" s="23"/>
      <c r="J118" s="25">
        <f>F118-G118</f>
        <v>1318</v>
      </c>
      <c r="K118" s="24" t="s">
        <v>16</v>
      </c>
      <c r="L118" s="25">
        <f>SUM(L116:L117)</f>
        <v>0</v>
      </c>
      <c r="M118" s="25">
        <f>SUM(M99:M117)</f>
        <v>0</v>
      </c>
      <c r="N118" s="25">
        <f>SUM(N116:N117)</f>
        <v>1318</v>
      </c>
      <c r="O118" s="25">
        <f>SUM(O99:O117)</f>
        <v>0</v>
      </c>
      <c r="P118" s="26"/>
      <c r="Q118" s="26"/>
      <c r="R118" s="26"/>
      <c r="S118" s="26"/>
      <c r="T118" s="26"/>
      <c r="U118" s="111"/>
    </row>
    <row r="119" spans="1:21" x14ac:dyDescent="0.25">
      <c r="A119" s="70"/>
      <c r="B119" s="131"/>
      <c r="C119" s="81"/>
      <c r="D119" s="70"/>
      <c r="E119" s="108"/>
      <c r="F119" s="70"/>
      <c r="G119" s="70"/>
      <c r="H119" s="70"/>
      <c r="I119" s="70"/>
      <c r="J119" s="70"/>
      <c r="K119" s="70"/>
      <c r="L119" s="101"/>
      <c r="M119" s="109"/>
      <c r="N119" s="107"/>
      <c r="O119" s="115"/>
      <c r="P119" s="26"/>
      <c r="Q119" s="26"/>
      <c r="R119" s="26"/>
      <c r="S119" s="26"/>
      <c r="T119" s="26"/>
      <c r="U119" s="111"/>
    </row>
    <row r="120" spans="1:21" x14ac:dyDescent="0.25">
      <c r="A120" s="70"/>
      <c r="B120" s="131"/>
      <c r="C120" s="70"/>
      <c r="D120" s="70"/>
      <c r="E120" s="70"/>
      <c r="F120" s="70"/>
      <c r="G120" s="70"/>
      <c r="H120" s="70"/>
      <c r="I120" s="70"/>
      <c r="J120" s="70"/>
      <c r="K120" s="70"/>
      <c r="L120" s="101"/>
      <c r="M120" s="109"/>
      <c r="N120" s="107"/>
      <c r="O120" s="115"/>
      <c r="P120" s="26"/>
      <c r="Q120" s="26"/>
      <c r="R120" s="26"/>
      <c r="S120" s="26"/>
      <c r="T120" s="70"/>
      <c r="U120" s="111"/>
    </row>
    <row r="121" spans="1:21" x14ac:dyDescent="0.25">
      <c r="A121" s="70"/>
      <c r="B121" s="131"/>
      <c r="C121" s="70"/>
      <c r="D121" s="204" t="s">
        <v>24</v>
      </c>
      <c r="E121" s="205"/>
      <c r="F121" s="39">
        <f>SUM(F16,F54,F98,F114,F118)</f>
        <v>27097</v>
      </c>
      <c r="G121" s="39">
        <f>SUM(G16,G54,G98,G114,G118)</f>
        <v>0</v>
      </c>
      <c r="H121" s="39"/>
      <c r="I121" s="39"/>
      <c r="J121" s="39">
        <f>SUM(F121-G121)</f>
        <v>27097</v>
      </c>
      <c r="K121" s="40" t="s">
        <v>16</v>
      </c>
      <c r="L121" s="39">
        <f>SUM(L16,L54,L98,L114,L118)</f>
        <v>0</v>
      </c>
      <c r="M121" s="39">
        <f>SUM(M16,M54,M98,M114,M118)</f>
        <v>0</v>
      </c>
      <c r="N121" s="39">
        <f>SUM(N16,N54,N98,N114,N118)</f>
        <v>27097</v>
      </c>
      <c r="O121" s="39">
        <f>SUM(O16,O54,O98,O114,O118)</f>
        <v>0</v>
      </c>
      <c r="P121" s="26"/>
      <c r="Q121" s="26"/>
      <c r="R121" s="26"/>
      <c r="S121" s="26"/>
      <c r="T121" s="70"/>
      <c r="U121" s="111"/>
    </row>
    <row r="122" spans="1:21" x14ac:dyDescent="0.25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6"/>
      <c r="Q122" s="116"/>
      <c r="R122" s="116"/>
      <c r="S122" s="116"/>
      <c r="T122" s="111"/>
      <c r="U122" s="111"/>
    </row>
    <row r="123" spans="1:21" ht="18" x14ac:dyDescent="0.25">
      <c r="A123" s="111"/>
      <c r="B123" s="111"/>
      <c r="C123" s="111"/>
      <c r="D123" s="41"/>
      <c r="E123" s="111"/>
      <c r="F123" s="111"/>
      <c r="G123" s="111"/>
      <c r="H123" s="111"/>
      <c r="I123" s="111"/>
      <c r="J123" s="111"/>
      <c r="K123" s="42" t="s">
        <v>20</v>
      </c>
      <c r="L123" s="42">
        <f>F121-L121-M121-N121-O121</f>
        <v>0</v>
      </c>
      <c r="M123" s="111"/>
      <c r="N123" s="111"/>
      <c r="O123" s="111"/>
      <c r="P123" s="111"/>
      <c r="Q123" s="111"/>
      <c r="R123" s="111"/>
      <c r="S123" s="111"/>
      <c r="T123" s="111"/>
      <c r="U123" s="111"/>
    </row>
    <row r="124" spans="1:21" x14ac:dyDescent="0.25">
      <c r="A124" s="111"/>
      <c r="B124" s="111"/>
      <c r="C124" s="111"/>
      <c r="D124" s="43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</row>
    <row r="125" spans="1:21" x14ac:dyDescent="0.25">
      <c r="A125" s="111"/>
      <c r="B125" s="111"/>
      <c r="C125" s="111"/>
      <c r="D125" s="43"/>
      <c r="E125" s="111"/>
      <c r="F125" s="111"/>
      <c r="G125" s="48"/>
      <c r="H125" s="48"/>
      <c r="I125" s="48"/>
      <c r="J125" s="48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</row>
    <row r="126" spans="1:21" x14ac:dyDescent="0.25">
      <c r="A126" s="111"/>
      <c r="B126" s="111"/>
      <c r="C126" s="111"/>
      <c r="D126" s="43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</row>
    <row r="127" spans="1:21" x14ac:dyDescent="0.25">
      <c r="A127" s="111"/>
      <c r="B127" s="111"/>
      <c r="C127" s="111"/>
      <c r="D127" s="43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</row>
    <row r="128" spans="1:21" x14ac:dyDescent="0.25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</row>
    <row r="129" spans="1:21" x14ac:dyDescent="0.25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</row>
    <row r="130" spans="1:21" ht="33" x14ac:dyDescent="0.45">
      <c r="A130" s="111"/>
      <c r="B130" s="111"/>
      <c r="C130" s="111"/>
      <c r="D130" s="206" t="s">
        <v>48</v>
      </c>
      <c r="E130" s="207"/>
      <c r="F130" s="207"/>
      <c r="G130" s="207"/>
      <c r="H130" s="207"/>
      <c r="I130" s="207"/>
      <c r="J130" s="207"/>
      <c r="K130" s="207"/>
      <c r="L130" s="207"/>
      <c r="M130" s="208"/>
      <c r="N130" s="111"/>
      <c r="O130" s="111"/>
      <c r="P130" s="111"/>
      <c r="Q130" s="111"/>
      <c r="R130" s="111"/>
      <c r="S130" s="111"/>
      <c r="T130" s="111"/>
      <c r="U130" s="111"/>
    </row>
    <row r="131" spans="1:21" x14ac:dyDescent="0.25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</row>
    <row r="132" spans="1:21" x14ac:dyDescent="0.25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</row>
    <row r="133" spans="1:21" x14ac:dyDescent="0.25">
      <c r="A133" s="209" t="s">
        <v>25</v>
      </c>
      <c r="B133" s="210"/>
      <c r="C133" s="211"/>
      <c r="D133" s="44" t="s">
        <v>26</v>
      </c>
      <c r="E133" s="59" t="s">
        <v>34</v>
      </c>
      <c r="F133" s="61" t="s">
        <v>33</v>
      </c>
      <c r="G133" s="209" t="s">
        <v>27</v>
      </c>
      <c r="H133" s="211"/>
      <c r="I133" s="209" t="s">
        <v>28</v>
      </c>
      <c r="J133" s="2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</row>
    <row r="134" spans="1:21" x14ac:dyDescent="0.25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224" t="s">
        <v>35</v>
      </c>
      <c r="M134" s="225"/>
      <c r="N134" s="225"/>
      <c r="O134" s="225"/>
      <c r="P134" s="225"/>
      <c r="Q134" s="225"/>
      <c r="R134" s="225"/>
      <c r="S134" s="225"/>
      <c r="T134" s="225"/>
      <c r="U134" s="225"/>
    </row>
    <row r="135" spans="1:21" x14ac:dyDescent="0.2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</row>
    <row r="136" spans="1:21" x14ac:dyDescent="0.25">
      <c r="A136" s="196" t="s">
        <v>50</v>
      </c>
      <c r="B136" s="197"/>
      <c r="C136" s="198"/>
      <c r="D136" s="49"/>
      <c r="E136" s="84">
        <v>80240</v>
      </c>
      <c r="F136" s="153">
        <v>0.40699999999999997</v>
      </c>
      <c r="G136" s="199">
        <f>E136*0.407</f>
        <v>32657.679999999997</v>
      </c>
      <c r="H136" s="200"/>
      <c r="I136" s="201">
        <v>32</v>
      </c>
      <c r="J136" s="202"/>
      <c r="K136" s="111"/>
      <c r="L136" s="70"/>
      <c r="M136" s="70"/>
      <c r="N136" s="70"/>
      <c r="O136" s="70"/>
      <c r="P136" s="70"/>
      <c r="Q136" s="70"/>
      <c r="R136" s="70"/>
      <c r="S136" s="70"/>
      <c r="T136" s="70"/>
      <c r="U136" s="70"/>
    </row>
    <row r="137" spans="1:21" x14ac:dyDescent="0.25">
      <c r="A137" s="196" t="s">
        <v>51</v>
      </c>
      <c r="B137" s="197"/>
      <c r="C137" s="198"/>
      <c r="D137" s="49"/>
      <c r="E137" s="84">
        <v>90710</v>
      </c>
      <c r="F137" s="153">
        <v>0.376</v>
      </c>
      <c r="G137" s="199">
        <f>E137*0.376</f>
        <v>34106.959999999999</v>
      </c>
      <c r="H137" s="200"/>
      <c r="I137" s="201">
        <v>34</v>
      </c>
      <c r="J137" s="202"/>
      <c r="K137" s="111"/>
      <c r="L137" s="70"/>
      <c r="M137" s="70"/>
      <c r="N137" s="70"/>
      <c r="O137" s="70"/>
      <c r="P137" s="70"/>
      <c r="Q137" s="70"/>
      <c r="R137" s="70"/>
      <c r="S137" s="70"/>
      <c r="T137" s="70"/>
      <c r="U137" s="70"/>
    </row>
    <row r="138" spans="1:21" x14ac:dyDescent="0.25">
      <c r="A138" s="196" t="s">
        <v>52</v>
      </c>
      <c r="B138" s="197"/>
      <c r="C138" s="198"/>
      <c r="D138" s="49"/>
      <c r="E138" s="84">
        <v>81600</v>
      </c>
      <c r="F138" s="153">
        <v>0.40799999999999997</v>
      </c>
      <c r="G138" s="199">
        <f>E138*0.408</f>
        <v>33292.799999999996</v>
      </c>
      <c r="H138" s="200"/>
      <c r="I138" s="201">
        <v>33</v>
      </c>
      <c r="J138" s="202"/>
      <c r="K138" s="111"/>
      <c r="L138" s="70"/>
      <c r="M138" s="70"/>
      <c r="N138" s="70"/>
      <c r="O138" s="70"/>
      <c r="P138" s="70"/>
      <c r="Q138" s="70"/>
      <c r="R138" s="70"/>
      <c r="S138" s="70"/>
      <c r="T138" s="70"/>
      <c r="U138" s="70"/>
    </row>
    <row r="139" spans="1:21" x14ac:dyDescent="0.25">
      <c r="A139" s="196" t="s">
        <v>53</v>
      </c>
      <c r="B139" s="197"/>
      <c r="C139" s="198"/>
      <c r="D139" s="49"/>
      <c r="E139" s="148">
        <v>89.73</v>
      </c>
      <c r="F139" s="71">
        <v>0.35</v>
      </c>
      <c r="G139" s="220">
        <f>E139*0.35</f>
        <v>31.4055</v>
      </c>
      <c r="H139" s="221"/>
      <c r="I139" s="222">
        <v>31</v>
      </c>
      <c r="J139" s="223"/>
      <c r="K139" s="111"/>
      <c r="L139" s="70"/>
      <c r="M139" s="70"/>
      <c r="N139" s="70"/>
      <c r="O139" s="70"/>
      <c r="P139" s="70"/>
      <c r="Q139" s="70"/>
      <c r="R139" s="70"/>
      <c r="S139" s="70"/>
      <c r="T139" s="70"/>
      <c r="U139" s="70"/>
    </row>
    <row r="140" spans="1:21" x14ac:dyDescent="0.25">
      <c r="A140" s="149"/>
      <c r="B140" s="150" t="s">
        <v>77</v>
      </c>
      <c r="C140" s="151"/>
      <c r="D140" s="49"/>
      <c r="E140" s="84">
        <v>34600</v>
      </c>
      <c r="F140" s="71">
        <v>0.45400000000000001</v>
      </c>
      <c r="G140" s="199">
        <f>E140*0.454</f>
        <v>15708.4</v>
      </c>
      <c r="H140" s="200"/>
      <c r="I140" s="222">
        <v>15</v>
      </c>
      <c r="J140" s="223"/>
      <c r="K140" s="111"/>
      <c r="L140" s="70"/>
      <c r="M140" s="70"/>
      <c r="N140" s="70"/>
      <c r="O140" s="70"/>
      <c r="P140" s="70"/>
      <c r="Q140" s="70"/>
      <c r="R140" s="70"/>
      <c r="S140" s="70"/>
      <c r="T140" s="70"/>
      <c r="U140" s="70"/>
    </row>
    <row r="141" spans="1:21" x14ac:dyDescent="0.25">
      <c r="A141" s="212" t="s">
        <v>29</v>
      </c>
      <c r="B141" s="213"/>
      <c r="C141" s="214"/>
      <c r="D141" s="50">
        <f>SUM(D136:D140)</f>
        <v>0</v>
      </c>
      <c r="E141" s="86">
        <f>SUM(E136:E140)</f>
        <v>287239.73</v>
      </c>
      <c r="F141" s="60"/>
      <c r="G141" s="215">
        <f>SUM(G136:G140)</f>
        <v>115797.24549999999</v>
      </c>
      <c r="H141" s="216"/>
      <c r="I141" s="212">
        <f>SUM(I136:I140)</f>
        <v>145</v>
      </c>
      <c r="J141" s="214"/>
    </row>
  </sheetData>
  <mergeCells count="25">
    <mergeCell ref="A141:C141"/>
    <mergeCell ref="G141:H141"/>
    <mergeCell ref="I141:J141"/>
    <mergeCell ref="G1:N1"/>
    <mergeCell ref="G140:H140"/>
    <mergeCell ref="A138:C138"/>
    <mergeCell ref="G138:H138"/>
    <mergeCell ref="I138:J138"/>
    <mergeCell ref="A139:C139"/>
    <mergeCell ref="G139:H139"/>
    <mergeCell ref="I139:J139"/>
    <mergeCell ref="I140:J140"/>
    <mergeCell ref="L134:U134"/>
    <mergeCell ref="A136:C136"/>
    <mergeCell ref="G136:H136"/>
    <mergeCell ref="I136:J136"/>
    <mergeCell ref="A137:C137"/>
    <mergeCell ref="G137:H137"/>
    <mergeCell ref="I137:J137"/>
    <mergeCell ref="A1:C1"/>
    <mergeCell ref="D121:E121"/>
    <mergeCell ref="D130:M130"/>
    <mergeCell ref="A133:C133"/>
    <mergeCell ref="G133:H133"/>
    <mergeCell ref="I133:J13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BCFC-8D99-4CB2-8136-DC59AB3A3D2A}">
  <dimension ref="A1:T467"/>
  <sheetViews>
    <sheetView topLeftCell="A426" zoomScale="93" zoomScaleNormal="93" workbookViewId="0">
      <selection activeCell="G442" sqref="G442"/>
    </sheetView>
  </sheetViews>
  <sheetFormatPr defaultRowHeight="15" x14ac:dyDescent="0.25"/>
  <cols>
    <col min="1" max="2" width="11.7109375" customWidth="1"/>
    <col min="3" max="3" width="11.85546875" customWidth="1"/>
    <col min="4" max="4" width="37.140625" customWidth="1"/>
    <col min="5" max="5" width="23.28515625" customWidth="1"/>
    <col min="6" max="6" width="12.28515625" customWidth="1"/>
    <col min="7" max="7" width="13.85546875" customWidth="1"/>
    <col min="8" max="8" width="14.7109375" customWidth="1"/>
    <col min="9" max="9" width="13.7109375" customWidth="1"/>
    <col min="10" max="10" width="14.85546875" customWidth="1"/>
    <col min="11" max="11" width="21.5703125" customWidth="1"/>
    <col min="12" max="12" width="13.5703125" customWidth="1"/>
    <col min="13" max="15" width="10.28515625" customWidth="1"/>
    <col min="16" max="16" width="9.140625" customWidth="1"/>
    <col min="17" max="17" width="7.140625" customWidth="1"/>
    <col min="18" max="19" width="9.28515625" customWidth="1"/>
  </cols>
  <sheetData>
    <row r="1" spans="1:20" ht="27" thickBot="1" x14ac:dyDescent="0.45">
      <c r="A1" s="203" t="s">
        <v>0</v>
      </c>
      <c r="B1" s="203"/>
      <c r="C1" s="203"/>
      <c r="D1" s="1">
        <v>46253</v>
      </c>
      <c r="E1" s="2"/>
      <c r="F1" s="3"/>
      <c r="G1" s="217" t="s">
        <v>130</v>
      </c>
      <c r="H1" s="218"/>
      <c r="I1" s="218"/>
      <c r="J1" s="227"/>
      <c r="K1" s="226" t="s">
        <v>43</v>
      </c>
      <c r="L1" s="219"/>
    </row>
    <row r="2" spans="1:20" ht="39" thickTop="1" x14ac:dyDescent="0.25">
      <c r="A2" s="6" t="s">
        <v>2</v>
      </c>
      <c r="B2" s="73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36" t="s">
        <v>32</v>
      </c>
      <c r="O2" s="54" t="s">
        <v>40</v>
      </c>
      <c r="P2" s="12" t="s">
        <v>10</v>
      </c>
      <c r="Q2" s="12" t="s">
        <v>11</v>
      </c>
      <c r="R2" s="12" t="s">
        <v>12</v>
      </c>
      <c r="S2" s="12" t="s">
        <v>82</v>
      </c>
      <c r="T2" s="67" t="s">
        <v>36</v>
      </c>
    </row>
    <row r="3" spans="1:20" x14ac:dyDescent="0.25">
      <c r="A3" s="81" t="s">
        <v>116</v>
      </c>
      <c r="B3" s="118" t="s">
        <v>97</v>
      </c>
      <c r="C3" s="45" t="s">
        <v>136</v>
      </c>
      <c r="D3" s="70" t="s">
        <v>98</v>
      </c>
      <c r="E3" s="72" t="s">
        <v>14</v>
      </c>
      <c r="F3" s="70"/>
      <c r="G3" s="76"/>
      <c r="H3" s="76" t="s">
        <v>256</v>
      </c>
      <c r="I3" s="76"/>
      <c r="J3" s="76">
        <f t="shared" ref="J3:J30" si="0">F3-G3</f>
        <v>0</v>
      </c>
      <c r="K3" s="154" t="s">
        <v>63</v>
      </c>
      <c r="L3" s="63"/>
      <c r="M3" s="141"/>
      <c r="N3" s="156"/>
      <c r="O3" s="142"/>
      <c r="P3" s="16">
        <v>3.0000000000000001E-3</v>
      </c>
      <c r="Q3" s="18">
        <v>3.6600000000000001E-2</v>
      </c>
      <c r="R3" s="18">
        <v>5.6599999999999998E-2</v>
      </c>
      <c r="S3" s="16">
        <v>0</v>
      </c>
      <c r="T3" s="13">
        <v>0</v>
      </c>
    </row>
    <row r="4" spans="1:20" x14ac:dyDescent="0.25">
      <c r="A4" s="81" t="s">
        <v>183</v>
      </c>
      <c r="B4" s="118" t="s">
        <v>168</v>
      </c>
      <c r="C4" s="45" t="s">
        <v>181</v>
      </c>
      <c r="D4" s="70" t="s">
        <v>98</v>
      </c>
      <c r="E4" s="72" t="s">
        <v>14</v>
      </c>
      <c r="F4" s="70">
        <v>1000</v>
      </c>
      <c r="G4" s="76"/>
      <c r="H4" s="76"/>
      <c r="I4" s="76"/>
      <c r="J4" s="76">
        <f t="shared" si="0"/>
        <v>1000</v>
      </c>
      <c r="K4" s="154" t="s">
        <v>63</v>
      </c>
      <c r="L4" s="63"/>
      <c r="M4" s="141">
        <v>1000</v>
      </c>
      <c r="N4" s="156"/>
      <c r="O4" s="142"/>
      <c r="P4" s="16">
        <v>2E-3</v>
      </c>
      <c r="Q4" s="18">
        <v>1.4999999999999999E-2</v>
      </c>
      <c r="R4" s="18">
        <v>3.5000000000000003E-2</v>
      </c>
      <c r="S4" s="16">
        <v>0</v>
      </c>
      <c r="T4" s="13">
        <v>0</v>
      </c>
    </row>
    <row r="5" spans="1:20" x14ac:dyDescent="0.25">
      <c r="A5" s="81" t="s">
        <v>183</v>
      </c>
      <c r="B5" s="118" t="s">
        <v>168</v>
      </c>
      <c r="C5" s="45" t="s">
        <v>181</v>
      </c>
      <c r="D5" s="70" t="s">
        <v>98</v>
      </c>
      <c r="E5" s="72" t="s">
        <v>14</v>
      </c>
      <c r="F5" s="70">
        <v>1000</v>
      </c>
      <c r="G5" s="76"/>
      <c r="H5" s="76"/>
      <c r="I5" s="76"/>
      <c r="J5" s="76">
        <f t="shared" si="0"/>
        <v>1000</v>
      </c>
      <c r="K5" s="154" t="s">
        <v>64</v>
      </c>
      <c r="L5" s="63"/>
      <c r="M5" s="141">
        <v>1000</v>
      </c>
      <c r="N5" s="156"/>
      <c r="O5" s="142"/>
      <c r="P5" s="16">
        <v>2E-3</v>
      </c>
      <c r="Q5" s="18">
        <v>5.0000000000000001E-3</v>
      </c>
      <c r="R5" s="18">
        <v>4.4999999999999998E-2</v>
      </c>
      <c r="S5" s="16">
        <v>0</v>
      </c>
      <c r="T5" s="13">
        <v>0</v>
      </c>
    </row>
    <row r="6" spans="1:20" x14ac:dyDescent="0.25">
      <c r="A6" s="81" t="s">
        <v>194</v>
      </c>
      <c r="B6" s="118" t="s">
        <v>168</v>
      </c>
      <c r="C6" s="45" t="s">
        <v>189</v>
      </c>
      <c r="D6" s="70" t="s">
        <v>98</v>
      </c>
      <c r="E6" s="72" t="s">
        <v>14</v>
      </c>
      <c r="F6" s="70">
        <v>1000</v>
      </c>
      <c r="G6" s="76"/>
      <c r="H6" s="76"/>
      <c r="I6" s="76"/>
      <c r="J6" s="76">
        <f t="shared" si="0"/>
        <v>1000</v>
      </c>
      <c r="K6" s="154" t="s">
        <v>68</v>
      </c>
      <c r="L6" s="63"/>
      <c r="M6" s="141">
        <v>1000</v>
      </c>
      <c r="N6" s="156"/>
      <c r="O6" s="142"/>
      <c r="P6" s="16">
        <v>1E-3</v>
      </c>
      <c r="Q6" s="18">
        <v>5.0000000000000001E-3</v>
      </c>
      <c r="R6" s="18">
        <v>0.02</v>
      </c>
      <c r="S6" s="16">
        <v>0</v>
      </c>
      <c r="T6" s="13">
        <v>0</v>
      </c>
    </row>
    <row r="7" spans="1:20" x14ac:dyDescent="0.25">
      <c r="A7" s="81" t="s">
        <v>241</v>
      </c>
      <c r="B7" s="118" t="s">
        <v>168</v>
      </c>
      <c r="C7" s="45" t="s">
        <v>242</v>
      </c>
      <c r="D7" s="70" t="s">
        <v>98</v>
      </c>
      <c r="E7" s="72" t="s">
        <v>14</v>
      </c>
      <c r="F7" s="70">
        <v>1000</v>
      </c>
      <c r="G7" s="76"/>
      <c r="H7" s="76"/>
      <c r="I7" s="76"/>
      <c r="J7" s="76">
        <f t="shared" si="0"/>
        <v>1000</v>
      </c>
      <c r="K7" s="154" t="s">
        <v>63</v>
      </c>
      <c r="L7" s="63"/>
      <c r="M7" s="141"/>
      <c r="N7" s="156">
        <v>1000</v>
      </c>
      <c r="O7" s="142"/>
      <c r="P7" s="16">
        <v>8.0000000000000002E-3</v>
      </c>
      <c r="Q7" s="18">
        <v>4.3299999999999998E-2</v>
      </c>
      <c r="R7" s="18">
        <v>6.6600000000000006E-2</v>
      </c>
      <c r="S7" s="16">
        <v>0</v>
      </c>
      <c r="T7" s="13">
        <v>0</v>
      </c>
    </row>
    <row r="8" spans="1:20" x14ac:dyDescent="0.25">
      <c r="A8" s="81" t="s">
        <v>241</v>
      </c>
      <c r="B8" s="118" t="s">
        <v>168</v>
      </c>
      <c r="C8" s="45" t="s">
        <v>242</v>
      </c>
      <c r="D8" s="70" t="s">
        <v>98</v>
      </c>
      <c r="E8" s="72" t="s">
        <v>14</v>
      </c>
      <c r="F8" s="70">
        <v>1000</v>
      </c>
      <c r="G8" s="76"/>
      <c r="H8" s="76"/>
      <c r="I8" s="76"/>
      <c r="J8" s="76">
        <f t="shared" si="0"/>
        <v>1000</v>
      </c>
      <c r="K8" s="154" t="s">
        <v>64</v>
      </c>
      <c r="L8" s="63"/>
      <c r="M8" s="141"/>
      <c r="N8" s="156">
        <v>1000</v>
      </c>
      <c r="O8" s="142"/>
      <c r="P8" s="16">
        <v>1.2E-2</v>
      </c>
      <c r="Q8" s="18">
        <v>0.04</v>
      </c>
      <c r="R8" s="18">
        <v>2.3300000000000001E-2</v>
      </c>
      <c r="S8" s="16">
        <v>0</v>
      </c>
      <c r="T8" s="13">
        <v>0</v>
      </c>
    </row>
    <row r="9" spans="1:20" x14ac:dyDescent="0.25">
      <c r="A9" s="81" t="s">
        <v>241</v>
      </c>
      <c r="B9" s="118" t="s">
        <v>168</v>
      </c>
      <c r="C9" s="45" t="s">
        <v>242</v>
      </c>
      <c r="D9" s="70" t="s">
        <v>98</v>
      </c>
      <c r="E9" s="72" t="s">
        <v>14</v>
      </c>
      <c r="F9" s="70">
        <v>1000</v>
      </c>
      <c r="G9" s="76"/>
      <c r="H9" s="76"/>
      <c r="I9" s="76"/>
      <c r="J9" s="76">
        <f t="shared" si="0"/>
        <v>1000</v>
      </c>
      <c r="K9" s="154" t="s">
        <v>68</v>
      </c>
      <c r="L9" s="63"/>
      <c r="M9" s="141"/>
      <c r="N9" s="156">
        <v>1000</v>
      </c>
      <c r="O9" s="142"/>
      <c r="P9" s="16">
        <v>1.2999999999999999E-2</v>
      </c>
      <c r="Q9" s="18">
        <v>0.04</v>
      </c>
      <c r="R9" s="18">
        <v>4.3299999999999998E-2</v>
      </c>
      <c r="S9" s="16">
        <v>0</v>
      </c>
      <c r="T9" s="13">
        <v>0</v>
      </c>
    </row>
    <row r="10" spans="1:20" x14ac:dyDescent="0.25">
      <c r="A10" s="81" t="s">
        <v>241</v>
      </c>
      <c r="B10" s="118" t="s">
        <v>168</v>
      </c>
      <c r="C10" s="45" t="s">
        <v>242</v>
      </c>
      <c r="D10" s="70" t="s">
        <v>98</v>
      </c>
      <c r="E10" s="72" t="s">
        <v>14</v>
      </c>
      <c r="F10" s="70">
        <v>1000</v>
      </c>
      <c r="G10" s="76"/>
      <c r="H10" s="76"/>
      <c r="I10" s="76"/>
      <c r="J10" s="76">
        <f t="shared" si="0"/>
        <v>1000</v>
      </c>
      <c r="K10" s="154" t="s">
        <v>69</v>
      </c>
      <c r="L10" s="63"/>
      <c r="M10" s="141"/>
      <c r="N10" s="156">
        <v>1000</v>
      </c>
      <c r="O10" s="142"/>
      <c r="P10" s="16">
        <v>0.01</v>
      </c>
      <c r="Q10" s="18">
        <v>2.6599999999999999E-2</v>
      </c>
      <c r="R10" s="18">
        <v>4.6600000000000003E-2</v>
      </c>
      <c r="S10" s="16">
        <v>0</v>
      </c>
      <c r="T10" s="13">
        <v>0</v>
      </c>
    </row>
    <row r="11" spans="1:20" x14ac:dyDescent="0.25">
      <c r="A11" s="81" t="s">
        <v>241</v>
      </c>
      <c r="B11" s="118" t="s">
        <v>168</v>
      </c>
      <c r="C11" s="45" t="s">
        <v>242</v>
      </c>
      <c r="D11" s="70" t="s">
        <v>98</v>
      </c>
      <c r="E11" s="72" t="s">
        <v>14</v>
      </c>
      <c r="F11" s="70">
        <v>1000</v>
      </c>
      <c r="G11" s="76"/>
      <c r="H11" s="76"/>
      <c r="I11" s="76"/>
      <c r="J11" s="76">
        <f t="shared" si="0"/>
        <v>1000</v>
      </c>
      <c r="K11" s="154" t="s">
        <v>70</v>
      </c>
      <c r="L11" s="63"/>
      <c r="M11" s="141"/>
      <c r="N11" s="156">
        <v>1000</v>
      </c>
      <c r="O11" s="142"/>
      <c r="P11" s="16">
        <v>1.7999999999999999E-2</v>
      </c>
      <c r="Q11" s="18">
        <v>3.3300000000000003E-2</v>
      </c>
      <c r="R11" s="18">
        <v>5.6599999999999998E-2</v>
      </c>
      <c r="S11" s="16">
        <v>0</v>
      </c>
      <c r="T11" s="13">
        <v>0</v>
      </c>
    </row>
    <row r="12" spans="1:20" x14ac:dyDescent="0.25">
      <c r="A12" s="81" t="s">
        <v>241</v>
      </c>
      <c r="B12" s="118" t="s">
        <v>168</v>
      </c>
      <c r="C12" s="45" t="s">
        <v>242</v>
      </c>
      <c r="D12" s="70" t="s">
        <v>98</v>
      </c>
      <c r="E12" s="72" t="s">
        <v>14</v>
      </c>
      <c r="F12" s="70">
        <v>1000</v>
      </c>
      <c r="G12" s="76"/>
      <c r="H12" s="76"/>
      <c r="I12" s="76"/>
      <c r="J12" s="76">
        <f t="shared" si="0"/>
        <v>1000</v>
      </c>
      <c r="K12" s="154" t="s">
        <v>71</v>
      </c>
      <c r="L12" s="63"/>
      <c r="M12" s="141"/>
      <c r="N12" s="156">
        <v>1000</v>
      </c>
      <c r="O12" s="142"/>
      <c r="P12" s="16">
        <v>1.2999999999999999E-2</v>
      </c>
      <c r="Q12" s="18">
        <v>4.6600000000000003E-2</v>
      </c>
      <c r="R12" s="18">
        <v>4.3299999999999998E-2</v>
      </c>
      <c r="S12" s="16">
        <v>0</v>
      </c>
      <c r="T12" s="13">
        <v>0</v>
      </c>
    </row>
    <row r="13" spans="1:20" x14ac:dyDescent="0.25">
      <c r="A13" s="81" t="s">
        <v>241</v>
      </c>
      <c r="B13" s="118" t="s">
        <v>168</v>
      </c>
      <c r="C13" s="45" t="s">
        <v>242</v>
      </c>
      <c r="D13" s="70" t="s">
        <v>98</v>
      </c>
      <c r="E13" s="72" t="s">
        <v>14</v>
      </c>
      <c r="F13" s="70">
        <v>1000</v>
      </c>
      <c r="G13" s="76"/>
      <c r="H13" s="76"/>
      <c r="I13" s="76"/>
      <c r="J13" s="76">
        <f t="shared" si="0"/>
        <v>1000</v>
      </c>
      <c r="K13" s="154" t="s">
        <v>72</v>
      </c>
      <c r="L13" s="63"/>
      <c r="M13" s="141">
        <v>1000</v>
      </c>
      <c r="N13" s="156"/>
      <c r="O13" s="142"/>
      <c r="P13" s="16">
        <v>0.01</v>
      </c>
      <c r="Q13" s="18">
        <v>0.04</v>
      </c>
      <c r="R13" s="18">
        <v>5.33E-2</v>
      </c>
      <c r="S13" s="16">
        <v>0</v>
      </c>
      <c r="T13" s="13">
        <v>0</v>
      </c>
    </row>
    <row r="14" spans="1:20" x14ac:dyDescent="0.25">
      <c r="A14" s="81" t="s">
        <v>292</v>
      </c>
      <c r="B14" s="118" t="s">
        <v>168</v>
      </c>
      <c r="C14" s="45" t="s">
        <v>283</v>
      </c>
      <c r="D14" s="70" t="s">
        <v>98</v>
      </c>
      <c r="E14" s="72" t="s">
        <v>14</v>
      </c>
      <c r="F14" s="70">
        <v>1000</v>
      </c>
      <c r="G14" s="76"/>
      <c r="H14" s="76"/>
      <c r="I14" s="76"/>
      <c r="J14" s="76">
        <f t="shared" si="0"/>
        <v>1000</v>
      </c>
      <c r="K14" s="154" t="s">
        <v>63</v>
      </c>
      <c r="L14" s="63"/>
      <c r="M14" s="141">
        <v>1000</v>
      </c>
      <c r="N14" s="156"/>
      <c r="O14" s="142"/>
      <c r="P14" s="16">
        <v>2.8000000000000001E-2</v>
      </c>
      <c r="Q14" s="18">
        <v>0.04</v>
      </c>
      <c r="R14" s="18">
        <v>7.3300000000000004E-2</v>
      </c>
      <c r="S14" s="16">
        <v>0</v>
      </c>
      <c r="T14" s="13">
        <v>0</v>
      </c>
    </row>
    <row r="15" spans="1:20" x14ac:dyDescent="0.25">
      <c r="A15" s="81" t="s">
        <v>292</v>
      </c>
      <c r="B15" s="118" t="s">
        <v>168</v>
      </c>
      <c r="C15" s="45" t="s">
        <v>283</v>
      </c>
      <c r="D15" s="70" t="s">
        <v>98</v>
      </c>
      <c r="E15" s="72" t="s">
        <v>14</v>
      </c>
      <c r="F15" s="70">
        <v>1000</v>
      </c>
      <c r="G15" s="76"/>
      <c r="H15" s="76"/>
      <c r="I15" s="76"/>
      <c r="J15" s="76">
        <f t="shared" si="0"/>
        <v>1000</v>
      </c>
      <c r="K15" s="154" t="s">
        <v>64</v>
      </c>
      <c r="L15" s="63"/>
      <c r="M15" s="141">
        <v>1000</v>
      </c>
      <c r="N15" s="156"/>
      <c r="O15" s="142"/>
      <c r="P15" s="16">
        <v>1.4999999999999999E-2</v>
      </c>
      <c r="Q15" s="18">
        <v>2.6599999999999999E-2</v>
      </c>
      <c r="R15" s="18">
        <v>3.6600000000000001E-2</v>
      </c>
      <c r="S15" s="16">
        <v>0</v>
      </c>
      <c r="T15" s="13">
        <v>0</v>
      </c>
    </row>
    <row r="16" spans="1:20" x14ac:dyDescent="0.25">
      <c r="A16" s="81" t="s">
        <v>292</v>
      </c>
      <c r="B16" s="118" t="s">
        <v>168</v>
      </c>
      <c r="C16" s="45" t="s">
        <v>283</v>
      </c>
      <c r="D16" s="70" t="s">
        <v>98</v>
      </c>
      <c r="E16" s="72" t="s">
        <v>14</v>
      </c>
      <c r="F16" s="70">
        <v>1046</v>
      </c>
      <c r="G16" s="76"/>
      <c r="H16" s="76"/>
      <c r="I16" s="76"/>
      <c r="J16" s="76">
        <f t="shared" si="0"/>
        <v>1046</v>
      </c>
      <c r="K16" s="154" t="s">
        <v>68</v>
      </c>
      <c r="L16" s="63"/>
      <c r="M16" s="141">
        <v>1046</v>
      </c>
      <c r="N16" s="156"/>
      <c r="O16" s="142"/>
      <c r="P16" s="16">
        <v>1.6E-2</v>
      </c>
      <c r="Q16" s="18">
        <v>1.66E-2</v>
      </c>
      <c r="R16" s="18">
        <v>4.6600000000000003E-2</v>
      </c>
      <c r="S16" s="16">
        <v>0</v>
      </c>
      <c r="T16" s="13">
        <v>0</v>
      </c>
    </row>
    <row r="17" spans="1:20" x14ac:dyDescent="0.25">
      <c r="A17" s="81"/>
      <c r="B17" s="118"/>
      <c r="C17" s="45"/>
      <c r="D17" s="70"/>
      <c r="E17" s="72"/>
      <c r="F17" s="70"/>
      <c r="G17" s="76"/>
      <c r="H17" s="76"/>
      <c r="I17" s="76"/>
      <c r="J17" s="76">
        <f t="shared" si="0"/>
        <v>0</v>
      </c>
      <c r="K17" s="154"/>
      <c r="L17" s="63"/>
      <c r="M17" s="141"/>
      <c r="N17" s="156"/>
      <c r="O17" s="142"/>
      <c r="P17" s="16"/>
      <c r="Q17" s="18"/>
      <c r="R17" s="18"/>
      <c r="S17" s="16"/>
      <c r="T17" s="13"/>
    </row>
    <row r="18" spans="1:20" x14ac:dyDescent="0.25">
      <c r="A18" s="81"/>
      <c r="B18" s="118"/>
      <c r="C18" s="45"/>
      <c r="D18" s="70"/>
      <c r="E18" s="72"/>
      <c r="F18" s="70"/>
      <c r="G18" s="76"/>
      <c r="H18" s="76"/>
      <c r="I18" s="76"/>
      <c r="J18" s="76">
        <f t="shared" si="0"/>
        <v>0</v>
      </c>
      <c r="K18" s="154"/>
      <c r="L18" s="63"/>
      <c r="M18" s="141"/>
      <c r="N18" s="156"/>
      <c r="O18" s="142"/>
      <c r="P18" s="16"/>
      <c r="Q18" s="18"/>
      <c r="R18" s="18"/>
      <c r="S18" s="16"/>
      <c r="T18" s="13"/>
    </row>
    <row r="19" spans="1:20" x14ac:dyDescent="0.25">
      <c r="A19" s="81"/>
      <c r="B19" s="118"/>
      <c r="C19" s="45"/>
      <c r="D19" s="70"/>
      <c r="E19" s="72"/>
      <c r="F19" s="70"/>
      <c r="G19" s="76"/>
      <c r="H19" s="76"/>
      <c r="I19" s="76"/>
      <c r="J19" s="76">
        <f t="shared" si="0"/>
        <v>0</v>
      </c>
      <c r="K19" s="154"/>
      <c r="L19" s="63"/>
      <c r="M19" s="141"/>
      <c r="N19" s="156"/>
      <c r="O19" s="142"/>
      <c r="P19" s="16"/>
      <c r="Q19" s="18"/>
      <c r="R19" s="18"/>
      <c r="S19" s="16"/>
      <c r="T19" s="13"/>
    </row>
    <row r="20" spans="1:20" x14ac:dyDescent="0.25">
      <c r="A20" s="81" t="s">
        <v>194</v>
      </c>
      <c r="B20" s="118"/>
      <c r="C20" s="45" t="s">
        <v>184</v>
      </c>
      <c r="D20" s="70" t="s">
        <v>98</v>
      </c>
      <c r="E20" s="72" t="s">
        <v>14</v>
      </c>
      <c r="F20" s="70">
        <v>1000</v>
      </c>
      <c r="G20" s="76"/>
      <c r="H20" s="76"/>
      <c r="I20" s="76"/>
      <c r="J20" s="76">
        <f t="shared" si="0"/>
        <v>1000</v>
      </c>
      <c r="K20" s="154" t="s">
        <v>84</v>
      </c>
      <c r="L20" s="63"/>
      <c r="M20" s="141">
        <v>1000</v>
      </c>
      <c r="N20" s="156"/>
      <c r="O20" s="142"/>
      <c r="P20" s="16">
        <v>7.0000000000000001E-3</v>
      </c>
      <c r="Q20" s="18">
        <v>1.66E-2</v>
      </c>
      <c r="R20" s="18">
        <v>6.6E-3</v>
      </c>
      <c r="S20" s="16">
        <v>3.5999999999999997E-2</v>
      </c>
      <c r="T20" s="13"/>
    </row>
    <row r="21" spans="1:20" x14ac:dyDescent="0.25">
      <c r="A21" s="81" t="s">
        <v>194</v>
      </c>
      <c r="B21" s="118"/>
      <c r="C21" s="45" t="s">
        <v>184</v>
      </c>
      <c r="D21" s="70" t="s">
        <v>98</v>
      </c>
      <c r="E21" s="72" t="s">
        <v>14</v>
      </c>
      <c r="F21" s="70">
        <v>429</v>
      </c>
      <c r="G21" s="76"/>
      <c r="H21" s="76"/>
      <c r="I21" s="76"/>
      <c r="J21" s="76">
        <f t="shared" si="0"/>
        <v>429</v>
      </c>
      <c r="K21" s="154" t="s">
        <v>85</v>
      </c>
      <c r="L21" s="63"/>
      <c r="M21" s="141">
        <v>429</v>
      </c>
      <c r="N21" s="156"/>
      <c r="O21" s="142"/>
      <c r="P21" s="16">
        <v>6.0000000000000001E-3</v>
      </c>
      <c r="Q21" s="18">
        <v>0.02</v>
      </c>
      <c r="R21" s="18">
        <v>1.66E-2</v>
      </c>
      <c r="S21" s="16">
        <v>4.2999999999999997E-2</v>
      </c>
      <c r="T21" s="13"/>
    </row>
    <row r="22" spans="1:20" x14ac:dyDescent="0.25">
      <c r="A22" s="81" t="s">
        <v>232</v>
      </c>
      <c r="B22" s="118"/>
      <c r="C22" s="45" t="s">
        <v>217</v>
      </c>
      <c r="D22" s="70" t="s">
        <v>98</v>
      </c>
      <c r="E22" s="72" t="s">
        <v>14</v>
      </c>
      <c r="F22" s="70">
        <v>1000</v>
      </c>
      <c r="G22" s="76"/>
      <c r="H22" s="76"/>
      <c r="I22" s="76"/>
      <c r="J22" s="76">
        <f t="shared" si="0"/>
        <v>1000</v>
      </c>
      <c r="K22" s="154" t="s">
        <v>86</v>
      </c>
      <c r="L22" s="63"/>
      <c r="M22" s="141">
        <v>1000</v>
      </c>
      <c r="N22" s="156"/>
      <c r="O22" s="142"/>
      <c r="P22" s="16">
        <v>1.2E-2</v>
      </c>
      <c r="Q22" s="18">
        <v>0.04</v>
      </c>
      <c r="R22" s="18">
        <v>6.6600000000000006E-2</v>
      </c>
      <c r="S22" s="16">
        <v>6.5000000000000002E-2</v>
      </c>
      <c r="T22" s="13"/>
    </row>
    <row r="23" spans="1:20" x14ac:dyDescent="0.25">
      <c r="A23" s="81" t="s">
        <v>276</v>
      </c>
      <c r="B23" s="118"/>
      <c r="C23" s="45" t="s">
        <v>245</v>
      </c>
      <c r="D23" s="70" t="s">
        <v>98</v>
      </c>
      <c r="E23" s="72" t="s">
        <v>14</v>
      </c>
      <c r="F23" s="70">
        <v>1000</v>
      </c>
      <c r="G23" s="76"/>
      <c r="H23" s="76"/>
      <c r="I23" s="76"/>
      <c r="J23" s="76">
        <f t="shared" si="0"/>
        <v>1000</v>
      </c>
      <c r="K23" s="154" t="s">
        <v>87</v>
      </c>
      <c r="L23" s="63"/>
      <c r="M23" s="141">
        <v>1000</v>
      </c>
      <c r="N23" s="156"/>
      <c r="O23" s="142"/>
      <c r="P23" s="16">
        <v>8.9999999999999993E-3</v>
      </c>
      <c r="Q23" s="18">
        <v>2.3300000000000001E-2</v>
      </c>
      <c r="R23" s="18">
        <v>0.04</v>
      </c>
      <c r="S23" s="16">
        <v>7.6999999999999999E-2</v>
      </c>
      <c r="T23" s="13"/>
    </row>
    <row r="24" spans="1:20" x14ac:dyDescent="0.25">
      <c r="A24" s="81" t="s">
        <v>276</v>
      </c>
      <c r="B24" s="118"/>
      <c r="C24" s="45" t="s">
        <v>245</v>
      </c>
      <c r="D24" s="70" t="s">
        <v>98</v>
      </c>
      <c r="E24" s="72" t="s">
        <v>14</v>
      </c>
      <c r="F24" s="70">
        <v>1060</v>
      </c>
      <c r="G24" s="76"/>
      <c r="H24" s="76"/>
      <c r="I24" s="76"/>
      <c r="J24" s="76">
        <f t="shared" si="0"/>
        <v>1060</v>
      </c>
      <c r="K24" s="154" t="s">
        <v>88</v>
      </c>
      <c r="L24" s="63"/>
      <c r="M24" s="141">
        <v>1060</v>
      </c>
      <c r="N24" s="156"/>
      <c r="O24" s="142"/>
      <c r="P24" s="16">
        <v>1.0999999999999999E-2</v>
      </c>
      <c r="Q24" s="18">
        <v>3.6600000000000001E-2</v>
      </c>
      <c r="R24" s="18">
        <v>5.33E-2</v>
      </c>
      <c r="S24" s="16">
        <v>0.04</v>
      </c>
      <c r="T24" s="13"/>
    </row>
    <row r="25" spans="1:20" x14ac:dyDescent="0.25">
      <c r="A25" s="81"/>
      <c r="B25" s="118"/>
      <c r="C25" s="45"/>
      <c r="D25" s="70"/>
      <c r="E25" s="72"/>
      <c r="F25" s="70"/>
      <c r="G25" s="76"/>
      <c r="H25" s="76"/>
      <c r="I25" s="76"/>
      <c r="J25" s="76"/>
      <c r="K25" s="154"/>
      <c r="L25" s="63"/>
      <c r="M25" s="141"/>
      <c r="N25" s="156"/>
      <c r="O25" s="142"/>
      <c r="P25" s="16"/>
      <c r="Q25" s="18"/>
      <c r="R25" s="18"/>
      <c r="S25" s="16"/>
      <c r="T25" s="13"/>
    </row>
    <row r="26" spans="1:20" x14ac:dyDescent="0.25">
      <c r="A26" s="81"/>
      <c r="B26" s="118"/>
      <c r="C26" s="45"/>
      <c r="D26" s="70"/>
      <c r="E26" s="72"/>
      <c r="F26" s="70"/>
      <c r="G26" s="76"/>
      <c r="H26" s="76"/>
      <c r="I26" s="76"/>
      <c r="J26" s="76">
        <f t="shared" si="0"/>
        <v>0</v>
      </c>
      <c r="K26" s="154"/>
      <c r="L26" s="63"/>
      <c r="M26" s="141"/>
      <c r="N26" s="156"/>
      <c r="O26" s="142"/>
      <c r="P26" s="16"/>
      <c r="Q26" s="18"/>
      <c r="R26" s="18"/>
      <c r="S26" s="16"/>
      <c r="T26" s="13"/>
    </row>
    <row r="27" spans="1:20" x14ac:dyDescent="0.25">
      <c r="A27" s="81" t="s">
        <v>213</v>
      </c>
      <c r="B27" s="118" t="s">
        <v>168</v>
      </c>
      <c r="C27" s="45" t="s">
        <v>195</v>
      </c>
      <c r="D27" s="70" t="s">
        <v>98</v>
      </c>
      <c r="E27" s="72" t="s">
        <v>14</v>
      </c>
      <c r="F27" s="70"/>
      <c r="G27" s="76"/>
      <c r="H27" s="76" t="s">
        <v>256</v>
      </c>
      <c r="I27" s="76"/>
      <c r="J27" s="76">
        <f t="shared" si="0"/>
        <v>0</v>
      </c>
      <c r="K27" s="154" t="s">
        <v>186</v>
      </c>
      <c r="L27" s="63"/>
      <c r="M27" s="141"/>
      <c r="N27" s="156"/>
      <c r="O27" s="142"/>
      <c r="P27" s="16">
        <v>2.1000000000000001E-2</v>
      </c>
      <c r="Q27" s="18">
        <v>4.6600000000000003E-2</v>
      </c>
      <c r="R27" s="18">
        <v>0.12</v>
      </c>
      <c r="S27" s="16"/>
      <c r="T27" s="13"/>
    </row>
    <row r="28" spans="1:20" x14ac:dyDescent="0.25">
      <c r="A28" s="81" t="s">
        <v>216</v>
      </c>
      <c r="B28" s="118" t="s">
        <v>168</v>
      </c>
      <c r="C28" s="45" t="s">
        <v>195</v>
      </c>
      <c r="D28" s="70" t="s">
        <v>98</v>
      </c>
      <c r="E28" s="72" t="s">
        <v>14</v>
      </c>
      <c r="F28" s="70"/>
      <c r="G28" s="76"/>
      <c r="H28" s="76" t="s">
        <v>256</v>
      </c>
      <c r="I28" s="76"/>
      <c r="J28" s="76">
        <f t="shared" si="0"/>
        <v>0</v>
      </c>
      <c r="K28" s="154" t="s">
        <v>187</v>
      </c>
      <c r="L28" s="63"/>
      <c r="M28" s="141"/>
      <c r="N28" s="156"/>
      <c r="O28" s="142"/>
      <c r="P28" s="16">
        <v>2.4E-2</v>
      </c>
      <c r="Q28" s="18">
        <v>0.06</v>
      </c>
      <c r="R28" s="18">
        <v>0.13</v>
      </c>
      <c r="S28" s="16"/>
      <c r="T28" s="13"/>
    </row>
    <row r="29" spans="1:20" x14ac:dyDescent="0.25">
      <c r="A29" s="81" t="s">
        <v>216</v>
      </c>
      <c r="B29" s="118" t="s">
        <v>168</v>
      </c>
      <c r="C29" s="45" t="s">
        <v>195</v>
      </c>
      <c r="D29" s="70" t="s">
        <v>98</v>
      </c>
      <c r="E29" s="72" t="s">
        <v>14</v>
      </c>
      <c r="F29" s="70">
        <v>635</v>
      </c>
      <c r="G29" s="76"/>
      <c r="H29" s="76"/>
      <c r="I29" s="76"/>
      <c r="J29" s="76">
        <f t="shared" si="0"/>
        <v>635</v>
      </c>
      <c r="K29" s="154" t="s">
        <v>83</v>
      </c>
      <c r="L29" s="63"/>
      <c r="M29" s="141">
        <v>635</v>
      </c>
      <c r="N29" s="156"/>
      <c r="O29" s="142"/>
      <c r="P29" s="16">
        <v>2.4E-2</v>
      </c>
      <c r="Q29" s="18">
        <v>0.06</v>
      </c>
      <c r="R29" s="18">
        <v>0.13</v>
      </c>
      <c r="S29" s="16"/>
      <c r="T29" s="13"/>
    </row>
    <row r="30" spans="1:20" x14ac:dyDescent="0.25">
      <c r="A30" s="81"/>
      <c r="B30" s="118"/>
      <c r="C30" s="45"/>
      <c r="D30" s="70"/>
      <c r="E30" s="72"/>
      <c r="F30" s="167"/>
      <c r="G30" s="76"/>
      <c r="H30" s="76"/>
      <c r="I30" s="76"/>
      <c r="J30" s="76">
        <f t="shared" si="0"/>
        <v>0</v>
      </c>
      <c r="K30" s="154"/>
      <c r="L30" s="63"/>
      <c r="M30" s="141"/>
      <c r="N30" s="156"/>
      <c r="O30" s="142"/>
      <c r="P30" s="16"/>
      <c r="Q30" s="18"/>
      <c r="R30" s="18"/>
      <c r="S30" s="16"/>
      <c r="T30" s="13"/>
    </row>
    <row r="31" spans="1:20" x14ac:dyDescent="0.25">
      <c r="A31" s="19"/>
      <c r="B31" s="74"/>
      <c r="C31" s="96"/>
      <c r="D31" s="20" t="s">
        <v>21</v>
      </c>
      <c r="E31" s="97"/>
      <c r="F31" s="98"/>
      <c r="G31" s="98"/>
      <c r="H31" s="98"/>
      <c r="I31" s="98"/>
      <c r="J31" s="98"/>
      <c r="K31" s="21"/>
      <c r="L31" s="14"/>
      <c r="M31" s="143"/>
      <c r="N31" s="156"/>
      <c r="O31" s="53"/>
      <c r="P31" s="16"/>
      <c r="Q31" s="17"/>
      <c r="R31" s="17"/>
      <c r="S31" s="17"/>
      <c r="T31" s="13"/>
    </row>
    <row r="32" spans="1:20" x14ac:dyDescent="0.25">
      <c r="A32" s="19"/>
      <c r="B32" s="74"/>
      <c r="C32" s="96"/>
      <c r="D32" s="20"/>
      <c r="E32" s="97"/>
      <c r="F32" s="98"/>
      <c r="G32" s="98"/>
      <c r="H32" s="98"/>
      <c r="I32" s="98"/>
      <c r="J32" s="98"/>
      <c r="K32" s="21"/>
      <c r="L32" s="14"/>
      <c r="M32" s="143"/>
      <c r="N32" s="15"/>
      <c r="O32" s="53"/>
      <c r="P32" s="16"/>
      <c r="Q32" s="17"/>
      <c r="R32" s="17"/>
      <c r="S32" s="17"/>
      <c r="T32" s="13"/>
    </row>
    <row r="33" spans="1:20" x14ac:dyDescent="0.25">
      <c r="A33" s="112"/>
      <c r="B33" s="96"/>
      <c r="C33" s="99"/>
      <c r="D33" s="100"/>
      <c r="E33" s="120"/>
      <c r="F33" s="98"/>
      <c r="G33" s="98"/>
      <c r="H33" s="98"/>
      <c r="I33" s="172"/>
      <c r="J33" s="98"/>
      <c r="K33" s="21"/>
      <c r="L33" s="22"/>
      <c r="M33" s="143"/>
      <c r="N33" s="15"/>
      <c r="O33" s="53"/>
      <c r="P33" s="13"/>
      <c r="Q33" s="13"/>
      <c r="R33" s="13"/>
      <c r="S33" s="13"/>
      <c r="T33" s="13"/>
    </row>
    <row r="34" spans="1:20" x14ac:dyDescent="0.25">
      <c r="A34" s="113"/>
      <c r="B34" s="111"/>
      <c r="C34" s="70"/>
      <c r="D34" s="23" t="s">
        <v>15</v>
      </c>
      <c r="E34" s="51" t="s">
        <v>14</v>
      </c>
      <c r="F34" s="23">
        <f>SUM(F3:F33)</f>
        <v>18170</v>
      </c>
      <c r="G34" s="23">
        <f>SUM(G3:G33)</f>
        <v>0</v>
      </c>
      <c r="H34" s="23"/>
      <c r="I34" s="23"/>
      <c r="J34" s="23">
        <f>F34-G34</f>
        <v>18170</v>
      </c>
      <c r="K34" s="24" t="s">
        <v>16</v>
      </c>
      <c r="L34" s="25">
        <f>SUM(L3:L33)</f>
        <v>0</v>
      </c>
      <c r="M34" s="25">
        <f>SUM(M3:M33)</f>
        <v>12170</v>
      </c>
      <c r="N34" s="25">
        <f>SUM(N3:N33)</f>
        <v>6000</v>
      </c>
      <c r="O34" s="25">
        <f>SUM(O3:O33)</f>
        <v>0</v>
      </c>
      <c r="P34" s="26"/>
      <c r="Q34" s="26"/>
      <c r="R34" s="26"/>
      <c r="S34" s="26"/>
      <c r="T34" s="26"/>
    </row>
    <row r="35" spans="1:20" x14ac:dyDescent="0.25">
      <c r="A35" s="81"/>
      <c r="B35" s="118"/>
      <c r="C35" s="45"/>
      <c r="D35" s="70"/>
      <c r="E35" s="72"/>
      <c r="F35" s="70"/>
      <c r="G35" s="70"/>
      <c r="H35" s="76"/>
      <c r="I35" s="70"/>
      <c r="J35" s="76"/>
      <c r="K35" s="154"/>
      <c r="L35" s="63"/>
      <c r="M35" s="140"/>
      <c r="N35" s="156"/>
      <c r="O35" s="95"/>
      <c r="P35" s="18"/>
      <c r="Q35" s="18"/>
      <c r="R35" s="18"/>
      <c r="S35" s="18"/>
      <c r="T35" s="26"/>
    </row>
    <row r="36" spans="1:20" x14ac:dyDescent="0.25">
      <c r="A36" s="81" t="s">
        <v>79</v>
      </c>
      <c r="B36" s="118"/>
      <c r="C36" s="45" t="s">
        <v>80</v>
      </c>
      <c r="D36" s="70" t="s">
        <v>81</v>
      </c>
      <c r="E36" s="72" t="s">
        <v>17</v>
      </c>
      <c r="F36" s="70">
        <v>500</v>
      </c>
      <c r="G36" s="70"/>
      <c r="H36" s="76"/>
      <c r="I36" s="70"/>
      <c r="J36" s="76">
        <f t="shared" ref="J36" si="1">F36-G36</f>
        <v>500</v>
      </c>
      <c r="K36" s="154" t="s">
        <v>87</v>
      </c>
      <c r="L36" s="63"/>
      <c r="M36" s="140">
        <v>500</v>
      </c>
      <c r="N36" s="103"/>
      <c r="O36" s="95"/>
      <c r="P36" s="18">
        <v>0.11799999999999999</v>
      </c>
      <c r="Q36" s="18">
        <v>0.08</v>
      </c>
      <c r="R36" s="18">
        <v>6.3299999999999995E-2</v>
      </c>
      <c r="S36" s="18">
        <v>1.7999999999999999E-2</v>
      </c>
      <c r="T36" s="26">
        <v>0.2</v>
      </c>
    </row>
    <row r="37" spans="1:20" x14ac:dyDescent="0.25">
      <c r="A37" s="81"/>
      <c r="B37" s="118"/>
      <c r="C37" s="45"/>
      <c r="D37" s="70"/>
      <c r="E37" s="72"/>
      <c r="F37" s="70"/>
      <c r="G37" s="70"/>
      <c r="H37" s="76"/>
      <c r="I37" s="70"/>
      <c r="J37" s="76"/>
      <c r="K37" s="154"/>
      <c r="L37" s="63"/>
      <c r="M37" s="140"/>
      <c r="N37" s="103"/>
      <c r="O37" s="95"/>
      <c r="P37" s="18"/>
      <c r="Q37" s="18"/>
      <c r="R37" s="18"/>
      <c r="S37" s="18"/>
      <c r="T37" s="26"/>
    </row>
    <row r="38" spans="1:20" x14ac:dyDescent="0.25">
      <c r="A38" s="81" t="s">
        <v>104</v>
      </c>
      <c r="B38" s="118"/>
      <c r="C38" s="45" t="s">
        <v>105</v>
      </c>
      <c r="D38" s="70" t="s">
        <v>81</v>
      </c>
      <c r="E38" s="72" t="s">
        <v>17</v>
      </c>
      <c r="F38" s="70">
        <v>1000</v>
      </c>
      <c r="G38" s="70"/>
      <c r="H38" s="76"/>
      <c r="I38" s="70"/>
      <c r="J38" s="70">
        <f t="shared" ref="J38" si="2">F38-G38</f>
        <v>1000</v>
      </c>
      <c r="K38" s="154" t="s">
        <v>83</v>
      </c>
      <c r="L38" s="63"/>
      <c r="M38" s="140">
        <v>1000</v>
      </c>
      <c r="N38" s="103"/>
      <c r="O38" s="95"/>
      <c r="P38" s="18">
        <v>2E-3</v>
      </c>
      <c r="Q38" s="18">
        <v>3.6600000000000001E-2</v>
      </c>
      <c r="R38" s="18">
        <v>3.3300000000000003E-2</v>
      </c>
      <c r="S38" s="18">
        <v>8.9999999999999993E-3</v>
      </c>
      <c r="T38" s="26"/>
    </row>
    <row r="39" spans="1:20" x14ac:dyDescent="0.25">
      <c r="A39" s="81" t="s">
        <v>104</v>
      </c>
      <c r="B39" s="118"/>
      <c r="C39" s="45" t="s">
        <v>105</v>
      </c>
      <c r="D39" s="70" t="s">
        <v>81</v>
      </c>
      <c r="E39" s="72" t="s">
        <v>17</v>
      </c>
      <c r="F39" s="167">
        <v>1000</v>
      </c>
      <c r="G39" s="70"/>
      <c r="H39" s="76"/>
      <c r="I39" s="70"/>
      <c r="J39" s="70">
        <f t="shared" ref="J39:J165" si="3">F39-G39</f>
        <v>1000</v>
      </c>
      <c r="K39" s="154" t="s">
        <v>84</v>
      </c>
      <c r="L39" s="63"/>
      <c r="M39" s="140">
        <v>1000</v>
      </c>
      <c r="N39" s="103"/>
      <c r="O39" s="95"/>
      <c r="P39" s="18">
        <v>3.0000000000000001E-3</v>
      </c>
      <c r="Q39" s="18">
        <v>3.6600000000000001E-2</v>
      </c>
      <c r="R39" s="18">
        <v>0.04</v>
      </c>
      <c r="S39" s="18">
        <v>8.9999999999999993E-3</v>
      </c>
      <c r="T39" s="26"/>
    </row>
    <row r="40" spans="1:20" x14ac:dyDescent="0.25">
      <c r="A40" s="81" t="s">
        <v>121</v>
      </c>
      <c r="B40" s="118"/>
      <c r="C40" s="45" t="s">
        <v>105</v>
      </c>
      <c r="D40" s="70" t="s">
        <v>81</v>
      </c>
      <c r="E40" s="72" t="s">
        <v>17</v>
      </c>
      <c r="F40" s="167">
        <v>1000</v>
      </c>
      <c r="G40" s="70"/>
      <c r="H40" s="76"/>
      <c r="I40" s="70"/>
      <c r="J40" s="70">
        <f t="shared" si="3"/>
        <v>1000</v>
      </c>
      <c r="K40" s="154" t="s">
        <v>85</v>
      </c>
      <c r="L40" s="63"/>
      <c r="M40" s="140">
        <v>1000</v>
      </c>
      <c r="N40" s="103"/>
      <c r="O40" s="95"/>
      <c r="P40" s="18">
        <v>2E-3</v>
      </c>
      <c r="Q40" s="18">
        <v>0.03</v>
      </c>
      <c r="R40" s="18">
        <v>0.04</v>
      </c>
      <c r="S40" s="18">
        <v>8.0000000000000002E-3</v>
      </c>
      <c r="T40" s="26"/>
    </row>
    <row r="41" spans="1:20" x14ac:dyDescent="0.25">
      <c r="A41" s="81" t="s">
        <v>121</v>
      </c>
      <c r="B41" s="118"/>
      <c r="C41" s="45" t="s">
        <v>105</v>
      </c>
      <c r="D41" s="70" t="s">
        <v>81</v>
      </c>
      <c r="E41" s="72" t="s">
        <v>17</v>
      </c>
      <c r="F41" s="167">
        <v>1000</v>
      </c>
      <c r="G41" s="70"/>
      <c r="H41" s="76"/>
      <c r="I41" s="70"/>
      <c r="J41" s="70">
        <f t="shared" si="3"/>
        <v>1000</v>
      </c>
      <c r="K41" s="154" t="s">
        <v>86</v>
      </c>
      <c r="L41" s="63"/>
      <c r="M41" s="140">
        <v>1000</v>
      </c>
      <c r="N41" s="103"/>
      <c r="O41" s="95"/>
      <c r="P41" s="18">
        <v>2E-3</v>
      </c>
      <c r="Q41" s="18">
        <v>0.03</v>
      </c>
      <c r="R41" s="18">
        <v>0.06</v>
      </c>
      <c r="S41" s="18">
        <v>5.0000000000000001E-3</v>
      </c>
      <c r="T41" s="26"/>
    </row>
    <row r="42" spans="1:20" x14ac:dyDescent="0.25">
      <c r="A42" s="81" t="s">
        <v>121</v>
      </c>
      <c r="B42" s="118"/>
      <c r="C42" s="45" t="s">
        <v>105</v>
      </c>
      <c r="D42" s="70" t="s">
        <v>81</v>
      </c>
      <c r="E42" s="72" t="s">
        <v>17</v>
      </c>
      <c r="F42" s="167">
        <v>1000</v>
      </c>
      <c r="G42" s="70"/>
      <c r="H42" s="76"/>
      <c r="I42" s="70"/>
      <c r="J42" s="70">
        <f t="shared" si="3"/>
        <v>1000</v>
      </c>
      <c r="K42" s="154" t="s">
        <v>87</v>
      </c>
      <c r="L42" s="63"/>
      <c r="M42" s="140">
        <v>1000</v>
      </c>
      <c r="N42" s="103"/>
      <c r="O42" s="95"/>
      <c r="P42" s="18">
        <v>2E-3</v>
      </c>
      <c r="Q42" s="18">
        <v>3.3300000000000003E-2</v>
      </c>
      <c r="R42" s="18">
        <v>0.02</v>
      </c>
      <c r="S42" s="18">
        <v>8.9999999999999993E-3</v>
      </c>
      <c r="T42" s="26"/>
    </row>
    <row r="43" spans="1:20" x14ac:dyDescent="0.25">
      <c r="A43" s="81" t="s">
        <v>138</v>
      </c>
      <c r="B43" s="118"/>
      <c r="C43" s="45" t="s">
        <v>137</v>
      </c>
      <c r="D43" s="70" t="s">
        <v>81</v>
      </c>
      <c r="E43" s="72" t="s">
        <v>17</v>
      </c>
      <c r="F43" s="167">
        <v>500</v>
      </c>
      <c r="G43" s="70"/>
      <c r="H43" s="76"/>
      <c r="I43" s="70"/>
      <c r="J43" s="70">
        <f t="shared" si="3"/>
        <v>500</v>
      </c>
      <c r="K43" s="154" t="s">
        <v>88</v>
      </c>
      <c r="L43" s="63"/>
      <c r="M43" s="140">
        <v>500</v>
      </c>
      <c r="N43" s="103"/>
      <c r="O43" s="95"/>
      <c r="P43" s="18">
        <v>2E-3</v>
      </c>
      <c r="Q43" s="18">
        <v>0.04</v>
      </c>
      <c r="R43" s="18">
        <v>0.04</v>
      </c>
      <c r="S43" s="18">
        <v>1.4999999999999999E-2</v>
      </c>
      <c r="T43" s="26"/>
    </row>
    <row r="44" spans="1:20" x14ac:dyDescent="0.25">
      <c r="A44" s="81" t="s">
        <v>138</v>
      </c>
      <c r="B44" s="118"/>
      <c r="C44" s="45" t="s">
        <v>137</v>
      </c>
      <c r="D44" s="70" t="s">
        <v>81</v>
      </c>
      <c r="E44" s="72" t="s">
        <v>17</v>
      </c>
      <c r="F44" s="167">
        <v>1000</v>
      </c>
      <c r="G44" s="70"/>
      <c r="H44" s="76"/>
      <c r="I44" s="70"/>
      <c r="J44" s="70">
        <f t="shared" si="3"/>
        <v>1000</v>
      </c>
      <c r="K44" s="154" t="s">
        <v>89</v>
      </c>
      <c r="L44" s="63"/>
      <c r="M44" s="140">
        <v>1000</v>
      </c>
      <c r="N44" s="103"/>
      <c r="O44" s="95"/>
      <c r="P44" s="18">
        <v>2E-3</v>
      </c>
      <c r="Q44" s="18">
        <v>0.02</v>
      </c>
      <c r="R44" s="18">
        <v>0.06</v>
      </c>
      <c r="S44" s="18">
        <v>1.2999999999999999E-2</v>
      </c>
      <c r="T44" s="26"/>
    </row>
    <row r="45" spans="1:20" x14ac:dyDescent="0.25">
      <c r="A45" s="81" t="s">
        <v>138</v>
      </c>
      <c r="B45" s="118"/>
      <c r="C45" s="45" t="s">
        <v>137</v>
      </c>
      <c r="D45" s="70" t="s">
        <v>81</v>
      </c>
      <c r="E45" s="72" t="s">
        <v>17</v>
      </c>
      <c r="F45" s="167">
        <v>1000</v>
      </c>
      <c r="G45" s="70"/>
      <c r="H45" s="76"/>
      <c r="I45" s="70"/>
      <c r="J45" s="70">
        <f t="shared" si="3"/>
        <v>1000</v>
      </c>
      <c r="K45" s="154" t="s">
        <v>90</v>
      </c>
      <c r="L45" s="63"/>
      <c r="M45" s="140">
        <v>1000</v>
      </c>
      <c r="N45" s="103"/>
      <c r="O45" s="95"/>
      <c r="P45" s="18">
        <v>3.0000000000000001E-3</v>
      </c>
      <c r="Q45" s="18">
        <v>2.6599999999999999E-2</v>
      </c>
      <c r="R45" s="18">
        <v>0.03</v>
      </c>
      <c r="S45" s="18">
        <v>1.2E-2</v>
      </c>
      <c r="T45" s="26"/>
    </row>
    <row r="46" spans="1:20" x14ac:dyDescent="0.25">
      <c r="A46" s="81" t="s">
        <v>138</v>
      </c>
      <c r="B46" s="118"/>
      <c r="C46" s="45" t="s">
        <v>137</v>
      </c>
      <c r="D46" s="70" t="s">
        <v>81</v>
      </c>
      <c r="E46" s="72" t="s">
        <v>17</v>
      </c>
      <c r="F46" s="167">
        <v>1000</v>
      </c>
      <c r="G46" s="70"/>
      <c r="H46" s="76"/>
      <c r="I46" s="70"/>
      <c r="J46" s="70">
        <f t="shared" si="3"/>
        <v>1000</v>
      </c>
      <c r="K46" s="154" t="s">
        <v>91</v>
      </c>
      <c r="L46" s="63"/>
      <c r="M46" s="140">
        <v>1000</v>
      </c>
      <c r="N46" s="103"/>
      <c r="O46" s="95"/>
      <c r="P46" s="18">
        <v>1E-3</v>
      </c>
      <c r="Q46" s="18">
        <v>0.03</v>
      </c>
      <c r="R46" s="18">
        <v>0.03</v>
      </c>
      <c r="S46" s="18">
        <v>8.0000000000000002E-3</v>
      </c>
      <c r="T46" s="26"/>
    </row>
    <row r="47" spans="1:20" x14ac:dyDescent="0.25">
      <c r="A47" s="81" t="s">
        <v>138</v>
      </c>
      <c r="B47" s="118"/>
      <c r="C47" s="45" t="s">
        <v>137</v>
      </c>
      <c r="D47" s="70" t="s">
        <v>81</v>
      </c>
      <c r="E47" s="72" t="s">
        <v>17</v>
      </c>
      <c r="F47" s="167">
        <v>1000</v>
      </c>
      <c r="G47" s="70"/>
      <c r="H47" s="76"/>
      <c r="I47" s="70"/>
      <c r="J47" s="70">
        <f t="shared" si="3"/>
        <v>1000</v>
      </c>
      <c r="K47" s="154" t="s">
        <v>107</v>
      </c>
      <c r="L47" s="63"/>
      <c r="M47" s="140">
        <v>1000</v>
      </c>
      <c r="N47" s="103"/>
      <c r="O47" s="95"/>
      <c r="P47" s="18">
        <v>3.0000000000000001E-3</v>
      </c>
      <c r="Q47" s="18">
        <v>3.6600000000000001E-2</v>
      </c>
      <c r="R47" s="18">
        <v>3.3300000000000003E-2</v>
      </c>
      <c r="S47" s="18">
        <v>1.0999999999999999E-2</v>
      </c>
      <c r="T47" s="26"/>
    </row>
    <row r="48" spans="1:20" x14ac:dyDescent="0.25">
      <c r="A48" s="81" t="s">
        <v>138</v>
      </c>
      <c r="B48" s="118"/>
      <c r="C48" s="45" t="s">
        <v>137</v>
      </c>
      <c r="D48" s="70" t="s">
        <v>81</v>
      </c>
      <c r="E48" s="72" t="s">
        <v>17</v>
      </c>
      <c r="F48" s="167">
        <v>1000</v>
      </c>
      <c r="G48" s="70"/>
      <c r="H48" s="76"/>
      <c r="I48" s="70"/>
      <c r="J48" s="70">
        <f t="shared" si="3"/>
        <v>1000</v>
      </c>
      <c r="K48" s="154" t="s">
        <v>108</v>
      </c>
      <c r="L48" s="63"/>
      <c r="M48" s="140">
        <v>1000</v>
      </c>
      <c r="N48" s="103"/>
      <c r="O48" s="95"/>
      <c r="P48" s="18">
        <v>1E-3</v>
      </c>
      <c r="Q48" s="18">
        <v>0.03</v>
      </c>
      <c r="R48" s="18">
        <v>3.3300000000000003E-2</v>
      </c>
      <c r="S48" s="18">
        <v>1.0999999999999999E-2</v>
      </c>
      <c r="T48" s="26"/>
    </row>
    <row r="49" spans="1:20" x14ac:dyDescent="0.25">
      <c r="A49" s="81" t="s">
        <v>153</v>
      </c>
      <c r="B49" s="118"/>
      <c r="C49" s="45" t="s">
        <v>137</v>
      </c>
      <c r="D49" s="70" t="s">
        <v>81</v>
      </c>
      <c r="E49" s="72" t="s">
        <v>17</v>
      </c>
      <c r="F49" s="167">
        <v>1000</v>
      </c>
      <c r="G49" s="70"/>
      <c r="H49" s="76"/>
      <c r="I49" s="70"/>
      <c r="J49" s="70">
        <f t="shared" si="3"/>
        <v>1000</v>
      </c>
      <c r="K49" s="154" t="s">
        <v>109</v>
      </c>
      <c r="L49" s="63"/>
      <c r="M49" s="140">
        <v>1000</v>
      </c>
      <c r="N49" s="103"/>
      <c r="O49" s="95"/>
      <c r="P49" s="18">
        <v>2E-3</v>
      </c>
      <c r="Q49" s="18">
        <v>2.6599999999999999E-2</v>
      </c>
      <c r="R49" s="18">
        <v>0.06</v>
      </c>
      <c r="S49" s="18">
        <v>8.9999999999999993E-3</v>
      </c>
      <c r="T49" s="26"/>
    </row>
    <row r="50" spans="1:20" x14ac:dyDescent="0.25">
      <c r="A50" s="81" t="s">
        <v>153</v>
      </c>
      <c r="B50" s="118"/>
      <c r="C50" s="45" t="s">
        <v>137</v>
      </c>
      <c r="D50" s="70" t="s">
        <v>81</v>
      </c>
      <c r="E50" s="72" t="s">
        <v>17</v>
      </c>
      <c r="F50" s="167">
        <v>1000</v>
      </c>
      <c r="G50" s="70"/>
      <c r="H50" s="76"/>
      <c r="I50" s="70"/>
      <c r="J50" s="70">
        <f t="shared" si="3"/>
        <v>1000</v>
      </c>
      <c r="K50" s="154" t="s">
        <v>110</v>
      </c>
      <c r="L50" s="63"/>
      <c r="M50" s="140">
        <v>1000</v>
      </c>
      <c r="N50" s="103"/>
      <c r="O50" s="95"/>
      <c r="P50" s="18">
        <v>4.0000000000000001E-3</v>
      </c>
      <c r="Q50" s="18">
        <v>2.6599999999999999E-2</v>
      </c>
      <c r="R50" s="18">
        <v>0.04</v>
      </c>
      <c r="S50" s="18">
        <v>6.0000000000000001E-3</v>
      </c>
      <c r="T50" s="26"/>
    </row>
    <row r="51" spans="1:20" x14ac:dyDescent="0.25">
      <c r="A51" s="81" t="s">
        <v>153</v>
      </c>
      <c r="B51" s="118"/>
      <c r="C51" s="45" t="s">
        <v>137</v>
      </c>
      <c r="D51" s="70" t="s">
        <v>81</v>
      </c>
      <c r="E51" s="72" t="s">
        <v>17</v>
      </c>
      <c r="F51" s="167">
        <v>1000</v>
      </c>
      <c r="G51" s="70"/>
      <c r="H51" s="76"/>
      <c r="I51" s="70"/>
      <c r="J51" s="70">
        <f t="shared" si="3"/>
        <v>1000</v>
      </c>
      <c r="K51" s="154" t="s">
        <v>156</v>
      </c>
      <c r="L51" s="63"/>
      <c r="M51" s="140">
        <v>1000</v>
      </c>
      <c r="N51" s="103"/>
      <c r="O51" s="95"/>
      <c r="P51" s="18">
        <v>3.0000000000000001E-3</v>
      </c>
      <c r="Q51" s="18">
        <v>3.6600000000000001E-2</v>
      </c>
      <c r="R51" s="18">
        <v>4.3299999999999998E-2</v>
      </c>
      <c r="S51" s="18">
        <v>8.0000000000000002E-3</v>
      </c>
      <c r="T51" s="26"/>
    </row>
    <row r="52" spans="1:20" x14ac:dyDescent="0.25">
      <c r="A52" s="81" t="s">
        <v>153</v>
      </c>
      <c r="B52" s="118"/>
      <c r="C52" s="45" t="s">
        <v>137</v>
      </c>
      <c r="D52" s="70" t="s">
        <v>81</v>
      </c>
      <c r="E52" s="72" t="s">
        <v>17</v>
      </c>
      <c r="F52" s="167">
        <v>681</v>
      </c>
      <c r="G52" s="70"/>
      <c r="H52" s="76"/>
      <c r="I52" s="70"/>
      <c r="J52" s="70">
        <f t="shared" si="3"/>
        <v>681</v>
      </c>
      <c r="K52" s="154" t="s">
        <v>111</v>
      </c>
      <c r="L52" s="63"/>
      <c r="M52" s="140">
        <v>681</v>
      </c>
      <c r="N52" s="103"/>
      <c r="O52" s="95"/>
      <c r="P52" s="18">
        <v>6.0000000000000001E-3</v>
      </c>
      <c r="Q52" s="18">
        <v>0.03</v>
      </c>
      <c r="R52" s="18">
        <v>4.6600000000000003E-2</v>
      </c>
      <c r="S52" s="18">
        <v>4.0000000000000001E-3</v>
      </c>
      <c r="T52" s="26"/>
    </row>
    <row r="53" spans="1:20" x14ac:dyDescent="0.25">
      <c r="A53" s="81"/>
      <c r="B53" s="118"/>
      <c r="C53" s="45"/>
      <c r="D53" s="70"/>
      <c r="E53" s="72"/>
      <c r="F53" s="167"/>
      <c r="G53" s="70"/>
      <c r="H53" s="76"/>
      <c r="I53" s="70"/>
      <c r="J53" s="70"/>
      <c r="K53" s="154"/>
      <c r="L53" s="63"/>
      <c r="M53" s="140"/>
      <c r="N53" s="103"/>
      <c r="O53" s="95"/>
      <c r="P53" s="18"/>
      <c r="Q53" s="18"/>
      <c r="R53" s="18"/>
      <c r="S53" s="18"/>
      <c r="T53" s="26"/>
    </row>
    <row r="54" spans="1:20" x14ac:dyDescent="0.25">
      <c r="A54" s="81" t="s">
        <v>194</v>
      </c>
      <c r="B54" s="118"/>
      <c r="C54" s="45" t="s">
        <v>184</v>
      </c>
      <c r="D54" s="70" t="s">
        <v>185</v>
      </c>
      <c r="E54" s="72" t="s">
        <v>17</v>
      </c>
      <c r="F54" s="167">
        <v>1000</v>
      </c>
      <c r="G54" s="70"/>
      <c r="H54" s="76"/>
      <c r="I54" s="70"/>
      <c r="J54" s="70">
        <f t="shared" si="3"/>
        <v>1000</v>
      </c>
      <c r="K54" s="154" t="s">
        <v>112</v>
      </c>
      <c r="L54" s="63"/>
      <c r="M54" s="140">
        <v>1000</v>
      </c>
      <c r="N54" s="103"/>
      <c r="O54" s="95"/>
      <c r="P54" s="18">
        <v>1E-3</v>
      </c>
      <c r="Q54" s="18">
        <v>2.6599999999999999E-2</v>
      </c>
      <c r="R54" s="18">
        <v>0.05</v>
      </c>
      <c r="S54" s="18">
        <v>7.0000000000000001E-3</v>
      </c>
      <c r="T54" s="26"/>
    </row>
    <row r="55" spans="1:20" x14ac:dyDescent="0.25">
      <c r="A55" s="81" t="s">
        <v>194</v>
      </c>
      <c r="B55" s="118"/>
      <c r="C55" s="45" t="s">
        <v>184</v>
      </c>
      <c r="D55" s="70" t="s">
        <v>185</v>
      </c>
      <c r="E55" s="72" t="s">
        <v>17</v>
      </c>
      <c r="F55" s="167">
        <v>1000</v>
      </c>
      <c r="G55" s="70"/>
      <c r="H55" s="76"/>
      <c r="I55" s="70"/>
      <c r="J55" s="70">
        <f t="shared" si="3"/>
        <v>1000</v>
      </c>
      <c r="K55" s="154" t="s">
        <v>191</v>
      </c>
      <c r="L55" s="63"/>
      <c r="M55" s="140">
        <v>1000</v>
      </c>
      <c r="N55" s="103"/>
      <c r="O55" s="95"/>
      <c r="P55" s="18">
        <v>2E-3</v>
      </c>
      <c r="Q55" s="18">
        <v>3.3300000000000003E-2</v>
      </c>
      <c r="R55" s="18">
        <v>3.3300000000000003E-2</v>
      </c>
      <c r="S55" s="18">
        <v>8.0000000000000002E-3</v>
      </c>
      <c r="T55" s="26"/>
    </row>
    <row r="56" spans="1:20" x14ac:dyDescent="0.25">
      <c r="A56" s="81" t="s">
        <v>194</v>
      </c>
      <c r="B56" s="118"/>
      <c r="C56" s="45" t="s">
        <v>184</v>
      </c>
      <c r="D56" s="70" t="s">
        <v>185</v>
      </c>
      <c r="E56" s="72" t="s">
        <v>17</v>
      </c>
      <c r="F56" s="167">
        <v>1000</v>
      </c>
      <c r="G56" s="70"/>
      <c r="H56" s="76"/>
      <c r="I56" s="70"/>
      <c r="J56" s="70">
        <f t="shared" si="3"/>
        <v>1000</v>
      </c>
      <c r="K56" s="154" t="s">
        <v>192</v>
      </c>
      <c r="L56" s="63"/>
      <c r="M56" s="140">
        <v>1000</v>
      </c>
      <c r="N56" s="103"/>
      <c r="O56" s="95"/>
      <c r="P56" s="18">
        <v>1E-3</v>
      </c>
      <c r="Q56" s="18">
        <v>2.3300000000000001E-2</v>
      </c>
      <c r="R56" s="18">
        <v>0.04</v>
      </c>
      <c r="S56" s="18">
        <v>3.0000000000000001E-3</v>
      </c>
      <c r="T56" s="26"/>
    </row>
    <row r="57" spans="1:20" x14ac:dyDescent="0.25">
      <c r="A57" s="81" t="s">
        <v>194</v>
      </c>
      <c r="B57" s="118"/>
      <c r="C57" s="45" t="s">
        <v>184</v>
      </c>
      <c r="D57" s="70" t="s">
        <v>185</v>
      </c>
      <c r="E57" s="72" t="s">
        <v>17</v>
      </c>
      <c r="F57" s="167">
        <v>1000</v>
      </c>
      <c r="G57" s="70"/>
      <c r="H57" s="76"/>
      <c r="I57" s="70"/>
      <c r="J57" s="70">
        <f t="shared" si="3"/>
        <v>1000</v>
      </c>
      <c r="K57" s="154" t="s">
        <v>122</v>
      </c>
      <c r="L57" s="63"/>
      <c r="M57" s="140">
        <v>1000</v>
      </c>
      <c r="N57" s="103"/>
      <c r="O57" s="95"/>
      <c r="P57" s="18">
        <v>2E-3</v>
      </c>
      <c r="Q57" s="18">
        <v>0.02</v>
      </c>
      <c r="R57" s="18">
        <v>5.6599999999999998E-2</v>
      </c>
      <c r="S57" s="18">
        <v>8.0000000000000002E-3</v>
      </c>
      <c r="T57" s="26"/>
    </row>
    <row r="58" spans="1:20" x14ac:dyDescent="0.25">
      <c r="A58" s="81" t="s">
        <v>194</v>
      </c>
      <c r="B58" s="118"/>
      <c r="C58" s="45" t="s">
        <v>184</v>
      </c>
      <c r="D58" s="70" t="s">
        <v>185</v>
      </c>
      <c r="E58" s="72" t="s">
        <v>17</v>
      </c>
      <c r="F58" s="167">
        <v>901</v>
      </c>
      <c r="G58" s="70"/>
      <c r="H58" s="76"/>
      <c r="I58" s="70"/>
      <c r="J58" s="70">
        <f t="shared" si="3"/>
        <v>901</v>
      </c>
      <c r="K58" s="154" t="s">
        <v>193</v>
      </c>
      <c r="L58" s="63"/>
      <c r="M58" s="140">
        <v>901</v>
      </c>
      <c r="N58" s="103"/>
      <c r="O58" s="95"/>
      <c r="P58" s="18">
        <v>3.0000000000000001E-3</v>
      </c>
      <c r="Q58" s="18">
        <v>2.6599999999999999E-2</v>
      </c>
      <c r="R58" s="18">
        <v>0.02</v>
      </c>
      <c r="S58" s="18">
        <v>1.7000000000000001E-2</v>
      </c>
      <c r="T58" s="26"/>
    </row>
    <row r="59" spans="1:20" x14ac:dyDescent="0.25">
      <c r="A59" s="81" t="s">
        <v>196</v>
      </c>
      <c r="B59" s="118"/>
      <c r="C59" s="45" t="s">
        <v>184</v>
      </c>
      <c r="D59" s="70" t="s">
        <v>185</v>
      </c>
      <c r="E59" s="72" t="s">
        <v>17</v>
      </c>
      <c r="F59" s="167">
        <v>1000</v>
      </c>
      <c r="G59" s="70"/>
      <c r="H59" s="76"/>
      <c r="I59" s="70"/>
      <c r="J59" s="70">
        <f t="shared" si="3"/>
        <v>1000</v>
      </c>
      <c r="K59" s="154" t="s">
        <v>201</v>
      </c>
      <c r="L59" s="63"/>
      <c r="M59" s="140">
        <v>1000</v>
      </c>
      <c r="N59" s="103"/>
      <c r="O59" s="95"/>
      <c r="P59" s="18">
        <v>4.0000000000000001E-3</v>
      </c>
      <c r="Q59" s="18">
        <v>5.6599999999999998E-2</v>
      </c>
      <c r="R59" s="18">
        <v>0.05</v>
      </c>
      <c r="S59" s="18">
        <v>0.03</v>
      </c>
      <c r="T59" s="26"/>
    </row>
    <row r="60" spans="1:20" x14ac:dyDescent="0.25">
      <c r="A60" s="81" t="s">
        <v>196</v>
      </c>
      <c r="B60" s="118"/>
      <c r="C60" s="45" t="s">
        <v>184</v>
      </c>
      <c r="D60" s="70" t="s">
        <v>185</v>
      </c>
      <c r="E60" s="72" t="s">
        <v>17</v>
      </c>
      <c r="F60" s="167">
        <v>1000</v>
      </c>
      <c r="G60" s="70"/>
      <c r="H60" s="76"/>
      <c r="I60" s="70"/>
      <c r="J60" s="70">
        <f t="shared" si="3"/>
        <v>1000</v>
      </c>
      <c r="K60" s="154" t="s">
        <v>202</v>
      </c>
      <c r="L60" s="63"/>
      <c r="M60" s="140">
        <v>1000</v>
      </c>
      <c r="N60" s="103"/>
      <c r="O60" s="95"/>
      <c r="P60" s="18">
        <v>3.0000000000000001E-3</v>
      </c>
      <c r="Q60" s="18">
        <v>0.08</v>
      </c>
      <c r="R60" s="18">
        <v>5.6599999999999998E-2</v>
      </c>
      <c r="S60" s="18">
        <v>1.2999999999999999E-2</v>
      </c>
      <c r="T60" s="26"/>
    </row>
    <row r="61" spans="1:20" x14ac:dyDescent="0.25">
      <c r="A61" s="81" t="s">
        <v>216</v>
      </c>
      <c r="B61" s="118"/>
      <c r="C61" s="45" t="s">
        <v>217</v>
      </c>
      <c r="D61" s="70" t="s">
        <v>185</v>
      </c>
      <c r="E61" s="72" t="s">
        <v>17</v>
      </c>
      <c r="F61" s="167">
        <v>1000</v>
      </c>
      <c r="G61" s="70"/>
      <c r="H61" s="76"/>
      <c r="I61" s="70"/>
      <c r="J61" s="70">
        <f t="shared" si="3"/>
        <v>1000</v>
      </c>
      <c r="K61" s="154" t="s">
        <v>139</v>
      </c>
      <c r="L61" s="63"/>
      <c r="M61" s="140">
        <v>1000</v>
      </c>
      <c r="N61" s="103"/>
      <c r="O61" s="95"/>
      <c r="P61" s="18">
        <v>3.0000000000000001E-3</v>
      </c>
      <c r="Q61" s="18">
        <v>0.06</v>
      </c>
      <c r="R61" s="18">
        <v>0.08</v>
      </c>
      <c r="S61" s="18">
        <v>7.0000000000000001E-3</v>
      </c>
      <c r="T61" s="26"/>
    </row>
    <row r="62" spans="1:20" x14ac:dyDescent="0.25">
      <c r="A62" s="81" t="s">
        <v>216</v>
      </c>
      <c r="B62" s="118"/>
      <c r="C62" s="45" t="s">
        <v>217</v>
      </c>
      <c r="D62" s="70" t="s">
        <v>185</v>
      </c>
      <c r="E62" s="72" t="s">
        <v>17</v>
      </c>
      <c r="F62" s="167">
        <v>1000</v>
      </c>
      <c r="G62" s="70"/>
      <c r="H62" s="76"/>
      <c r="I62" s="70"/>
      <c r="J62" s="70">
        <f t="shared" si="3"/>
        <v>1000</v>
      </c>
      <c r="K62" s="154" t="s">
        <v>226</v>
      </c>
      <c r="L62" s="63"/>
      <c r="M62" s="140">
        <v>1000</v>
      </c>
      <c r="N62" s="103"/>
      <c r="O62" s="95"/>
      <c r="P62" s="18">
        <v>3.0000000000000001E-3</v>
      </c>
      <c r="Q62" s="18">
        <v>0.05</v>
      </c>
      <c r="R62" s="18">
        <v>0.05</v>
      </c>
      <c r="S62" s="18">
        <v>1.6E-2</v>
      </c>
      <c r="T62" s="26"/>
    </row>
    <row r="63" spans="1:20" x14ac:dyDescent="0.25">
      <c r="A63" s="81" t="s">
        <v>216</v>
      </c>
      <c r="B63" s="118"/>
      <c r="C63" s="45" t="s">
        <v>217</v>
      </c>
      <c r="D63" s="70" t="s">
        <v>185</v>
      </c>
      <c r="E63" s="72" t="s">
        <v>17</v>
      </c>
      <c r="F63" s="167">
        <v>1000</v>
      </c>
      <c r="G63" s="70"/>
      <c r="H63" s="76"/>
      <c r="I63" s="70"/>
      <c r="J63" s="70">
        <f t="shared" si="3"/>
        <v>1000</v>
      </c>
      <c r="K63" s="154" t="s">
        <v>140</v>
      </c>
      <c r="L63" s="63"/>
      <c r="M63" s="140">
        <v>1000</v>
      </c>
      <c r="N63" s="103"/>
      <c r="O63" s="95"/>
      <c r="P63" s="18">
        <v>3.0000000000000001E-3</v>
      </c>
      <c r="Q63" s="18">
        <v>6.3299999999999995E-2</v>
      </c>
      <c r="R63" s="18">
        <v>4.3299999999999998E-2</v>
      </c>
      <c r="S63" s="18">
        <v>1.4999999999999999E-2</v>
      </c>
      <c r="T63" s="26"/>
    </row>
    <row r="64" spans="1:20" x14ac:dyDescent="0.25">
      <c r="A64" s="81" t="s">
        <v>244</v>
      </c>
      <c r="B64" s="118"/>
      <c r="C64" s="45" t="s">
        <v>217</v>
      </c>
      <c r="D64" s="70" t="s">
        <v>185</v>
      </c>
      <c r="E64" s="72" t="s">
        <v>17</v>
      </c>
      <c r="F64" s="167">
        <v>1000</v>
      </c>
      <c r="G64" s="70"/>
      <c r="H64" s="76"/>
      <c r="I64" s="70"/>
      <c r="J64" s="70">
        <f t="shared" si="3"/>
        <v>1000</v>
      </c>
      <c r="K64" s="154" t="s">
        <v>233</v>
      </c>
      <c r="L64" s="63"/>
      <c r="M64" s="140">
        <v>1000</v>
      </c>
      <c r="N64" s="103"/>
      <c r="O64" s="95"/>
      <c r="P64" s="18">
        <v>0.01</v>
      </c>
      <c r="Q64" s="18">
        <v>3.3300000000000003E-2</v>
      </c>
      <c r="R64" s="18">
        <v>0.06</v>
      </c>
      <c r="S64" s="18">
        <v>2.1999999999999999E-2</v>
      </c>
      <c r="T64" s="26"/>
    </row>
    <row r="65" spans="1:20" x14ac:dyDescent="0.25">
      <c r="A65" s="81" t="s">
        <v>244</v>
      </c>
      <c r="B65" s="118"/>
      <c r="C65" s="45" t="s">
        <v>217</v>
      </c>
      <c r="D65" s="70" t="s">
        <v>185</v>
      </c>
      <c r="E65" s="72" t="s">
        <v>17</v>
      </c>
      <c r="F65" s="167">
        <v>1000</v>
      </c>
      <c r="G65" s="70"/>
      <c r="H65" s="76"/>
      <c r="I65" s="70"/>
      <c r="J65" s="70">
        <f t="shared" si="3"/>
        <v>1000</v>
      </c>
      <c r="K65" s="154" t="s">
        <v>141</v>
      </c>
      <c r="L65" s="63"/>
      <c r="M65" s="140">
        <v>1000</v>
      </c>
      <c r="N65" s="103"/>
      <c r="O65" s="95"/>
      <c r="P65" s="18">
        <v>7.0000000000000001E-3</v>
      </c>
      <c r="Q65" s="18">
        <v>0.06</v>
      </c>
      <c r="R65" s="18">
        <v>4.6600000000000003E-2</v>
      </c>
      <c r="S65" s="18">
        <v>7.0000000000000001E-3</v>
      </c>
      <c r="T65" s="26"/>
    </row>
    <row r="66" spans="1:20" x14ac:dyDescent="0.25">
      <c r="A66" s="81" t="s">
        <v>244</v>
      </c>
      <c r="B66" s="118"/>
      <c r="C66" s="45" t="s">
        <v>217</v>
      </c>
      <c r="D66" s="70" t="s">
        <v>185</v>
      </c>
      <c r="E66" s="72" t="s">
        <v>17</v>
      </c>
      <c r="F66" s="167">
        <v>1000</v>
      </c>
      <c r="G66" s="70"/>
      <c r="H66" s="76"/>
      <c r="I66" s="70"/>
      <c r="J66" s="70">
        <f t="shared" si="3"/>
        <v>1000</v>
      </c>
      <c r="K66" s="154" t="s">
        <v>142</v>
      </c>
      <c r="L66" s="63"/>
      <c r="M66" s="140">
        <v>1000</v>
      </c>
      <c r="N66" s="103"/>
      <c r="O66" s="95"/>
      <c r="P66" s="18">
        <v>8.0000000000000002E-3</v>
      </c>
      <c r="Q66" s="18">
        <v>6.3299999999999995E-2</v>
      </c>
      <c r="R66" s="18">
        <v>4.3299999999999998E-2</v>
      </c>
      <c r="S66" s="18">
        <v>2.1999999999999999E-2</v>
      </c>
      <c r="T66" s="26"/>
    </row>
    <row r="67" spans="1:20" x14ac:dyDescent="0.25">
      <c r="A67" s="81" t="s">
        <v>244</v>
      </c>
      <c r="B67" s="118"/>
      <c r="C67" s="45" t="s">
        <v>217</v>
      </c>
      <c r="D67" s="70" t="s">
        <v>185</v>
      </c>
      <c r="E67" s="72" t="s">
        <v>17</v>
      </c>
      <c r="F67" s="167">
        <v>1000</v>
      </c>
      <c r="G67" s="70"/>
      <c r="H67" s="76"/>
      <c r="I67" s="70"/>
      <c r="J67" s="70">
        <f t="shared" si="3"/>
        <v>1000</v>
      </c>
      <c r="K67" s="154" t="s">
        <v>143</v>
      </c>
      <c r="L67" s="63"/>
      <c r="M67" s="140">
        <v>1000</v>
      </c>
      <c r="N67" s="103"/>
      <c r="O67" s="95"/>
      <c r="P67" s="18">
        <v>5.0000000000000001E-3</v>
      </c>
      <c r="Q67" s="18">
        <v>0.03</v>
      </c>
      <c r="R67" s="18">
        <v>4.3299999999999998E-2</v>
      </c>
      <c r="S67" s="18">
        <v>2E-3</v>
      </c>
      <c r="T67" s="26"/>
    </row>
    <row r="68" spans="1:20" x14ac:dyDescent="0.25">
      <c r="A68" s="81" t="s">
        <v>244</v>
      </c>
      <c r="B68" s="118"/>
      <c r="C68" s="45" t="s">
        <v>245</v>
      </c>
      <c r="D68" s="70" t="s">
        <v>185</v>
      </c>
      <c r="E68" s="72" t="s">
        <v>17</v>
      </c>
      <c r="F68" s="167">
        <v>1000</v>
      </c>
      <c r="G68" s="70"/>
      <c r="H68" s="76"/>
      <c r="I68" s="70"/>
      <c r="J68" s="70">
        <f t="shared" si="3"/>
        <v>1000</v>
      </c>
      <c r="K68" s="154" t="s">
        <v>144</v>
      </c>
      <c r="L68" s="63"/>
      <c r="M68" s="140">
        <v>1000</v>
      </c>
      <c r="N68" s="103"/>
      <c r="O68" s="95"/>
      <c r="P68" s="18">
        <v>5.0000000000000001E-3</v>
      </c>
      <c r="Q68" s="18">
        <v>5.6599999999999998E-2</v>
      </c>
      <c r="R68" s="18">
        <v>6.6600000000000006E-2</v>
      </c>
      <c r="S68" s="18">
        <v>1.2E-2</v>
      </c>
      <c r="T68" s="26"/>
    </row>
    <row r="69" spans="1:20" x14ac:dyDescent="0.25">
      <c r="A69" s="81" t="s">
        <v>244</v>
      </c>
      <c r="B69" s="118"/>
      <c r="C69" s="45" t="s">
        <v>245</v>
      </c>
      <c r="D69" s="70" t="s">
        <v>185</v>
      </c>
      <c r="E69" s="72" t="s">
        <v>17</v>
      </c>
      <c r="F69" s="167">
        <v>1000</v>
      </c>
      <c r="G69" s="70"/>
      <c r="H69" s="76"/>
      <c r="I69" s="70"/>
      <c r="J69" s="70">
        <f t="shared" si="3"/>
        <v>1000</v>
      </c>
      <c r="K69" s="154" t="s">
        <v>254</v>
      </c>
      <c r="L69" s="63"/>
      <c r="M69" s="140">
        <v>1000</v>
      </c>
      <c r="N69" s="103"/>
      <c r="O69" s="95"/>
      <c r="P69" s="18">
        <v>3.0000000000000001E-3</v>
      </c>
      <c r="Q69" s="18">
        <v>4.6600000000000003E-2</v>
      </c>
      <c r="R69" s="18">
        <v>7.6600000000000001E-2</v>
      </c>
      <c r="S69" s="18">
        <v>2.5999999999999999E-2</v>
      </c>
      <c r="T69" s="26"/>
    </row>
    <row r="70" spans="1:20" x14ac:dyDescent="0.25">
      <c r="A70" s="81" t="s">
        <v>276</v>
      </c>
      <c r="B70" s="118"/>
      <c r="C70" s="45" t="s">
        <v>245</v>
      </c>
      <c r="D70" s="70" t="s">
        <v>185</v>
      </c>
      <c r="E70" s="72" t="s">
        <v>17</v>
      </c>
      <c r="F70" s="167">
        <v>1000</v>
      </c>
      <c r="G70" s="70"/>
      <c r="H70" s="76"/>
      <c r="I70" s="70"/>
      <c r="J70" s="70">
        <f t="shared" si="3"/>
        <v>1000</v>
      </c>
      <c r="K70" s="154" t="s">
        <v>145</v>
      </c>
      <c r="L70" s="63"/>
      <c r="M70" s="140">
        <v>1000</v>
      </c>
      <c r="N70" s="103"/>
      <c r="O70" s="95"/>
      <c r="P70" s="18">
        <v>3.0000000000000001E-3</v>
      </c>
      <c r="Q70" s="18">
        <v>2.6599999999999999E-2</v>
      </c>
      <c r="R70" s="18">
        <v>4.3299999999999998E-2</v>
      </c>
      <c r="S70" s="18">
        <v>5.0000000000000001E-3</v>
      </c>
      <c r="T70" s="26"/>
    </row>
    <row r="71" spans="1:20" x14ac:dyDescent="0.25">
      <c r="A71" s="81" t="s">
        <v>276</v>
      </c>
      <c r="B71" s="118"/>
      <c r="C71" s="45" t="s">
        <v>245</v>
      </c>
      <c r="D71" s="70" t="s">
        <v>185</v>
      </c>
      <c r="E71" s="72" t="s">
        <v>17</v>
      </c>
      <c r="F71" s="167">
        <v>1000</v>
      </c>
      <c r="G71" s="70"/>
      <c r="H71" s="76"/>
      <c r="I71" s="70"/>
      <c r="J71" s="70">
        <f t="shared" si="3"/>
        <v>1000</v>
      </c>
      <c r="K71" s="154" t="s">
        <v>274</v>
      </c>
      <c r="L71" s="63"/>
      <c r="M71" s="140">
        <v>1000</v>
      </c>
      <c r="N71" s="103"/>
      <c r="O71" s="95"/>
      <c r="P71" s="18">
        <v>6.0000000000000001E-3</v>
      </c>
      <c r="Q71" s="18">
        <v>0.03</v>
      </c>
      <c r="R71" s="18">
        <v>0.05</v>
      </c>
      <c r="S71" s="18">
        <v>0.01</v>
      </c>
      <c r="T71" s="26"/>
    </row>
    <row r="72" spans="1:20" x14ac:dyDescent="0.25">
      <c r="A72" s="81" t="s">
        <v>276</v>
      </c>
      <c r="B72" s="118"/>
      <c r="C72" s="45" t="s">
        <v>245</v>
      </c>
      <c r="D72" s="70" t="s">
        <v>185</v>
      </c>
      <c r="E72" s="72" t="s">
        <v>17</v>
      </c>
      <c r="F72" s="167">
        <v>1000</v>
      </c>
      <c r="G72" s="70"/>
      <c r="H72" s="76"/>
      <c r="I72" s="70"/>
      <c r="J72" s="70">
        <f t="shared" si="3"/>
        <v>1000</v>
      </c>
      <c r="K72" s="154" t="s">
        <v>146</v>
      </c>
      <c r="L72" s="63"/>
      <c r="M72" s="140">
        <v>1000</v>
      </c>
      <c r="N72" s="103"/>
      <c r="O72" s="95"/>
      <c r="P72" s="18">
        <v>3.0000000000000001E-3</v>
      </c>
      <c r="Q72" s="18">
        <v>3.6600000000000001E-2</v>
      </c>
      <c r="R72" s="18">
        <v>0.05</v>
      </c>
      <c r="S72" s="18">
        <v>2E-3</v>
      </c>
      <c r="T72" s="26"/>
    </row>
    <row r="73" spans="1:20" x14ac:dyDescent="0.25">
      <c r="A73" s="81" t="s">
        <v>276</v>
      </c>
      <c r="B73" s="118"/>
      <c r="C73" s="45" t="s">
        <v>245</v>
      </c>
      <c r="D73" s="70" t="s">
        <v>185</v>
      </c>
      <c r="E73" s="72" t="s">
        <v>17</v>
      </c>
      <c r="F73" s="167">
        <v>1000</v>
      </c>
      <c r="G73" s="70"/>
      <c r="H73" s="76"/>
      <c r="I73" s="70"/>
      <c r="J73" s="70">
        <f t="shared" si="3"/>
        <v>1000</v>
      </c>
      <c r="K73" s="154" t="s">
        <v>147</v>
      </c>
      <c r="L73" s="63"/>
      <c r="M73" s="140">
        <v>1000</v>
      </c>
      <c r="N73" s="103"/>
      <c r="O73" s="95"/>
      <c r="P73" s="18">
        <v>4.0000000000000001E-3</v>
      </c>
      <c r="Q73" s="18">
        <v>0.02</v>
      </c>
      <c r="R73" s="18">
        <v>5.33E-2</v>
      </c>
      <c r="S73" s="18">
        <v>3.0000000000000001E-3</v>
      </c>
      <c r="T73" s="26"/>
    </row>
    <row r="74" spans="1:20" x14ac:dyDescent="0.25">
      <c r="A74" s="81" t="s">
        <v>276</v>
      </c>
      <c r="B74" s="118"/>
      <c r="C74" s="45" t="s">
        <v>245</v>
      </c>
      <c r="D74" s="70" t="s">
        <v>185</v>
      </c>
      <c r="E74" s="72" t="s">
        <v>17</v>
      </c>
      <c r="F74" s="167">
        <v>1000</v>
      </c>
      <c r="G74" s="70"/>
      <c r="H74" s="76"/>
      <c r="I74" s="70"/>
      <c r="J74" s="70">
        <f t="shared" si="3"/>
        <v>1000</v>
      </c>
      <c r="K74" s="154" t="s">
        <v>148</v>
      </c>
      <c r="L74" s="63"/>
      <c r="M74" s="140">
        <v>1000</v>
      </c>
      <c r="N74" s="103"/>
      <c r="O74" s="95"/>
      <c r="P74" s="18">
        <v>2E-3</v>
      </c>
      <c r="Q74" s="18">
        <v>0.03</v>
      </c>
      <c r="R74" s="18">
        <v>0.05</v>
      </c>
      <c r="S74" s="18">
        <v>8.0000000000000002E-3</v>
      </c>
      <c r="T74" s="26"/>
    </row>
    <row r="75" spans="1:20" x14ac:dyDescent="0.25">
      <c r="A75" s="81" t="s">
        <v>276</v>
      </c>
      <c r="B75" s="118"/>
      <c r="C75" s="45" t="s">
        <v>245</v>
      </c>
      <c r="D75" s="70" t="s">
        <v>185</v>
      </c>
      <c r="E75" s="72" t="s">
        <v>17</v>
      </c>
      <c r="F75" s="167">
        <v>1000</v>
      </c>
      <c r="G75" s="70"/>
      <c r="H75" s="76"/>
      <c r="I75" s="70"/>
      <c r="J75" s="70">
        <f t="shared" si="3"/>
        <v>1000</v>
      </c>
      <c r="K75" s="154" t="s">
        <v>149</v>
      </c>
      <c r="L75" s="63"/>
      <c r="M75" s="140">
        <v>1000</v>
      </c>
      <c r="N75" s="103"/>
      <c r="O75" s="95"/>
      <c r="P75" s="18">
        <v>4.0000000000000001E-3</v>
      </c>
      <c r="Q75" s="18">
        <v>3.6600000000000001E-2</v>
      </c>
      <c r="R75" s="18">
        <v>0.09</v>
      </c>
      <c r="S75" s="18">
        <v>4.0000000000000001E-3</v>
      </c>
      <c r="T75" s="26"/>
    </row>
    <row r="76" spans="1:20" x14ac:dyDescent="0.25">
      <c r="A76" s="81" t="s">
        <v>276</v>
      </c>
      <c r="B76" s="118"/>
      <c r="C76" s="45" t="s">
        <v>245</v>
      </c>
      <c r="D76" s="70" t="s">
        <v>185</v>
      </c>
      <c r="E76" s="72" t="s">
        <v>17</v>
      </c>
      <c r="F76" s="167">
        <v>1000</v>
      </c>
      <c r="G76" s="70"/>
      <c r="H76" s="76"/>
      <c r="I76" s="70"/>
      <c r="J76" s="70">
        <f t="shared" si="3"/>
        <v>1000</v>
      </c>
      <c r="K76" s="154" t="s">
        <v>150</v>
      </c>
      <c r="L76" s="63"/>
      <c r="M76" s="140">
        <v>1000</v>
      </c>
      <c r="N76" s="103"/>
      <c r="O76" s="95"/>
      <c r="P76" s="18">
        <v>4.0000000000000001E-3</v>
      </c>
      <c r="Q76" s="18">
        <v>0.06</v>
      </c>
      <c r="R76" s="18">
        <v>4.3299999999999998E-2</v>
      </c>
      <c r="S76" s="18">
        <v>8.0000000000000002E-3</v>
      </c>
      <c r="T76" s="26"/>
    </row>
    <row r="77" spans="1:20" x14ac:dyDescent="0.25">
      <c r="A77" s="81" t="s">
        <v>276</v>
      </c>
      <c r="B77" s="118"/>
      <c r="C77" s="45" t="s">
        <v>245</v>
      </c>
      <c r="D77" s="70" t="s">
        <v>185</v>
      </c>
      <c r="E77" s="72" t="s">
        <v>17</v>
      </c>
      <c r="F77" s="167">
        <v>310</v>
      </c>
      <c r="G77" s="70"/>
      <c r="H77" s="76"/>
      <c r="I77" s="70"/>
      <c r="J77" s="70">
        <f t="shared" si="3"/>
        <v>310</v>
      </c>
      <c r="K77" s="154" t="s">
        <v>275</v>
      </c>
      <c r="L77" s="63"/>
      <c r="M77" s="140">
        <v>310</v>
      </c>
      <c r="N77" s="103"/>
      <c r="O77" s="95"/>
      <c r="P77" s="18">
        <v>8.0000000000000002E-3</v>
      </c>
      <c r="Q77" s="18">
        <v>0.05</v>
      </c>
      <c r="R77" s="18">
        <v>4.6600000000000003E-2</v>
      </c>
      <c r="S77" s="18">
        <v>1.7999999999999999E-2</v>
      </c>
      <c r="T77" s="26"/>
    </row>
    <row r="78" spans="1:20" x14ac:dyDescent="0.25">
      <c r="A78" s="81"/>
      <c r="B78" s="118"/>
      <c r="C78" s="45"/>
      <c r="D78" s="70"/>
      <c r="E78" s="72"/>
      <c r="F78" s="167"/>
      <c r="G78" s="70"/>
      <c r="H78" s="76"/>
      <c r="I78" s="70"/>
      <c r="J78" s="70">
        <f t="shared" si="3"/>
        <v>0</v>
      </c>
      <c r="K78" s="154"/>
      <c r="L78" s="63"/>
      <c r="M78" s="140"/>
      <c r="N78" s="103"/>
      <c r="O78" s="95"/>
      <c r="P78" s="18"/>
      <c r="Q78" s="18"/>
      <c r="R78" s="18"/>
      <c r="S78" s="18"/>
      <c r="T78" s="26"/>
    </row>
    <row r="79" spans="1:20" x14ac:dyDescent="0.25">
      <c r="A79" s="81" t="s">
        <v>106</v>
      </c>
      <c r="B79" s="118" t="s">
        <v>97</v>
      </c>
      <c r="C79" s="45" t="s">
        <v>114</v>
      </c>
      <c r="D79" s="70" t="s">
        <v>98</v>
      </c>
      <c r="E79" s="72" t="s">
        <v>17</v>
      </c>
      <c r="F79" s="167">
        <v>1000</v>
      </c>
      <c r="G79" s="70"/>
      <c r="H79" s="76"/>
      <c r="I79" s="70"/>
      <c r="J79" s="70">
        <f t="shared" si="3"/>
        <v>1000</v>
      </c>
      <c r="K79" s="154" t="s">
        <v>64</v>
      </c>
      <c r="L79" s="63"/>
      <c r="M79" s="140">
        <v>1000</v>
      </c>
      <c r="N79" s="103"/>
      <c r="O79" s="95"/>
      <c r="P79" s="18">
        <v>2E-3</v>
      </c>
      <c r="Q79" s="18">
        <v>2.3300000000000001E-2</v>
      </c>
      <c r="R79" s="18">
        <v>6.3299999999999995E-2</v>
      </c>
      <c r="S79" s="18">
        <v>0</v>
      </c>
      <c r="T79" s="26">
        <v>0</v>
      </c>
    </row>
    <row r="80" spans="1:20" x14ac:dyDescent="0.25">
      <c r="A80" s="81" t="s">
        <v>106</v>
      </c>
      <c r="B80" s="118" t="s">
        <v>97</v>
      </c>
      <c r="C80" s="45" t="s">
        <v>114</v>
      </c>
      <c r="D80" s="70" t="s">
        <v>98</v>
      </c>
      <c r="E80" s="72" t="s">
        <v>17</v>
      </c>
      <c r="F80" s="167">
        <v>1000</v>
      </c>
      <c r="G80" s="70"/>
      <c r="H80" s="76"/>
      <c r="I80" s="70"/>
      <c r="J80" s="70">
        <f t="shared" si="3"/>
        <v>1000</v>
      </c>
      <c r="K80" s="154" t="s">
        <v>68</v>
      </c>
      <c r="L80" s="63"/>
      <c r="M80" s="140">
        <v>1000</v>
      </c>
      <c r="N80" s="103"/>
      <c r="O80" s="95"/>
      <c r="P80" s="18">
        <v>2E-3</v>
      </c>
      <c r="Q80" s="18">
        <v>2.6599999999999999E-2</v>
      </c>
      <c r="R80" s="18">
        <v>6.3299999999999995E-2</v>
      </c>
      <c r="S80" s="18">
        <v>0</v>
      </c>
      <c r="T80" s="26">
        <v>0</v>
      </c>
    </row>
    <row r="81" spans="1:20" x14ac:dyDescent="0.25">
      <c r="A81" s="81" t="s">
        <v>106</v>
      </c>
      <c r="B81" s="118" t="s">
        <v>97</v>
      </c>
      <c r="C81" s="45" t="s">
        <v>114</v>
      </c>
      <c r="D81" s="70" t="s">
        <v>98</v>
      </c>
      <c r="E81" s="72" t="s">
        <v>17</v>
      </c>
      <c r="F81" s="167">
        <v>1000</v>
      </c>
      <c r="G81" s="70"/>
      <c r="H81" s="76"/>
      <c r="I81" s="70"/>
      <c r="J81" s="70">
        <f t="shared" si="3"/>
        <v>1000</v>
      </c>
      <c r="K81" s="154" t="s">
        <v>70</v>
      </c>
      <c r="L81" s="63"/>
      <c r="M81" s="140">
        <v>1000</v>
      </c>
      <c r="N81" s="103"/>
      <c r="O81" s="95"/>
      <c r="P81" s="18">
        <v>1E-3</v>
      </c>
      <c r="Q81" s="18">
        <v>0.03</v>
      </c>
      <c r="R81" s="18">
        <v>8.6599999999999996E-2</v>
      </c>
      <c r="S81" s="18">
        <v>0</v>
      </c>
      <c r="T81" s="26">
        <v>0</v>
      </c>
    </row>
    <row r="82" spans="1:20" x14ac:dyDescent="0.25">
      <c r="A82" s="81" t="s">
        <v>106</v>
      </c>
      <c r="B82" s="118" t="s">
        <v>97</v>
      </c>
      <c r="C82" s="45" t="s">
        <v>114</v>
      </c>
      <c r="D82" s="70" t="s">
        <v>98</v>
      </c>
      <c r="E82" s="72" t="s">
        <v>17</v>
      </c>
      <c r="F82" s="167">
        <v>1000</v>
      </c>
      <c r="G82" s="70"/>
      <c r="H82" s="76"/>
      <c r="I82" s="70"/>
      <c r="J82" s="70">
        <f t="shared" si="3"/>
        <v>1000</v>
      </c>
      <c r="K82" s="154" t="s">
        <v>71</v>
      </c>
      <c r="L82" s="63"/>
      <c r="M82" s="140">
        <v>1000</v>
      </c>
      <c r="N82" s="103"/>
      <c r="O82" s="95"/>
      <c r="P82" s="18">
        <v>1E-3</v>
      </c>
      <c r="Q82" s="18">
        <v>2.6599999999999999E-2</v>
      </c>
      <c r="R82" s="18">
        <v>9.3299999999999994E-2</v>
      </c>
      <c r="S82" s="18">
        <v>0</v>
      </c>
      <c r="T82" s="26">
        <v>0</v>
      </c>
    </row>
    <row r="83" spans="1:20" x14ac:dyDescent="0.25">
      <c r="A83" s="81" t="s">
        <v>106</v>
      </c>
      <c r="B83" s="118" t="s">
        <v>97</v>
      </c>
      <c r="C83" s="45" t="s">
        <v>114</v>
      </c>
      <c r="D83" s="70" t="s">
        <v>98</v>
      </c>
      <c r="E83" s="72" t="s">
        <v>17</v>
      </c>
      <c r="F83" s="167">
        <v>1000</v>
      </c>
      <c r="G83" s="70"/>
      <c r="H83" s="76"/>
      <c r="I83" s="70"/>
      <c r="J83" s="70">
        <f t="shared" si="3"/>
        <v>1000</v>
      </c>
      <c r="K83" s="154" t="s">
        <v>72</v>
      </c>
      <c r="L83" s="63"/>
      <c r="M83" s="140">
        <v>1000</v>
      </c>
      <c r="N83" s="103"/>
      <c r="O83" s="95"/>
      <c r="P83" s="18">
        <v>0</v>
      </c>
      <c r="Q83" s="18">
        <v>2.3300000000000001E-2</v>
      </c>
      <c r="R83" s="18">
        <v>0.1066</v>
      </c>
      <c r="S83" s="18">
        <v>0</v>
      </c>
      <c r="T83" s="26">
        <v>0</v>
      </c>
    </row>
    <row r="84" spans="1:20" ht="29.25" x14ac:dyDescent="0.25">
      <c r="A84" s="81" t="s">
        <v>106</v>
      </c>
      <c r="B84" s="118" t="s">
        <v>97</v>
      </c>
      <c r="C84" s="45" t="s">
        <v>114</v>
      </c>
      <c r="D84" s="70" t="s">
        <v>98</v>
      </c>
      <c r="E84" s="72" t="s">
        <v>17</v>
      </c>
      <c r="F84" s="167">
        <v>450</v>
      </c>
      <c r="G84" s="70"/>
      <c r="H84" s="76" t="s">
        <v>169</v>
      </c>
      <c r="I84" s="70"/>
      <c r="J84" s="70">
        <f t="shared" si="3"/>
        <v>450</v>
      </c>
      <c r="K84" s="154" t="s">
        <v>73</v>
      </c>
      <c r="L84" s="63"/>
      <c r="M84" s="140">
        <v>450</v>
      </c>
      <c r="N84" s="103"/>
      <c r="O84" s="95"/>
      <c r="P84" s="18">
        <v>1E-3</v>
      </c>
      <c r="Q84" s="18">
        <v>0.03</v>
      </c>
      <c r="R84" s="18">
        <v>6.6600000000000006E-2</v>
      </c>
      <c r="S84" s="18">
        <v>0</v>
      </c>
      <c r="T84" s="26">
        <v>0</v>
      </c>
    </row>
    <row r="85" spans="1:20" x14ac:dyDescent="0.25">
      <c r="A85" s="81" t="s">
        <v>106</v>
      </c>
      <c r="B85" s="118" t="s">
        <v>97</v>
      </c>
      <c r="C85" s="45" t="s">
        <v>114</v>
      </c>
      <c r="D85" s="70" t="s">
        <v>98</v>
      </c>
      <c r="E85" s="72" t="s">
        <v>17</v>
      </c>
      <c r="F85" s="167">
        <v>1000</v>
      </c>
      <c r="G85" s="70"/>
      <c r="H85" s="76"/>
      <c r="I85" s="70"/>
      <c r="J85" s="70">
        <f t="shared" si="3"/>
        <v>1000</v>
      </c>
      <c r="K85" s="154" t="s">
        <v>92</v>
      </c>
      <c r="L85" s="63"/>
      <c r="M85" s="140">
        <v>1000</v>
      </c>
      <c r="N85" s="103"/>
      <c r="O85" s="95"/>
      <c r="P85" s="18">
        <v>1E-3</v>
      </c>
      <c r="Q85" s="18">
        <v>1.3299999999999999E-2</v>
      </c>
      <c r="R85" s="18">
        <v>5.33E-2</v>
      </c>
      <c r="S85" s="18">
        <v>0</v>
      </c>
      <c r="T85" s="26">
        <v>0</v>
      </c>
    </row>
    <row r="86" spans="1:20" x14ac:dyDescent="0.25">
      <c r="A86" s="81" t="s">
        <v>106</v>
      </c>
      <c r="B86" s="118" t="s">
        <v>97</v>
      </c>
      <c r="C86" s="45" t="s">
        <v>114</v>
      </c>
      <c r="D86" s="70" t="s">
        <v>98</v>
      </c>
      <c r="E86" s="72" t="s">
        <v>17</v>
      </c>
      <c r="F86" s="167">
        <v>1000</v>
      </c>
      <c r="G86" s="70"/>
      <c r="H86" s="76"/>
      <c r="I86" s="70"/>
      <c r="J86" s="70">
        <f t="shared" si="3"/>
        <v>1000</v>
      </c>
      <c r="K86" s="154" t="s">
        <v>93</v>
      </c>
      <c r="L86" s="63"/>
      <c r="M86" s="140">
        <v>1000</v>
      </c>
      <c r="N86" s="103"/>
      <c r="O86" s="95"/>
      <c r="P86" s="18">
        <v>0</v>
      </c>
      <c r="Q86" s="18">
        <v>0.01</v>
      </c>
      <c r="R86" s="18">
        <v>3.3300000000000003E-2</v>
      </c>
      <c r="S86" s="18">
        <v>0</v>
      </c>
      <c r="T86" s="26">
        <v>0</v>
      </c>
    </row>
    <row r="87" spans="1:20" x14ac:dyDescent="0.25">
      <c r="A87" s="81" t="s">
        <v>106</v>
      </c>
      <c r="B87" s="118" t="s">
        <v>97</v>
      </c>
      <c r="C87" s="45" t="s">
        <v>114</v>
      </c>
      <c r="D87" s="70" t="s">
        <v>98</v>
      </c>
      <c r="E87" s="72" t="s">
        <v>17</v>
      </c>
      <c r="F87" s="167">
        <v>1000</v>
      </c>
      <c r="G87" s="70"/>
      <c r="H87" s="76"/>
      <c r="I87" s="70"/>
      <c r="J87" s="70">
        <f t="shared" si="3"/>
        <v>1000</v>
      </c>
      <c r="K87" s="154" t="s">
        <v>94</v>
      </c>
      <c r="L87" s="63"/>
      <c r="M87" s="140">
        <v>1000</v>
      </c>
      <c r="N87" s="103"/>
      <c r="O87" s="95"/>
      <c r="P87" s="18">
        <v>0</v>
      </c>
      <c r="Q87" s="18">
        <v>0.02</v>
      </c>
      <c r="R87" s="18">
        <v>4.6600000000000003E-2</v>
      </c>
      <c r="S87" s="18">
        <v>0</v>
      </c>
      <c r="T87" s="26">
        <v>0</v>
      </c>
    </row>
    <row r="88" spans="1:20" x14ac:dyDescent="0.25">
      <c r="A88" s="81" t="s">
        <v>106</v>
      </c>
      <c r="B88" s="118" t="s">
        <v>97</v>
      </c>
      <c r="C88" s="45" t="s">
        <v>114</v>
      </c>
      <c r="D88" s="70" t="s">
        <v>98</v>
      </c>
      <c r="E88" s="72" t="s">
        <v>17</v>
      </c>
      <c r="F88" s="167">
        <v>1000</v>
      </c>
      <c r="G88" s="70"/>
      <c r="H88" s="76"/>
      <c r="I88" s="70"/>
      <c r="J88" s="70">
        <f t="shared" si="3"/>
        <v>1000</v>
      </c>
      <c r="K88" s="154" t="s">
        <v>95</v>
      </c>
      <c r="L88" s="63"/>
      <c r="M88" s="140">
        <v>1000</v>
      </c>
      <c r="N88" s="103"/>
      <c r="O88" s="95"/>
      <c r="P88" s="18">
        <v>1E-3</v>
      </c>
      <c r="Q88" s="18">
        <v>3.3E-3</v>
      </c>
      <c r="R88" s="18">
        <v>0.04</v>
      </c>
      <c r="S88" s="18">
        <v>0</v>
      </c>
      <c r="T88" s="26">
        <v>0</v>
      </c>
    </row>
    <row r="89" spans="1:20" x14ac:dyDescent="0.25">
      <c r="A89" s="81" t="s">
        <v>106</v>
      </c>
      <c r="B89" s="118" t="s">
        <v>97</v>
      </c>
      <c r="C89" s="45" t="s">
        <v>114</v>
      </c>
      <c r="D89" s="70" t="s">
        <v>98</v>
      </c>
      <c r="E89" s="72" t="s">
        <v>17</v>
      </c>
      <c r="F89" s="167">
        <v>1000</v>
      </c>
      <c r="G89" s="70"/>
      <c r="H89" s="76"/>
      <c r="I89" s="70"/>
      <c r="J89" s="70">
        <f t="shared" si="3"/>
        <v>1000</v>
      </c>
      <c r="K89" s="154" t="s">
        <v>118</v>
      </c>
      <c r="L89" s="63"/>
      <c r="M89" s="140">
        <v>1000</v>
      </c>
      <c r="N89" s="103"/>
      <c r="O89" s="95"/>
      <c r="P89" s="18">
        <v>0</v>
      </c>
      <c r="Q89" s="18">
        <v>0</v>
      </c>
      <c r="R89" s="18">
        <v>0.03</v>
      </c>
      <c r="S89" s="18">
        <v>0</v>
      </c>
      <c r="T89" s="26">
        <v>0</v>
      </c>
    </row>
    <row r="90" spans="1:20" x14ac:dyDescent="0.25">
      <c r="A90" s="81" t="s">
        <v>106</v>
      </c>
      <c r="B90" s="118" t="s">
        <v>97</v>
      </c>
      <c r="C90" s="45" t="s">
        <v>114</v>
      </c>
      <c r="D90" s="70" t="s">
        <v>98</v>
      </c>
      <c r="E90" s="72" t="s">
        <v>17</v>
      </c>
      <c r="F90" s="167">
        <v>1000</v>
      </c>
      <c r="G90" s="70"/>
      <c r="H90" s="76"/>
      <c r="I90" s="70"/>
      <c r="J90" s="70">
        <f t="shared" si="3"/>
        <v>1000</v>
      </c>
      <c r="K90" s="154" t="s">
        <v>119</v>
      </c>
      <c r="L90" s="63"/>
      <c r="M90" s="140">
        <v>1000</v>
      </c>
      <c r="N90" s="103"/>
      <c r="O90" s="95"/>
      <c r="P90" s="18">
        <v>1E-3</v>
      </c>
      <c r="Q90" s="18">
        <v>6.6E-3</v>
      </c>
      <c r="R90" s="18">
        <v>4.3299999999999998E-2</v>
      </c>
      <c r="S90" s="18">
        <v>0</v>
      </c>
      <c r="T90" s="26">
        <v>0</v>
      </c>
    </row>
    <row r="91" spans="1:20" x14ac:dyDescent="0.25">
      <c r="A91" s="81" t="s">
        <v>106</v>
      </c>
      <c r="B91" s="118" t="s">
        <v>97</v>
      </c>
      <c r="C91" s="45" t="s">
        <v>114</v>
      </c>
      <c r="D91" s="70" t="s">
        <v>98</v>
      </c>
      <c r="E91" s="72" t="s">
        <v>17</v>
      </c>
      <c r="F91" s="167">
        <v>1000</v>
      </c>
      <c r="G91" s="70"/>
      <c r="H91" s="76"/>
      <c r="I91" s="70"/>
      <c r="J91" s="70">
        <f t="shared" si="3"/>
        <v>1000</v>
      </c>
      <c r="K91" s="154" t="s">
        <v>120</v>
      </c>
      <c r="L91" s="63"/>
      <c r="M91" s="140">
        <v>1000</v>
      </c>
      <c r="N91" s="103"/>
      <c r="O91" s="95"/>
      <c r="P91" s="18">
        <v>0</v>
      </c>
      <c r="Q91" s="18">
        <v>3.3E-3</v>
      </c>
      <c r="R91" s="18">
        <v>1.66E-2</v>
      </c>
      <c r="S91" s="18">
        <v>0</v>
      </c>
      <c r="T91" s="26">
        <v>0</v>
      </c>
    </row>
    <row r="92" spans="1:20" x14ac:dyDescent="0.25">
      <c r="A92" s="81" t="s">
        <v>106</v>
      </c>
      <c r="B92" s="118" t="s">
        <v>97</v>
      </c>
      <c r="C92" s="45" t="s">
        <v>114</v>
      </c>
      <c r="D92" s="70" t="s">
        <v>98</v>
      </c>
      <c r="E92" s="72" t="s">
        <v>17</v>
      </c>
      <c r="F92" s="167">
        <v>1000</v>
      </c>
      <c r="G92" s="70"/>
      <c r="H92" s="76"/>
      <c r="I92" s="70"/>
      <c r="J92" s="70">
        <f t="shared" si="3"/>
        <v>1000</v>
      </c>
      <c r="K92" s="154" t="s">
        <v>124</v>
      </c>
      <c r="L92" s="63"/>
      <c r="M92" s="140">
        <v>1000</v>
      </c>
      <c r="N92" s="103"/>
      <c r="O92" s="95"/>
      <c r="P92" s="18">
        <v>1E-3</v>
      </c>
      <c r="Q92" s="18">
        <v>0.02</v>
      </c>
      <c r="R92" s="18">
        <v>3.6600000000000001E-2</v>
      </c>
      <c r="S92" s="18">
        <v>0</v>
      </c>
      <c r="T92" s="26">
        <v>0</v>
      </c>
    </row>
    <row r="93" spans="1:20" x14ac:dyDescent="0.25">
      <c r="A93" s="81" t="s">
        <v>106</v>
      </c>
      <c r="B93" s="118" t="s">
        <v>97</v>
      </c>
      <c r="C93" s="45" t="s">
        <v>114</v>
      </c>
      <c r="D93" s="70" t="s">
        <v>98</v>
      </c>
      <c r="E93" s="72" t="s">
        <v>17</v>
      </c>
      <c r="F93" s="167">
        <v>1000</v>
      </c>
      <c r="G93" s="70"/>
      <c r="H93" s="76"/>
      <c r="I93" s="70"/>
      <c r="J93" s="70">
        <f t="shared" si="3"/>
        <v>1000</v>
      </c>
      <c r="K93" s="154" t="s">
        <v>125</v>
      </c>
      <c r="L93" s="63"/>
      <c r="M93" s="140">
        <v>1000</v>
      </c>
      <c r="N93" s="103"/>
      <c r="O93" s="95"/>
      <c r="P93" s="18">
        <v>1E-3</v>
      </c>
      <c r="Q93" s="18">
        <v>1.3299999999999999E-2</v>
      </c>
      <c r="R93" s="18">
        <v>0.04</v>
      </c>
      <c r="S93" s="18">
        <v>0</v>
      </c>
      <c r="T93" s="26">
        <v>0</v>
      </c>
    </row>
    <row r="94" spans="1:20" x14ac:dyDescent="0.25">
      <c r="A94" s="81" t="s">
        <v>106</v>
      </c>
      <c r="B94" s="118" t="s">
        <v>97</v>
      </c>
      <c r="C94" s="45" t="s">
        <v>114</v>
      </c>
      <c r="D94" s="70" t="s">
        <v>98</v>
      </c>
      <c r="E94" s="72" t="s">
        <v>17</v>
      </c>
      <c r="F94" s="167">
        <v>1000</v>
      </c>
      <c r="G94" s="70"/>
      <c r="H94" s="76"/>
      <c r="I94" s="70"/>
      <c r="J94" s="70">
        <f t="shared" si="3"/>
        <v>1000</v>
      </c>
      <c r="K94" s="154" t="s">
        <v>126</v>
      </c>
      <c r="L94" s="63"/>
      <c r="M94" s="140">
        <v>1000</v>
      </c>
      <c r="N94" s="103"/>
      <c r="O94" s="95"/>
      <c r="P94" s="18">
        <v>0</v>
      </c>
      <c r="Q94" s="18">
        <v>6.6E-3</v>
      </c>
      <c r="R94" s="18">
        <v>2.6599999999999999E-2</v>
      </c>
      <c r="S94" s="18">
        <v>0</v>
      </c>
      <c r="T94" s="26">
        <v>0</v>
      </c>
    </row>
    <row r="95" spans="1:20" x14ac:dyDescent="0.25">
      <c r="A95" s="81" t="s">
        <v>106</v>
      </c>
      <c r="B95" s="118" t="s">
        <v>97</v>
      </c>
      <c r="C95" s="45" t="s">
        <v>114</v>
      </c>
      <c r="D95" s="70" t="s">
        <v>98</v>
      </c>
      <c r="E95" s="72" t="s">
        <v>17</v>
      </c>
      <c r="F95" s="167">
        <v>1000</v>
      </c>
      <c r="G95" s="70"/>
      <c r="H95" s="76"/>
      <c r="I95" s="70"/>
      <c r="J95" s="70">
        <f t="shared" si="3"/>
        <v>1000</v>
      </c>
      <c r="K95" s="154" t="s">
        <v>127</v>
      </c>
      <c r="L95" s="63"/>
      <c r="M95" s="140">
        <v>1000</v>
      </c>
      <c r="N95" s="103"/>
      <c r="O95" s="95"/>
      <c r="P95" s="18">
        <v>0</v>
      </c>
      <c r="Q95" s="18">
        <v>0.01</v>
      </c>
      <c r="R95" s="18">
        <v>3.6600000000000001E-2</v>
      </c>
      <c r="S95" s="18">
        <v>0</v>
      </c>
      <c r="T95" s="26">
        <v>0</v>
      </c>
    </row>
    <row r="96" spans="1:20" x14ac:dyDescent="0.25">
      <c r="A96" s="81" t="s">
        <v>106</v>
      </c>
      <c r="B96" s="118" t="s">
        <v>97</v>
      </c>
      <c r="C96" s="45" t="s">
        <v>114</v>
      </c>
      <c r="D96" s="70" t="s">
        <v>98</v>
      </c>
      <c r="E96" s="72" t="s">
        <v>17</v>
      </c>
      <c r="F96" s="167">
        <v>1000</v>
      </c>
      <c r="G96" s="70"/>
      <c r="H96" s="76"/>
      <c r="I96" s="70"/>
      <c r="J96" s="70">
        <f t="shared" si="3"/>
        <v>1000</v>
      </c>
      <c r="K96" s="154" t="s">
        <v>128</v>
      </c>
      <c r="L96" s="63"/>
      <c r="M96" s="140">
        <v>1000</v>
      </c>
      <c r="N96" s="103"/>
      <c r="O96" s="95"/>
      <c r="P96" s="18">
        <v>0</v>
      </c>
      <c r="Q96" s="18">
        <v>0.02</v>
      </c>
      <c r="R96" s="18">
        <v>3.3300000000000003E-2</v>
      </c>
      <c r="S96" s="18">
        <v>0</v>
      </c>
      <c r="T96" s="26">
        <v>0</v>
      </c>
    </row>
    <row r="97" spans="1:20" x14ac:dyDescent="0.25">
      <c r="A97" s="81" t="s">
        <v>106</v>
      </c>
      <c r="B97" s="118" t="s">
        <v>97</v>
      </c>
      <c r="C97" s="45" t="s">
        <v>114</v>
      </c>
      <c r="D97" s="70" t="s">
        <v>98</v>
      </c>
      <c r="E97" s="72" t="s">
        <v>17</v>
      </c>
      <c r="F97" s="167">
        <v>1000</v>
      </c>
      <c r="G97" s="70"/>
      <c r="H97" s="76"/>
      <c r="I97" s="70"/>
      <c r="J97" s="70">
        <f t="shared" si="3"/>
        <v>1000</v>
      </c>
      <c r="K97" s="154" t="s">
        <v>129</v>
      </c>
      <c r="L97" s="63"/>
      <c r="M97" s="140">
        <v>1000</v>
      </c>
      <c r="N97" s="103"/>
      <c r="O97" s="95"/>
      <c r="P97" s="18">
        <v>0</v>
      </c>
      <c r="Q97" s="18">
        <v>1.66E-2</v>
      </c>
      <c r="R97" s="18">
        <v>3.6600000000000001E-2</v>
      </c>
      <c r="S97" s="18">
        <v>0</v>
      </c>
      <c r="T97" s="26">
        <v>0</v>
      </c>
    </row>
    <row r="98" spans="1:20" x14ac:dyDescent="0.25">
      <c r="A98" s="81" t="s">
        <v>116</v>
      </c>
      <c r="B98" s="118" t="s">
        <v>97</v>
      </c>
      <c r="C98" s="45" t="s">
        <v>136</v>
      </c>
      <c r="D98" s="70" t="s">
        <v>98</v>
      </c>
      <c r="E98" s="72" t="s">
        <v>17</v>
      </c>
      <c r="F98" s="167">
        <v>1000</v>
      </c>
      <c r="G98" s="70"/>
      <c r="H98" s="76"/>
      <c r="I98" s="70"/>
      <c r="J98" s="70">
        <f t="shared" si="3"/>
        <v>1000</v>
      </c>
      <c r="K98" s="154" t="s">
        <v>60</v>
      </c>
      <c r="L98" s="63"/>
      <c r="M98" s="139">
        <v>1000</v>
      </c>
      <c r="N98" s="103"/>
      <c r="O98" s="95"/>
      <c r="P98" s="18">
        <v>0</v>
      </c>
      <c r="Q98" s="18">
        <v>6.6E-3</v>
      </c>
      <c r="R98" s="18">
        <v>2.6599999999999999E-2</v>
      </c>
      <c r="S98" s="18">
        <v>0</v>
      </c>
      <c r="T98" s="26">
        <v>0</v>
      </c>
    </row>
    <row r="99" spans="1:20" x14ac:dyDescent="0.25">
      <c r="A99" s="81" t="s">
        <v>116</v>
      </c>
      <c r="B99" s="118" t="s">
        <v>97</v>
      </c>
      <c r="C99" s="45" t="s">
        <v>136</v>
      </c>
      <c r="D99" s="70" t="s">
        <v>98</v>
      </c>
      <c r="E99" s="72" t="s">
        <v>17</v>
      </c>
      <c r="F99" s="167">
        <v>1000</v>
      </c>
      <c r="G99" s="70"/>
      <c r="H99" s="76"/>
      <c r="I99" s="70"/>
      <c r="J99" s="70">
        <f t="shared" si="3"/>
        <v>1000</v>
      </c>
      <c r="K99" s="154" t="s">
        <v>62</v>
      </c>
      <c r="L99" s="63"/>
      <c r="M99" s="139">
        <v>1000</v>
      </c>
      <c r="N99" s="103"/>
      <c r="O99" s="95"/>
      <c r="P99" s="18">
        <v>0</v>
      </c>
      <c r="Q99" s="18">
        <v>0.01</v>
      </c>
      <c r="R99" s="18">
        <v>4.3299999999999998E-2</v>
      </c>
      <c r="S99" s="18">
        <v>0</v>
      </c>
      <c r="T99" s="26">
        <v>0</v>
      </c>
    </row>
    <row r="100" spans="1:20" x14ac:dyDescent="0.25">
      <c r="A100" s="81" t="s">
        <v>183</v>
      </c>
      <c r="B100" s="118" t="s">
        <v>168</v>
      </c>
      <c r="C100" s="45" t="s">
        <v>181</v>
      </c>
      <c r="D100" s="70" t="s">
        <v>98</v>
      </c>
      <c r="E100" s="72" t="s">
        <v>17</v>
      </c>
      <c r="F100" s="167">
        <v>1000</v>
      </c>
      <c r="G100" s="70"/>
      <c r="H100" s="76"/>
      <c r="I100" s="70"/>
      <c r="J100" s="70">
        <f t="shared" si="3"/>
        <v>1000</v>
      </c>
      <c r="K100" s="154" t="s">
        <v>63</v>
      </c>
      <c r="L100" s="63"/>
      <c r="M100" s="139">
        <v>1000</v>
      </c>
      <c r="N100" s="103"/>
      <c r="O100" s="95"/>
      <c r="P100" s="18">
        <v>1E-3</v>
      </c>
      <c r="Q100" s="18">
        <v>0.01</v>
      </c>
      <c r="R100" s="18">
        <v>0.08</v>
      </c>
      <c r="S100" s="18">
        <v>0</v>
      </c>
      <c r="T100" s="26">
        <v>0</v>
      </c>
    </row>
    <row r="101" spans="1:20" x14ac:dyDescent="0.25">
      <c r="A101" s="81" t="s">
        <v>183</v>
      </c>
      <c r="B101" s="118" t="s">
        <v>168</v>
      </c>
      <c r="C101" s="45" t="s">
        <v>181</v>
      </c>
      <c r="D101" s="70" t="s">
        <v>98</v>
      </c>
      <c r="E101" s="72" t="s">
        <v>17</v>
      </c>
      <c r="F101" s="167">
        <v>1000</v>
      </c>
      <c r="G101" s="70"/>
      <c r="H101" s="76"/>
      <c r="I101" s="70"/>
      <c r="J101" s="70">
        <f t="shared" si="3"/>
        <v>1000</v>
      </c>
      <c r="K101" s="154" t="s">
        <v>64</v>
      </c>
      <c r="L101" s="63"/>
      <c r="M101" s="139">
        <v>1000</v>
      </c>
      <c r="N101" s="103"/>
      <c r="O101" s="95"/>
      <c r="P101" s="18">
        <v>3.0000000000000001E-3</v>
      </c>
      <c r="Q101" s="18">
        <v>0.02</v>
      </c>
      <c r="R101" s="18">
        <v>9.5000000000000001E-2</v>
      </c>
      <c r="S101" s="18">
        <v>0</v>
      </c>
      <c r="T101" s="26">
        <v>0</v>
      </c>
    </row>
    <row r="102" spans="1:20" x14ac:dyDescent="0.25">
      <c r="A102" s="81" t="s">
        <v>183</v>
      </c>
      <c r="B102" s="118" t="s">
        <v>168</v>
      </c>
      <c r="C102" s="45" t="s">
        <v>181</v>
      </c>
      <c r="D102" s="70" t="s">
        <v>98</v>
      </c>
      <c r="E102" s="72" t="s">
        <v>17</v>
      </c>
      <c r="F102" s="167">
        <v>1000</v>
      </c>
      <c r="G102" s="70"/>
      <c r="H102" s="76"/>
      <c r="I102" s="70"/>
      <c r="J102" s="70">
        <f t="shared" si="3"/>
        <v>1000</v>
      </c>
      <c r="K102" s="154" t="s">
        <v>68</v>
      </c>
      <c r="L102" s="63"/>
      <c r="M102" s="139">
        <v>1000</v>
      </c>
      <c r="N102" s="103"/>
      <c r="O102" s="95"/>
      <c r="P102" s="18">
        <v>2E-3</v>
      </c>
      <c r="Q102" s="18">
        <v>0.02</v>
      </c>
      <c r="R102" s="18">
        <v>5.5E-2</v>
      </c>
      <c r="S102" s="18">
        <v>0</v>
      </c>
      <c r="T102" s="26">
        <v>0</v>
      </c>
    </row>
    <row r="103" spans="1:20" x14ac:dyDescent="0.25">
      <c r="A103" s="81" t="s">
        <v>183</v>
      </c>
      <c r="B103" s="118" t="s">
        <v>168</v>
      </c>
      <c r="C103" s="45" t="s">
        <v>181</v>
      </c>
      <c r="D103" s="70" t="s">
        <v>98</v>
      </c>
      <c r="E103" s="72" t="s">
        <v>17</v>
      </c>
      <c r="F103" s="167">
        <v>1000</v>
      </c>
      <c r="G103" s="70"/>
      <c r="H103" s="76"/>
      <c r="I103" s="70"/>
      <c r="J103" s="70">
        <f t="shared" si="3"/>
        <v>1000</v>
      </c>
      <c r="K103" s="154" t="s">
        <v>69</v>
      </c>
      <c r="L103" s="63"/>
      <c r="M103" s="139">
        <v>1000</v>
      </c>
      <c r="N103" s="103"/>
      <c r="O103" s="95"/>
      <c r="P103" s="18">
        <v>1E-3</v>
      </c>
      <c r="Q103" s="18">
        <v>5.0000000000000001E-3</v>
      </c>
      <c r="R103" s="18">
        <v>7.4999999999999997E-2</v>
      </c>
      <c r="S103" s="18">
        <v>0</v>
      </c>
      <c r="T103" s="26">
        <v>0</v>
      </c>
    </row>
    <row r="104" spans="1:20" x14ac:dyDescent="0.25">
      <c r="A104" s="81" t="s">
        <v>183</v>
      </c>
      <c r="B104" s="118" t="s">
        <v>168</v>
      </c>
      <c r="C104" s="45" t="s">
        <v>181</v>
      </c>
      <c r="D104" s="70" t="s">
        <v>98</v>
      </c>
      <c r="E104" s="72" t="s">
        <v>17</v>
      </c>
      <c r="F104" s="167">
        <v>1000</v>
      </c>
      <c r="G104" s="70"/>
      <c r="H104" s="76"/>
      <c r="I104" s="70"/>
      <c r="J104" s="70">
        <f t="shared" si="3"/>
        <v>1000</v>
      </c>
      <c r="K104" s="154" t="s">
        <v>70</v>
      </c>
      <c r="L104" s="63"/>
      <c r="M104" s="139">
        <v>1000</v>
      </c>
      <c r="N104" s="103"/>
      <c r="O104" s="95"/>
      <c r="P104" s="18">
        <v>1E-3</v>
      </c>
      <c r="Q104" s="18">
        <v>1.4999999999999999E-2</v>
      </c>
      <c r="R104" s="18">
        <v>4.4999999999999998E-2</v>
      </c>
      <c r="S104" s="18">
        <v>0</v>
      </c>
      <c r="T104" s="26">
        <v>0</v>
      </c>
    </row>
    <row r="105" spans="1:20" x14ac:dyDescent="0.25">
      <c r="A105" s="81" t="s">
        <v>183</v>
      </c>
      <c r="B105" s="118" t="s">
        <v>168</v>
      </c>
      <c r="C105" s="45" t="s">
        <v>181</v>
      </c>
      <c r="D105" s="70" t="s">
        <v>98</v>
      </c>
      <c r="E105" s="72" t="s">
        <v>17</v>
      </c>
      <c r="F105" s="167">
        <v>1000</v>
      </c>
      <c r="G105" s="70"/>
      <c r="H105" s="76"/>
      <c r="I105" s="70"/>
      <c r="J105" s="70">
        <f t="shared" si="3"/>
        <v>1000</v>
      </c>
      <c r="K105" s="154" t="s">
        <v>71</v>
      </c>
      <c r="L105" s="63"/>
      <c r="M105" s="139">
        <v>1000</v>
      </c>
      <c r="N105" s="103"/>
      <c r="O105" s="95"/>
      <c r="P105" s="18">
        <v>1E-3</v>
      </c>
      <c r="Q105" s="18">
        <v>2.5000000000000001E-2</v>
      </c>
      <c r="R105" s="18">
        <v>8.5000000000000006E-2</v>
      </c>
      <c r="S105" s="18">
        <v>0</v>
      </c>
      <c r="T105" s="26">
        <v>0</v>
      </c>
    </row>
    <row r="106" spans="1:20" x14ac:dyDescent="0.25">
      <c r="A106" s="81" t="s">
        <v>183</v>
      </c>
      <c r="B106" s="118" t="s">
        <v>168</v>
      </c>
      <c r="C106" s="45" t="s">
        <v>181</v>
      </c>
      <c r="D106" s="70" t="s">
        <v>98</v>
      </c>
      <c r="E106" s="72" t="s">
        <v>17</v>
      </c>
      <c r="F106" s="167">
        <v>1000</v>
      </c>
      <c r="G106" s="70"/>
      <c r="H106" s="76"/>
      <c r="I106" s="70"/>
      <c r="J106" s="70">
        <f t="shared" si="3"/>
        <v>1000</v>
      </c>
      <c r="K106" s="154" t="s">
        <v>72</v>
      </c>
      <c r="L106" s="63"/>
      <c r="M106" s="139">
        <v>1000</v>
      </c>
      <c r="N106" s="103"/>
      <c r="O106" s="95"/>
      <c r="P106" s="18">
        <v>1E-3</v>
      </c>
      <c r="Q106" s="18">
        <v>0.02</v>
      </c>
      <c r="R106" s="18">
        <v>7.0000000000000007E-2</v>
      </c>
      <c r="S106" s="18">
        <v>0</v>
      </c>
      <c r="T106" s="26">
        <v>0</v>
      </c>
    </row>
    <row r="107" spans="1:20" x14ac:dyDescent="0.25">
      <c r="A107" s="81" t="s">
        <v>183</v>
      </c>
      <c r="B107" s="118" t="s">
        <v>168</v>
      </c>
      <c r="C107" s="45" t="s">
        <v>181</v>
      </c>
      <c r="D107" s="70" t="s">
        <v>98</v>
      </c>
      <c r="E107" s="72" t="s">
        <v>17</v>
      </c>
      <c r="F107" s="167">
        <v>1000</v>
      </c>
      <c r="G107" s="70"/>
      <c r="H107" s="76"/>
      <c r="I107" s="70"/>
      <c r="J107" s="70">
        <f t="shared" si="3"/>
        <v>1000</v>
      </c>
      <c r="K107" s="154" t="s">
        <v>73</v>
      </c>
      <c r="L107" s="63"/>
      <c r="M107" s="139">
        <v>1000</v>
      </c>
      <c r="N107" s="103"/>
      <c r="O107" s="95"/>
      <c r="P107" s="18">
        <v>2E-3</v>
      </c>
      <c r="Q107" s="18">
        <v>0.02</v>
      </c>
      <c r="R107" s="18">
        <v>0.08</v>
      </c>
      <c r="S107" s="18">
        <v>0</v>
      </c>
      <c r="T107" s="26">
        <v>0</v>
      </c>
    </row>
    <row r="108" spans="1:20" x14ac:dyDescent="0.25">
      <c r="A108" s="81" t="s">
        <v>183</v>
      </c>
      <c r="B108" s="118" t="s">
        <v>168</v>
      </c>
      <c r="C108" s="45" t="s">
        <v>181</v>
      </c>
      <c r="D108" s="70" t="s">
        <v>98</v>
      </c>
      <c r="E108" s="72" t="s">
        <v>17</v>
      </c>
      <c r="F108" s="167">
        <v>303</v>
      </c>
      <c r="G108" s="70"/>
      <c r="H108" s="76"/>
      <c r="I108" s="70"/>
      <c r="J108" s="70">
        <f t="shared" si="3"/>
        <v>303</v>
      </c>
      <c r="K108" s="154" t="s">
        <v>92</v>
      </c>
      <c r="L108" s="63"/>
      <c r="M108" s="139">
        <v>303</v>
      </c>
      <c r="N108" s="103"/>
      <c r="O108" s="95"/>
      <c r="P108" s="18">
        <v>3.0000000000000001E-3</v>
      </c>
      <c r="Q108" s="18">
        <v>0.03</v>
      </c>
      <c r="R108" s="18">
        <v>0.13200000000000001</v>
      </c>
      <c r="S108" s="18">
        <v>0</v>
      </c>
      <c r="T108" s="26">
        <v>0</v>
      </c>
    </row>
    <row r="109" spans="1:20" x14ac:dyDescent="0.25">
      <c r="A109" s="81" t="s">
        <v>230</v>
      </c>
      <c r="B109" s="118" t="s">
        <v>168</v>
      </c>
      <c r="C109" s="45" t="s">
        <v>231</v>
      </c>
      <c r="D109" s="70" t="s">
        <v>98</v>
      </c>
      <c r="E109" s="72" t="s">
        <v>17</v>
      </c>
      <c r="F109" s="167">
        <v>1000</v>
      </c>
      <c r="G109" s="70"/>
      <c r="H109" s="76"/>
      <c r="I109" s="70"/>
      <c r="J109" s="70">
        <f t="shared" si="3"/>
        <v>1000</v>
      </c>
      <c r="K109" s="154" t="s">
        <v>63</v>
      </c>
      <c r="L109" s="63"/>
      <c r="M109" s="139"/>
      <c r="N109" s="103">
        <v>1000</v>
      </c>
      <c r="O109" s="95"/>
      <c r="P109" s="18">
        <v>6.0000000000000001E-3</v>
      </c>
      <c r="Q109" s="18">
        <v>1.66E-2</v>
      </c>
      <c r="R109" s="18">
        <v>4.3299999999999998E-2</v>
      </c>
      <c r="S109" s="18">
        <v>0</v>
      </c>
      <c r="T109" s="26">
        <v>0</v>
      </c>
    </row>
    <row r="110" spans="1:20" x14ac:dyDescent="0.25">
      <c r="A110" s="81" t="s">
        <v>230</v>
      </c>
      <c r="B110" s="118" t="s">
        <v>168</v>
      </c>
      <c r="C110" s="45" t="s">
        <v>231</v>
      </c>
      <c r="D110" s="70" t="s">
        <v>98</v>
      </c>
      <c r="E110" s="72" t="s">
        <v>17</v>
      </c>
      <c r="F110" s="167">
        <v>1000</v>
      </c>
      <c r="G110" s="70"/>
      <c r="H110" s="76"/>
      <c r="I110" s="70"/>
      <c r="J110" s="70">
        <f t="shared" si="3"/>
        <v>1000</v>
      </c>
      <c r="K110" s="154" t="s">
        <v>64</v>
      </c>
      <c r="L110" s="63"/>
      <c r="M110" s="139"/>
      <c r="N110" s="103">
        <v>1000</v>
      </c>
      <c r="O110" s="95"/>
      <c r="P110" s="18">
        <v>0.01</v>
      </c>
      <c r="Q110" s="18">
        <v>4.3299999999999998E-2</v>
      </c>
      <c r="R110" s="18">
        <v>6.6600000000000006E-2</v>
      </c>
      <c r="S110" s="18">
        <v>0</v>
      </c>
      <c r="T110" s="26">
        <v>0</v>
      </c>
    </row>
    <row r="111" spans="1:20" x14ac:dyDescent="0.25">
      <c r="A111" s="81" t="s">
        <v>230</v>
      </c>
      <c r="B111" s="118" t="s">
        <v>168</v>
      </c>
      <c r="C111" s="45" t="s">
        <v>231</v>
      </c>
      <c r="D111" s="70" t="s">
        <v>98</v>
      </c>
      <c r="E111" s="72" t="s">
        <v>17</v>
      </c>
      <c r="F111" s="167">
        <v>1000</v>
      </c>
      <c r="G111" s="70"/>
      <c r="H111" s="76"/>
      <c r="I111" s="70"/>
      <c r="J111" s="70">
        <f t="shared" si="3"/>
        <v>1000</v>
      </c>
      <c r="K111" s="154" t="s">
        <v>68</v>
      </c>
      <c r="L111" s="63"/>
      <c r="M111" s="139"/>
      <c r="N111" s="103">
        <v>1000</v>
      </c>
      <c r="O111" s="95"/>
      <c r="P111" s="18">
        <v>1.2E-2</v>
      </c>
      <c r="Q111" s="18">
        <v>2.3300000000000001E-2</v>
      </c>
      <c r="R111" s="18">
        <v>0.06</v>
      </c>
      <c r="S111" s="18">
        <v>0</v>
      </c>
      <c r="T111" s="26">
        <v>0</v>
      </c>
    </row>
    <row r="112" spans="1:20" x14ac:dyDescent="0.25">
      <c r="A112" s="81" t="s">
        <v>230</v>
      </c>
      <c r="B112" s="118" t="s">
        <v>168</v>
      </c>
      <c r="C112" s="45" t="s">
        <v>231</v>
      </c>
      <c r="D112" s="70" t="s">
        <v>98</v>
      </c>
      <c r="E112" s="72" t="s">
        <v>17</v>
      </c>
      <c r="F112" s="167">
        <v>1000</v>
      </c>
      <c r="G112" s="70"/>
      <c r="H112" s="76"/>
      <c r="I112" s="70"/>
      <c r="J112" s="70">
        <f t="shared" si="3"/>
        <v>1000</v>
      </c>
      <c r="K112" s="154" t="s">
        <v>69</v>
      </c>
      <c r="L112" s="63"/>
      <c r="M112" s="139"/>
      <c r="N112" s="103">
        <v>1000</v>
      </c>
      <c r="O112" s="95"/>
      <c r="P112" s="18">
        <v>1.2999999999999999E-2</v>
      </c>
      <c r="Q112" s="18">
        <v>2.6599999999999999E-2</v>
      </c>
      <c r="R112" s="18">
        <v>7.6600000000000001E-2</v>
      </c>
      <c r="S112" s="18">
        <v>0</v>
      </c>
      <c r="T112" s="26">
        <v>0</v>
      </c>
    </row>
    <row r="113" spans="1:20" x14ac:dyDescent="0.25">
      <c r="A113" s="81" t="s">
        <v>230</v>
      </c>
      <c r="B113" s="118" t="s">
        <v>168</v>
      </c>
      <c r="C113" s="45" t="s">
        <v>231</v>
      </c>
      <c r="D113" s="70" t="s">
        <v>98</v>
      </c>
      <c r="E113" s="72" t="s">
        <v>17</v>
      </c>
      <c r="F113" s="167">
        <v>1000</v>
      </c>
      <c r="G113" s="70"/>
      <c r="H113" s="76"/>
      <c r="I113" s="70"/>
      <c r="J113" s="70">
        <f t="shared" si="3"/>
        <v>1000</v>
      </c>
      <c r="K113" s="154" t="s">
        <v>70</v>
      </c>
      <c r="L113" s="63"/>
      <c r="M113" s="139"/>
      <c r="N113" s="103">
        <v>1000</v>
      </c>
      <c r="O113" s="95"/>
      <c r="P113" s="18">
        <v>4.0000000000000001E-3</v>
      </c>
      <c r="Q113" s="18">
        <v>0.02</v>
      </c>
      <c r="R113" s="18">
        <v>7.6600000000000001E-2</v>
      </c>
      <c r="S113" s="18">
        <v>0</v>
      </c>
      <c r="T113" s="26">
        <v>0</v>
      </c>
    </row>
    <row r="114" spans="1:20" x14ac:dyDescent="0.25">
      <c r="A114" s="81" t="s">
        <v>230</v>
      </c>
      <c r="B114" s="118" t="s">
        <v>168</v>
      </c>
      <c r="C114" s="45" t="s">
        <v>231</v>
      </c>
      <c r="D114" s="70" t="s">
        <v>98</v>
      </c>
      <c r="E114" s="72" t="s">
        <v>17</v>
      </c>
      <c r="F114" s="167">
        <v>1000</v>
      </c>
      <c r="G114" s="70"/>
      <c r="H114" s="76"/>
      <c r="I114" s="70"/>
      <c r="J114" s="70">
        <f t="shared" si="3"/>
        <v>1000</v>
      </c>
      <c r="K114" s="154" t="s">
        <v>71</v>
      </c>
      <c r="L114" s="63"/>
      <c r="M114" s="139"/>
      <c r="N114" s="103">
        <v>1000</v>
      </c>
      <c r="O114" s="95"/>
      <c r="P114" s="18">
        <v>7.0000000000000001E-3</v>
      </c>
      <c r="Q114" s="18">
        <v>2.3300000000000001E-2</v>
      </c>
      <c r="R114" s="18">
        <v>0.08</v>
      </c>
      <c r="S114" s="18">
        <v>0</v>
      </c>
      <c r="T114" s="26">
        <v>0</v>
      </c>
    </row>
    <row r="115" spans="1:20" x14ac:dyDescent="0.25">
      <c r="A115" s="81" t="s">
        <v>230</v>
      </c>
      <c r="B115" s="118" t="s">
        <v>168</v>
      </c>
      <c r="C115" s="45" t="s">
        <v>231</v>
      </c>
      <c r="D115" s="70" t="s">
        <v>98</v>
      </c>
      <c r="E115" s="72" t="s">
        <v>17</v>
      </c>
      <c r="F115" s="167">
        <v>1000</v>
      </c>
      <c r="G115" s="70"/>
      <c r="H115" s="76"/>
      <c r="I115" s="70"/>
      <c r="J115" s="70">
        <f t="shared" si="3"/>
        <v>1000</v>
      </c>
      <c r="K115" s="154" t="s">
        <v>72</v>
      </c>
      <c r="L115" s="63"/>
      <c r="M115" s="139"/>
      <c r="N115" s="103">
        <v>1000</v>
      </c>
      <c r="O115" s="95"/>
      <c r="P115" s="18">
        <v>4.0000000000000001E-3</v>
      </c>
      <c r="Q115" s="18">
        <v>3.6600000000000001E-2</v>
      </c>
      <c r="R115" s="18">
        <v>6.6600000000000006E-2</v>
      </c>
      <c r="S115" s="18">
        <v>0</v>
      </c>
      <c r="T115" s="26">
        <v>0</v>
      </c>
    </row>
    <row r="116" spans="1:20" x14ac:dyDescent="0.25">
      <c r="A116" s="81" t="s">
        <v>230</v>
      </c>
      <c r="B116" s="118" t="s">
        <v>168</v>
      </c>
      <c r="C116" s="45" t="s">
        <v>231</v>
      </c>
      <c r="D116" s="70" t="s">
        <v>98</v>
      </c>
      <c r="E116" s="72" t="s">
        <v>17</v>
      </c>
      <c r="F116" s="167">
        <v>1000</v>
      </c>
      <c r="G116" s="70"/>
      <c r="H116" s="76"/>
      <c r="I116" s="70"/>
      <c r="J116" s="70">
        <f t="shared" si="3"/>
        <v>1000</v>
      </c>
      <c r="K116" s="154" t="s">
        <v>73</v>
      </c>
      <c r="L116" s="63"/>
      <c r="M116" s="139"/>
      <c r="N116" s="103">
        <v>1000</v>
      </c>
      <c r="O116" s="95"/>
      <c r="P116" s="193">
        <v>6.0000000000000001E-3</v>
      </c>
      <c r="Q116" s="18">
        <v>3.6600000000000001E-2</v>
      </c>
      <c r="R116" s="18">
        <v>6.6600000000000006E-2</v>
      </c>
      <c r="S116" s="18">
        <v>0</v>
      </c>
      <c r="T116" s="26">
        <v>0</v>
      </c>
    </row>
    <row r="117" spans="1:20" x14ac:dyDescent="0.25">
      <c r="A117" s="81" t="s">
        <v>230</v>
      </c>
      <c r="B117" s="118" t="s">
        <v>168</v>
      </c>
      <c r="C117" s="45" t="s">
        <v>231</v>
      </c>
      <c r="D117" s="70" t="s">
        <v>98</v>
      </c>
      <c r="E117" s="72" t="s">
        <v>17</v>
      </c>
      <c r="F117" s="167">
        <v>1000</v>
      </c>
      <c r="G117" s="70"/>
      <c r="H117" s="76"/>
      <c r="I117" s="70"/>
      <c r="J117" s="70">
        <f t="shared" si="3"/>
        <v>1000</v>
      </c>
      <c r="K117" s="154" t="s">
        <v>92</v>
      </c>
      <c r="L117" s="63"/>
      <c r="M117" s="139"/>
      <c r="N117" s="103">
        <v>1000</v>
      </c>
      <c r="O117" s="95"/>
      <c r="P117" s="18">
        <v>4.0000000000000001E-3</v>
      </c>
      <c r="Q117" s="18">
        <v>0.06</v>
      </c>
      <c r="R117" s="18">
        <v>7.0000000000000007E-2</v>
      </c>
      <c r="S117" s="18">
        <v>0</v>
      </c>
      <c r="T117" s="26">
        <v>0</v>
      </c>
    </row>
    <row r="118" spans="1:20" x14ac:dyDescent="0.25">
      <c r="A118" s="81" t="s">
        <v>230</v>
      </c>
      <c r="B118" s="118" t="s">
        <v>168</v>
      </c>
      <c r="C118" s="45" t="s">
        <v>231</v>
      </c>
      <c r="D118" s="70" t="s">
        <v>98</v>
      </c>
      <c r="E118" s="72" t="s">
        <v>17</v>
      </c>
      <c r="F118" s="167">
        <v>1000</v>
      </c>
      <c r="G118" s="70"/>
      <c r="H118" s="76"/>
      <c r="I118" s="70"/>
      <c r="J118" s="70">
        <f t="shared" si="3"/>
        <v>1000</v>
      </c>
      <c r="K118" s="154" t="s">
        <v>93</v>
      </c>
      <c r="L118" s="63"/>
      <c r="M118" s="139"/>
      <c r="N118" s="103">
        <v>1000</v>
      </c>
      <c r="O118" s="95"/>
      <c r="P118" s="18">
        <v>8.9999999999999993E-3</v>
      </c>
      <c r="Q118" s="18">
        <v>4.3299999999999998E-2</v>
      </c>
      <c r="R118" s="18">
        <v>7.3300000000000004E-2</v>
      </c>
      <c r="S118" s="18">
        <v>0</v>
      </c>
      <c r="T118" s="26">
        <v>0</v>
      </c>
    </row>
    <row r="119" spans="1:20" x14ac:dyDescent="0.25">
      <c r="A119" s="81" t="s">
        <v>241</v>
      </c>
      <c r="B119" s="118" t="s">
        <v>168</v>
      </c>
      <c r="C119" s="45" t="s">
        <v>242</v>
      </c>
      <c r="D119" s="70" t="s">
        <v>98</v>
      </c>
      <c r="E119" s="72" t="s">
        <v>17</v>
      </c>
      <c r="F119" s="167">
        <v>1000</v>
      </c>
      <c r="G119" s="70"/>
      <c r="H119" s="76"/>
      <c r="I119" s="70"/>
      <c r="J119" s="70">
        <f t="shared" si="3"/>
        <v>1000</v>
      </c>
      <c r="K119" s="154" t="s">
        <v>63</v>
      </c>
      <c r="L119" s="63"/>
      <c r="M119" s="139"/>
      <c r="N119" s="103">
        <v>1000</v>
      </c>
      <c r="O119" s="95"/>
      <c r="P119" s="18">
        <v>6.0000000000000001E-3</v>
      </c>
      <c r="Q119" s="18">
        <v>3.6600000000000001E-2</v>
      </c>
      <c r="R119" s="18">
        <v>7.3300000000000004E-2</v>
      </c>
      <c r="S119" s="18">
        <v>0</v>
      </c>
      <c r="T119" s="26">
        <v>0</v>
      </c>
    </row>
    <row r="120" spans="1:20" x14ac:dyDescent="0.25">
      <c r="A120" s="81" t="s">
        <v>241</v>
      </c>
      <c r="B120" s="118" t="s">
        <v>168</v>
      </c>
      <c r="C120" s="45" t="s">
        <v>242</v>
      </c>
      <c r="D120" s="70" t="s">
        <v>98</v>
      </c>
      <c r="E120" s="72" t="s">
        <v>17</v>
      </c>
      <c r="F120" s="167">
        <v>1000</v>
      </c>
      <c r="G120" s="70"/>
      <c r="H120" s="76"/>
      <c r="I120" s="70"/>
      <c r="J120" s="70">
        <f t="shared" si="3"/>
        <v>1000</v>
      </c>
      <c r="K120" s="154" t="s">
        <v>64</v>
      </c>
      <c r="L120" s="63"/>
      <c r="M120" s="139"/>
      <c r="N120" s="103">
        <v>1000</v>
      </c>
      <c r="O120" s="95"/>
      <c r="P120" s="18">
        <v>6.0000000000000001E-3</v>
      </c>
      <c r="Q120" s="18">
        <v>3.6600000000000001E-2</v>
      </c>
      <c r="R120" s="18">
        <v>8.3299999999999999E-2</v>
      </c>
      <c r="S120" s="18">
        <v>0</v>
      </c>
      <c r="T120" s="26">
        <v>0</v>
      </c>
    </row>
    <row r="121" spans="1:20" x14ac:dyDescent="0.25">
      <c r="A121" s="81" t="s">
        <v>241</v>
      </c>
      <c r="B121" s="118" t="s">
        <v>168</v>
      </c>
      <c r="C121" s="45" t="s">
        <v>242</v>
      </c>
      <c r="D121" s="70" t="s">
        <v>98</v>
      </c>
      <c r="E121" s="72" t="s">
        <v>17</v>
      </c>
      <c r="F121" s="167">
        <v>1000</v>
      </c>
      <c r="G121" s="70"/>
      <c r="H121" s="76"/>
      <c r="I121" s="70"/>
      <c r="J121" s="70">
        <f t="shared" si="3"/>
        <v>1000</v>
      </c>
      <c r="K121" s="154" t="s">
        <v>68</v>
      </c>
      <c r="L121" s="63"/>
      <c r="M121" s="139"/>
      <c r="N121" s="103">
        <v>1000</v>
      </c>
      <c r="O121" s="95"/>
      <c r="P121" s="18">
        <v>4.0000000000000001E-3</v>
      </c>
      <c r="Q121" s="18">
        <v>0.04</v>
      </c>
      <c r="R121" s="18">
        <v>7.6600000000000001E-2</v>
      </c>
      <c r="S121" s="18">
        <v>0</v>
      </c>
      <c r="T121" s="26">
        <v>0</v>
      </c>
    </row>
    <row r="122" spans="1:20" x14ac:dyDescent="0.25">
      <c r="A122" s="81" t="s">
        <v>241</v>
      </c>
      <c r="B122" s="118" t="s">
        <v>168</v>
      </c>
      <c r="C122" s="45" t="s">
        <v>242</v>
      </c>
      <c r="D122" s="70" t="s">
        <v>98</v>
      </c>
      <c r="E122" s="72" t="s">
        <v>17</v>
      </c>
      <c r="F122" s="167">
        <v>1000</v>
      </c>
      <c r="G122" s="70"/>
      <c r="H122" s="76"/>
      <c r="I122" s="70"/>
      <c r="J122" s="70">
        <f t="shared" si="3"/>
        <v>1000</v>
      </c>
      <c r="K122" s="154" t="s">
        <v>69</v>
      </c>
      <c r="L122" s="63"/>
      <c r="M122" s="139"/>
      <c r="N122" s="103">
        <v>1000</v>
      </c>
      <c r="O122" s="95"/>
      <c r="P122" s="18">
        <v>3.0000000000000001E-3</v>
      </c>
      <c r="Q122" s="18">
        <v>3.3300000000000003E-2</v>
      </c>
      <c r="R122" s="18">
        <v>0.08</v>
      </c>
      <c r="S122" s="18">
        <v>0</v>
      </c>
      <c r="T122" s="26">
        <v>0</v>
      </c>
    </row>
    <row r="123" spans="1:20" x14ac:dyDescent="0.25">
      <c r="A123" s="81" t="s">
        <v>241</v>
      </c>
      <c r="B123" s="118" t="s">
        <v>168</v>
      </c>
      <c r="C123" s="45" t="s">
        <v>242</v>
      </c>
      <c r="D123" s="70" t="s">
        <v>98</v>
      </c>
      <c r="E123" s="72" t="s">
        <v>17</v>
      </c>
      <c r="F123" s="167">
        <v>1000</v>
      </c>
      <c r="G123" s="70"/>
      <c r="H123" s="76"/>
      <c r="I123" s="70"/>
      <c r="J123" s="70">
        <f t="shared" si="3"/>
        <v>1000</v>
      </c>
      <c r="K123" s="154" t="s">
        <v>70</v>
      </c>
      <c r="L123" s="63"/>
      <c r="M123" s="139"/>
      <c r="N123" s="103">
        <v>1000</v>
      </c>
      <c r="O123" s="95"/>
      <c r="P123" s="18">
        <v>3.0000000000000001E-3</v>
      </c>
      <c r="Q123" s="18">
        <v>0.04</v>
      </c>
      <c r="R123" s="18">
        <v>6.6600000000000006E-2</v>
      </c>
      <c r="S123" s="18">
        <v>0</v>
      </c>
      <c r="T123" s="26">
        <v>0</v>
      </c>
    </row>
    <row r="124" spans="1:20" x14ac:dyDescent="0.25">
      <c r="A124" s="81" t="s">
        <v>241</v>
      </c>
      <c r="B124" s="118" t="s">
        <v>168</v>
      </c>
      <c r="C124" s="45" t="s">
        <v>242</v>
      </c>
      <c r="D124" s="70" t="s">
        <v>98</v>
      </c>
      <c r="E124" s="72" t="s">
        <v>17</v>
      </c>
      <c r="F124" s="167">
        <v>1000</v>
      </c>
      <c r="G124" s="70"/>
      <c r="H124" s="76"/>
      <c r="I124" s="70"/>
      <c r="J124" s="70">
        <f t="shared" si="3"/>
        <v>1000</v>
      </c>
      <c r="K124" s="154" t="s">
        <v>71</v>
      </c>
      <c r="L124" s="63"/>
      <c r="M124" s="139"/>
      <c r="N124" s="103">
        <v>1000</v>
      </c>
      <c r="O124" s="95"/>
      <c r="P124" s="18">
        <v>6.0000000000000001E-3</v>
      </c>
      <c r="Q124" s="18">
        <v>4.6600000000000003E-2</v>
      </c>
      <c r="R124" s="18">
        <v>6.6600000000000006E-2</v>
      </c>
      <c r="S124" s="18">
        <v>0</v>
      </c>
      <c r="T124" s="26">
        <v>0</v>
      </c>
    </row>
    <row r="125" spans="1:20" x14ac:dyDescent="0.25">
      <c r="A125" s="81" t="s">
        <v>241</v>
      </c>
      <c r="B125" s="118" t="s">
        <v>168</v>
      </c>
      <c r="C125" s="45" t="s">
        <v>242</v>
      </c>
      <c r="D125" s="70" t="s">
        <v>98</v>
      </c>
      <c r="E125" s="72" t="s">
        <v>17</v>
      </c>
      <c r="F125" s="167">
        <v>1000</v>
      </c>
      <c r="G125" s="70"/>
      <c r="H125" s="76"/>
      <c r="I125" s="70"/>
      <c r="J125" s="70">
        <f t="shared" si="3"/>
        <v>1000</v>
      </c>
      <c r="K125" s="154" t="s">
        <v>72</v>
      </c>
      <c r="L125" s="63"/>
      <c r="M125" s="139"/>
      <c r="N125" s="103">
        <v>1000</v>
      </c>
      <c r="O125" s="95"/>
      <c r="P125" s="18">
        <v>3.0000000000000001E-3</v>
      </c>
      <c r="Q125" s="18">
        <v>0.04</v>
      </c>
      <c r="R125" s="18">
        <v>6.3299999999999995E-2</v>
      </c>
      <c r="S125" s="18">
        <v>0</v>
      </c>
      <c r="T125" s="26">
        <v>0</v>
      </c>
    </row>
    <row r="126" spans="1:20" x14ac:dyDescent="0.25">
      <c r="A126" s="81" t="s">
        <v>241</v>
      </c>
      <c r="B126" s="118" t="s">
        <v>168</v>
      </c>
      <c r="C126" s="45" t="s">
        <v>242</v>
      </c>
      <c r="D126" s="70" t="s">
        <v>98</v>
      </c>
      <c r="E126" s="72" t="s">
        <v>17</v>
      </c>
      <c r="F126" s="167">
        <v>1000</v>
      </c>
      <c r="G126" s="70"/>
      <c r="H126" s="76"/>
      <c r="I126" s="70"/>
      <c r="J126" s="70">
        <f t="shared" si="3"/>
        <v>1000</v>
      </c>
      <c r="K126" s="154" t="s">
        <v>73</v>
      </c>
      <c r="L126" s="63"/>
      <c r="M126" s="139"/>
      <c r="N126" s="103">
        <v>1000</v>
      </c>
      <c r="O126" s="95"/>
      <c r="P126" s="18">
        <v>4.0000000000000001E-3</v>
      </c>
      <c r="Q126" s="18">
        <v>3.3300000000000003E-2</v>
      </c>
      <c r="R126" s="18">
        <v>7.3300000000000004E-2</v>
      </c>
      <c r="S126" s="18">
        <v>0</v>
      </c>
      <c r="T126" s="26">
        <v>0</v>
      </c>
    </row>
    <row r="127" spans="1:20" x14ac:dyDescent="0.25">
      <c r="A127" s="81" t="s">
        <v>241</v>
      </c>
      <c r="B127" s="118" t="s">
        <v>168</v>
      </c>
      <c r="C127" s="45" t="s">
        <v>242</v>
      </c>
      <c r="D127" s="70" t="s">
        <v>98</v>
      </c>
      <c r="E127" s="72" t="s">
        <v>17</v>
      </c>
      <c r="F127" s="167">
        <v>1000</v>
      </c>
      <c r="G127" s="70"/>
      <c r="H127" s="76"/>
      <c r="I127" s="70"/>
      <c r="J127" s="70">
        <f t="shared" si="3"/>
        <v>1000</v>
      </c>
      <c r="K127" s="154" t="s">
        <v>92</v>
      </c>
      <c r="L127" s="63"/>
      <c r="M127" s="139"/>
      <c r="N127" s="103">
        <v>1000</v>
      </c>
      <c r="O127" s="95"/>
      <c r="P127" s="18">
        <v>5.0000000000000001E-3</v>
      </c>
      <c r="Q127" s="18">
        <v>3.3300000000000003E-2</v>
      </c>
      <c r="R127" s="18">
        <v>7.6600000000000001E-2</v>
      </c>
      <c r="S127" s="18">
        <v>0</v>
      </c>
      <c r="T127" s="26">
        <v>0</v>
      </c>
    </row>
    <row r="128" spans="1:20" x14ac:dyDescent="0.25">
      <c r="A128" s="81" t="s">
        <v>241</v>
      </c>
      <c r="B128" s="118" t="s">
        <v>168</v>
      </c>
      <c r="C128" s="45" t="s">
        <v>242</v>
      </c>
      <c r="D128" s="70" t="s">
        <v>98</v>
      </c>
      <c r="E128" s="72" t="s">
        <v>17</v>
      </c>
      <c r="F128" s="167">
        <v>1000</v>
      </c>
      <c r="G128" s="70"/>
      <c r="H128" s="76"/>
      <c r="I128" s="70"/>
      <c r="J128" s="70">
        <f t="shared" si="3"/>
        <v>1000</v>
      </c>
      <c r="K128" s="154" t="s">
        <v>93</v>
      </c>
      <c r="L128" s="63"/>
      <c r="M128" s="139"/>
      <c r="N128" s="103">
        <v>1000</v>
      </c>
      <c r="O128" s="95"/>
      <c r="P128" s="18">
        <v>4.0000000000000001E-3</v>
      </c>
      <c r="Q128" s="18">
        <v>2.6599999999999999E-2</v>
      </c>
      <c r="R128" s="18">
        <v>0.09</v>
      </c>
      <c r="S128" s="18">
        <v>0</v>
      </c>
      <c r="T128" s="26">
        <v>0</v>
      </c>
    </row>
    <row r="129" spans="1:20" x14ac:dyDescent="0.25">
      <c r="A129" s="81" t="s">
        <v>241</v>
      </c>
      <c r="B129" s="118" t="s">
        <v>168</v>
      </c>
      <c r="C129" s="45" t="s">
        <v>242</v>
      </c>
      <c r="D129" s="70" t="s">
        <v>98</v>
      </c>
      <c r="E129" s="72" t="s">
        <v>17</v>
      </c>
      <c r="F129" s="167">
        <v>1000</v>
      </c>
      <c r="G129" s="70"/>
      <c r="H129" s="76"/>
      <c r="I129" s="70"/>
      <c r="J129" s="70">
        <f t="shared" si="3"/>
        <v>1000</v>
      </c>
      <c r="K129" s="154" t="s">
        <v>94</v>
      </c>
      <c r="L129" s="63"/>
      <c r="M129" s="139"/>
      <c r="N129" s="103">
        <v>1000</v>
      </c>
      <c r="O129" s="95"/>
      <c r="P129" s="18">
        <v>4.0000000000000001E-3</v>
      </c>
      <c r="Q129" s="18">
        <v>3.6600000000000001E-2</v>
      </c>
      <c r="R129" s="18">
        <v>6.6600000000000006E-2</v>
      </c>
      <c r="S129" s="18">
        <v>0</v>
      </c>
      <c r="T129" s="26">
        <v>0</v>
      </c>
    </row>
    <row r="130" spans="1:20" x14ac:dyDescent="0.25">
      <c r="A130" s="81" t="s">
        <v>241</v>
      </c>
      <c r="B130" s="118" t="s">
        <v>168</v>
      </c>
      <c r="C130" s="45" t="s">
        <v>242</v>
      </c>
      <c r="D130" s="70" t="s">
        <v>98</v>
      </c>
      <c r="E130" s="72" t="s">
        <v>17</v>
      </c>
      <c r="F130" s="167">
        <v>1000</v>
      </c>
      <c r="G130" s="70"/>
      <c r="H130" s="76"/>
      <c r="I130" s="70"/>
      <c r="J130" s="70">
        <f t="shared" si="3"/>
        <v>1000</v>
      </c>
      <c r="K130" s="154" t="s">
        <v>95</v>
      </c>
      <c r="L130" s="63"/>
      <c r="M130" s="139"/>
      <c r="N130" s="103">
        <v>1000</v>
      </c>
      <c r="O130" s="95"/>
      <c r="P130" s="18">
        <v>5.0000000000000001E-3</v>
      </c>
      <c r="Q130" s="18">
        <v>4.3299999999999998E-2</v>
      </c>
      <c r="R130" s="18">
        <v>6.6600000000000006E-2</v>
      </c>
      <c r="S130" s="18">
        <v>0</v>
      </c>
      <c r="T130" s="26">
        <v>0</v>
      </c>
    </row>
    <row r="131" spans="1:20" x14ac:dyDescent="0.25">
      <c r="A131" s="81" t="s">
        <v>241</v>
      </c>
      <c r="B131" s="118" t="s">
        <v>168</v>
      </c>
      <c r="C131" s="45" t="s">
        <v>242</v>
      </c>
      <c r="D131" s="70" t="s">
        <v>98</v>
      </c>
      <c r="E131" s="72" t="s">
        <v>17</v>
      </c>
      <c r="F131" s="167">
        <v>1000</v>
      </c>
      <c r="G131" s="70"/>
      <c r="H131" s="76"/>
      <c r="I131" s="70"/>
      <c r="J131" s="70">
        <f t="shared" si="3"/>
        <v>1000</v>
      </c>
      <c r="K131" s="154" t="s">
        <v>118</v>
      </c>
      <c r="L131" s="63"/>
      <c r="M131" s="139"/>
      <c r="N131" s="103">
        <v>1000</v>
      </c>
      <c r="O131" s="95"/>
      <c r="P131" s="18">
        <v>0.01</v>
      </c>
      <c r="Q131" s="18">
        <v>0.03</v>
      </c>
      <c r="R131" s="18">
        <v>0.08</v>
      </c>
      <c r="S131" s="18">
        <v>0</v>
      </c>
      <c r="T131" s="26">
        <v>0</v>
      </c>
    </row>
    <row r="132" spans="1:20" x14ac:dyDescent="0.25">
      <c r="A132" s="81" t="s">
        <v>241</v>
      </c>
      <c r="B132" s="118" t="s">
        <v>168</v>
      </c>
      <c r="C132" s="45" t="s">
        <v>242</v>
      </c>
      <c r="D132" s="70" t="s">
        <v>98</v>
      </c>
      <c r="E132" s="72" t="s">
        <v>17</v>
      </c>
      <c r="F132" s="167">
        <v>1000</v>
      </c>
      <c r="G132" s="70"/>
      <c r="H132" s="76"/>
      <c r="I132" s="70"/>
      <c r="J132" s="70">
        <f t="shared" si="3"/>
        <v>1000</v>
      </c>
      <c r="K132" s="154" t="s">
        <v>119</v>
      </c>
      <c r="L132" s="63"/>
      <c r="M132" s="139"/>
      <c r="N132" s="103">
        <v>1000</v>
      </c>
      <c r="O132" s="95"/>
      <c r="P132" s="18">
        <v>7.0000000000000001E-3</v>
      </c>
      <c r="Q132" s="18">
        <v>2.6599999999999999E-2</v>
      </c>
      <c r="R132" s="18">
        <v>5.6599999999999998E-2</v>
      </c>
      <c r="S132" s="18">
        <v>0</v>
      </c>
      <c r="T132" s="26">
        <v>0</v>
      </c>
    </row>
    <row r="133" spans="1:20" x14ac:dyDescent="0.25">
      <c r="A133" s="81" t="s">
        <v>241</v>
      </c>
      <c r="B133" s="118" t="s">
        <v>168</v>
      </c>
      <c r="C133" s="45" t="s">
        <v>242</v>
      </c>
      <c r="D133" s="70" t="s">
        <v>98</v>
      </c>
      <c r="E133" s="72" t="s">
        <v>17</v>
      </c>
      <c r="F133" s="167">
        <v>1000</v>
      </c>
      <c r="G133" s="70"/>
      <c r="H133" s="76"/>
      <c r="I133" s="70"/>
      <c r="J133" s="70">
        <f t="shared" si="3"/>
        <v>1000</v>
      </c>
      <c r="K133" s="154" t="s">
        <v>120</v>
      </c>
      <c r="L133" s="63"/>
      <c r="M133" s="139"/>
      <c r="N133" s="103">
        <v>1000</v>
      </c>
      <c r="O133" s="95"/>
      <c r="P133" s="18">
        <v>8.0000000000000002E-3</v>
      </c>
      <c r="Q133" s="18">
        <v>0.02</v>
      </c>
      <c r="R133" s="18">
        <v>5.6599999999999998E-2</v>
      </c>
      <c r="S133" s="18">
        <v>0</v>
      </c>
      <c r="T133" s="26">
        <v>0</v>
      </c>
    </row>
    <row r="134" spans="1:20" x14ac:dyDescent="0.25">
      <c r="A134" s="81" t="s">
        <v>241</v>
      </c>
      <c r="B134" s="118" t="s">
        <v>168</v>
      </c>
      <c r="C134" s="45" t="s">
        <v>242</v>
      </c>
      <c r="D134" s="70" t="s">
        <v>98</v>
      </c>
      <c r="E134" s="72" t="s">
        <v>17</v>
      </c>
      <c r="F134" s="167">
        <v>1000</v>
      </c>
      <c r="G134" s="70"/>
      <c r="H134" s="76"/>
      <c r="I134" s="70"/>
      <c r="J134" s="70">
        <f t="shared" si="3"/>
        <v>1000</v>
      </c>
      <c r="K134" s="154" t="s">
        <v>124</v>
      </c>
      <c r="L134" s="63"/>
      <c r="M134" s="139"/>
      <c r="N134" s="103">
        <v>1000</v>
      </c>
      <c r="O134" s="95"/>
      <c r="P134" s="18">
        <v>7.0000000000000001E-3</v>
      </c>
      <c r="Q134" s="18">
        <v>2.6599999999999999E-2</v>
      </c>
      <c r="R134" s="18">
        <v>6.6600000000000006E-2</v>
      </c>
      <c r="S134" s="18">
        <v>0</v>
      </c>
      <c r="T134" s="26">
        <v>0</v>
      </c>
    </row>
    <row r="135" spans="1:20" x14ac:dyDescent="0.25">
      <c r="A135" s="81" t="s">
        <v>241</v>
      </c>
      <c r="B135" s="118" t="s">
        <v>168</v>
      </c>
      <c r="C135" s="45" t="s">
        <v>242</v>
      </c>
      <c r="D135" s="70" t="s">
        <v>98</v>
      </c>
      <c r="E135" s="72" t="s">
        <v>17</v>
      </c>
      <c r="F135" s="167">
        <v>1000</v>
      </c>
      <c r="G135" s="70"/>
      <c r="H135" s="76" t="s">
        <v>293</v>
      </c>
      <c r="I135" s="70" t="s">
        <v>296</v>
      </c>
      <c r="J135" s="70">
        <f t="shared" si="3"/>
        <v>1000</v>
      </c>
      <c r="K135" s="154" t="s">
        <v>125</v>
      </c>
      <c r="L135" s="63"/>
      <c r="M135" s="139"/>
      <c r="N135" s="103">
        <v>1000</v>
      </c>
      <c r="O135" s="95"/>
      <c r="P135" s="18">
        <v>8.0000000000000002E-3</v>
      </c>
      <c r="Q135" s="18">
        <v>5.6599999999999998E-2</v>
      </c>
      <c r="R135" s="18">
        <v>6.3299999999999995E-2</v>
      </c>
      <c r="S135" s="18">
        <v>0</v>
      </c>
      <c r="T135" s="26">
        <v>0</v>
      </c>
    </row>
    <row r="136" spans="1:20" x14ac:dyDescent="0.25">
      <c r="A136" s="81" t="s">
        <v>241</v>
      </c>
      <c r="B136" s="118" t="s">
        <v>168</v>
      </c>
      <c r="C136" s="45" t="s">
        <v>242</v>
      </c>
      <c r="D136" s="70" t="s">
        <v>98</v>
      </c>
      <c r="E136" s="72" t="s">
        <v>17</v>
      </c>
      <c r="F136" s="167">
        <v>1000</v>
      </c>
      <c r="G136" s="70"/>
      <c r="H136" s="76"/>
      <c r="I136" s="70"/>
      <c r="J136" s="70">
        <f t="shared" si="3"/>
        <v>1000</v>
      </c>
      <c r="K136" s="154" t="s">
        <v>126</v>
      </c>
      <c r="L136" s="63"/>
      <c r="M136" s="139"/>
      <c r="N136" s="103">
        <v>1000</v>
      </c>
      <c r="O136" s="95"/>
      <c r="P136" s="18">
        <v>6.0000000000000001E-3</v>
      </c>
      <c r="Q136" s="18">
        <v>4.3299999999999998E-2</v>
      </c>
      <c r="R136" s="18">
        <v>0.06</v>
      </c>
      <c r="S136" s="18">
        <v>0</v>
      </c>
      <c r="T136" s="26">
        <v>0</v>
      </c>
    </row>
    <row r="137" spans="1:20" x14ac:dyDescent="0.25">
      <c r="A137" s="81" t="s">
        <v>241</v>
      </c>
      <c r="B137" s="118" t="s">
        <v>168</v>
      </c>
      <c r="C137" s="45" t="s">
        <v>242</v>
      </c>
      <c r="D137" s="70" t="s">
        <v>98</v>
      </c>
      <c r="E137" s="72" t="s">
        <v>17</v>
      </c>
      <c r="F137" s="167">
        <v>1000</v>
      </c>
      <c r="G137" s="70"/>
      <c r="H137" s="76"/>
      <c r="I137" s="70"/>
      <c r="J137" s="70">
        <f t="shared" si="3"/>
        <v>1000</v>
      </c>
      <c r="K137" s="154" t="s">
        <v>127</v>
      </c>
      <c r="L137" s="63"/>
      <c r="M137" s="139"/>
      <c r="N137" s="103">
        <v>1000</v>
      </c>
      <c r="O137" s="95"/>
      <c r="P137" s="18">
        <v>7.0000000000000001E-3</v>
      </c>
      <c r="Q137" s="18">
        <v>0.03</v>
      </c>
      <c r="R137" s="18">
        <v>5.6599999999999998E-2</v>
      </c>
      <c r="S137" s="18">
        <v>0</v>
      </c>
      <c r="T137" s="26">
        <v>0</v>
      </c>
    </row>
    <row r="138" spans="1:20" x14ac:dyDescent="0.25">
      <c r="A138" s="81" t="s">
        <v>241</v>
      </c>
      <c r="B138" s="118" t="s">
        <v>168</v>
      </c>
      <c r="C138" s="45" t="s">
        <v>242</v>
      </c>
      <c r="D138" s="70" t="s">
        <v>98</v>
      </c>
      <c r="E138" s="72" t="s">
        <v>17</v>
      </c>
      <c r="F138" s="167">
        <v>1000</v>
      </c>
      <c r="G138" s="70"/>
      <c r="H138" s="76"/>
      <c r="I138" s="70"/>
      <c r="J138" s="70">
        <f t="shared" si="3"/>
        <v>1000</v>
      </c>
      <c r="K138" s="154" t="s">
        <v>128</v>
      </c>
      <c r="L138" s="63"/>
      <c r="M138" s="139"/>
      <c r="N138" s="103">
        <v>1000</v>
      </c>
      <c r="O138" s="95"/>
      <c r="P138" s="18">
        <v>1.2E-2</v>
      </c>
      <c r="Q138" s="18">
        <v>0.05</v>
      </c>
      <c r="R138" s="18">
        <v>5.6599999999999998E-2</v>
      </c>
      <c r="S138" s="18">
        <v>0</v>
      </c>
      <c r="T138" s="26">
        <v>0</v>
      </c>
    </row>
    <row r="139" spans="1:20" x14ac:dyDescent="0.25">
      <c r="A139" s="81" t="s">
        <v>241</v>
      </c>
      <c r="B139" s="118" t="s">
        <v>168</v>
      </c>
      <c r="C139" s="45" t="s">
        <v>242</v>
      </c>
      <c r="D139" s="70" t="s">
        <v>98</v>
      </c>
      <c r="E139" s="72" t="s">
        <v>17</v>
      </c>
      <c r="F139" s="167">
        <v>1000</v>
      </c>
      <c r="G139" s="70"/>
      <c r="H139" s="76"/>
      <c r="I139" s="70"/>
      <c r="J139" s="70">
        <f t="shared" si="3"/>
        <v>1000</v>
      </c>
      <c r="K139" s="154" t="s">
        <v>129</v>
      </c>
      <c r="L139" s="63"/>
      <c r="M139" s="139"/>
      <c r="N139" s="103">
        <v>1000</v>
      </c>
      <c r="O139" s="95"/>
      <c r="P139" s="18">
        <v>0.01</v>
      </c>
      <c r="Q139" s="18">
        <v>3.6600000000000001E-2</v>
      </c>
      <c r="R139" s="18">
        <v>0.06</v>
      </c>
      <c r="S139" s="18">
        <v>0</v>
      </c>
      <c r="T139" s="26">
        <v>0</v>
      </c>
    </row>
    <row r="140" spans="1:20" x14ac:dyDescent="0.25">
      <c r="A140" s="81" t="s">
        <v>241</v>
      </c>
      <c r="B140" s="118" t="s">
        <v>168</v>
      </c>
      <c r="C140" s="45" t="s">
        <v>242</v>
      </c>
      <c r="D140" s="70" t="s">
        <v>98</v>
      </c>
      <c r="E140" s="72" t="s">
        <v>17</v>
      </c>
      <c r="F140" s="167">
        <v>1000</v>
      </c>
      <c r="G140" s="70"/>
      <c r="H140" s="76"/>
      <c r="I140" s="70"/>
      <c r="J140" s="70">
        <f t="shared" si="3"/>
        <v>1000</v>
      </c>
      <c r="K140" s="154" t="s">
        <v>255</v>
      </c>
      <c r="L140" s="63"/>
      <c r="M140" s="139"/>
      <c r="N140" s="103">
        <v>1000</v>
      </c>
      <c r="O140" s="95"/>
      <c r="P140" s="18">
        <v>8.0000000000000002E-3</v>
      </c>
      <c r="Q140" s="18">
        <v>4.6600000000000003E-2</v>
      </c>
      <c r="R140" s="18">
        <v>5.33E-2</v>
      </c>
      <c r="S140" s="18">
        <v>0</v>
      </c>
      <c r="T140" s="26">
        <v>0</v>
      </c>
    </row>
    <row r="141" spans="1:20" x14ac:dyDescent="0.25">
      <c r="A141" s="81" t="s">
        <v>241</v>
      </c>
      <c r="B141" s="118" t="s">
        <v>168</v>
      </c>
      <c r="C141" s="45" t="s">
        <v>242</v>
      </c>
      <c r="D141" s="70" t="s">
        <v>98</v>
      </c>
      <c r="E141" s="72" t="s">
        <v>17</v>
      </c>
      <c r="F141" s="167">
        <v>1000</v>
      </c>
      <c r="G141" s="70"/>
      <c r="H141" s="76"/>
      <c r="I141" s="70"/>
      <c r="J141" s="70">
        <f t="shared" si="3"/>
        <v>1000</v>
      </c>
      <c r="K141" s="154" t="s">
        <v>257</v>
      </c>
      <c r="L141" s="63"/>
      <c r="M141" s="139"/>
      <c r="N141" s="103">
        <v>1000</v>
      </c>
      <c r="O141" s="95"/>
      <c r="P141" s="18">
        <v>7.0000000000000001E-3</v>
      </c>
      <c r="Q141" s="18">
        <v>4.3299999999999998E-2</v>
      </c>
      <c r="R141" s="18">
        <v>5.33E-2</v>
      </c>
      <c r="S141" s="18">
        <v>0</v>
      </c>
      <c r="T141" s="26">
        <v>0</v>
      </c>
    </row>
    <row r="142" spans="1:20" x14ac:dyDescent="0.25">
      <c r="A142" s="81" t="s">
        <v>241</v>
      </c>
      <c r="B142" s="118" t="s">
        <v>168</v>
      </c>
      <c r="C142" s="45" t="s">
        <v>242</v>
      </c>
      <c r="D142" s="70" t="s">
        <v>98</v>
      </c>
      <c r="E142" s="72" t="s">
        <v>17</v>
      </c>
      <c r="F142" s="167">
        <v>1000</v>
      </c>
      <c r="G142" s="70"/>
      <c r="H142" s="76"/>
      <c r="I142" s="70"/>
      <c r="J142" s="70">
        <f t="shared" si="3"/>
        <v>1000</v>
      </c>
      <c r="K142" s="154" t="s">
        <v>132</v>
      </c>
      <c r="L142" s="63"/>
      <c r="M142" s="139"/>
      <c r="N142" s="103">
        <v>1000</v>
      </c>
      <c r="O142" s="95"/>
      <c r="P142" s="18">
        <v>5.0000000000000001E-3</v>
      </c>
      <c r="Q142" s="18">
        <v>3.6600000000000001E-2</v>
      </c>
      <c r="R142" s="18">
        <v>7.0000000000000007E-2</v>
      </c>
      <c r="S142" s="18">
        <v>0</v>
      </c>
      <c r="T142" s="26">
        <v>0</v>
      </c>
    </row>
    <row r="143" spans="1:20" x14ac:dyDescent="0.25">
      <c r="A143" s="81" t="s">
        <v>241</v>
      </c>
      <c r="B143" s="118" t="s">
        <v>168</v>
      </c>
      <c r="C143" s="45" t="s">
        <v>242</v>
      </c>
      <c r="D143" s="70" t="s">
        <v>98</v>
      </c>
      <c r="E143" s="72" t="s">
        <v>17</v>
      </c>
      <c r="F143" s="167">
        <v>1000</v>
      </c>
      <c r="G143" s="70"/>
      <c r="H143" s="76"/>
      <c r="I143" s="70"/>
      <c r="J143" s="70">
        <f t="shared" si="3"/>
        <v>1000</v>
      </c>
      <c r="K143" s="154" t="s">
        <v>258</v>
      </c>
      <c r="L143" s="63"/>
      <c r="M143" s="139"/>
      <c r="N143" s="103">
        <v>1000</v>
      </c>
      <c r="O143" s="95"/>
      <c r="P143" s="18">
        <v>4.0000000000000001E-3</v>
      </c>
      <c r="Q143" s="18">
        <v>0.04</v>
      </c>
      <c r="R143" s="18">
        <v>0.06</v>
      </c>
      <c r="S143" s="18">
        <v>0</v>
      </c>
      <c r="T143" s="26">
        <v>0</v>
      </c>
    </row>
    <row r="144" spans="1:20" x14ac:dyDescent="0.25">
      <c r="A144" s="81" t="s">
        <v>241</v>
      </c>
      <c r="B144" s="118" t="s">
        <v>168</v>
      </c>
      <c r="C144" s="45" t="s">
        <v>242</v>
      </c>
      <c r="D144" s="70" t="s">
        <v>98</v>
      </c>
      <c r="E144" s="72" t="s">
        <v>17</v>
      </c>
      <c r="F144" s="167">
        <v>1000</v>
      </c>
      <c r="G144" s="70"/>
      <c r="H144" s="76"/>
      <c r="I144" s="70"/>
      <c r="J144" s="70">
        <f t="shared" si="3"/>
        <v>1000</v>
      </c>
      <c r="K144" s="154" t="s">
        <v>259</v>
      </c>
      <c r="L144" s="63"/>
      <c r="M144" s="139"/>
      <c r="N144" s="103">
        <v>1000</v>
      </c>
      <c r="O144" s="95"/>
      <c r="P144" s="18">
        <v>1.0999999999999999E-2</v>
      </c>
      <c r="Q144" s="18">
        <v>3.6600000000000001E-2</v>
      </c>
      <c r="R144" s="18">
        <v>4.6600000000000003E-2</v>
      </c>
      <c r="S144" s="18">
        <v>0</v>
      </c>
      <c r="T144" s="26">
        <v>0</v>
      </c>
    </row>
    <row r="145" spans="1:20" x14ac:dyDescent="0.25">
      <c r="A145" s="81" t="s">
        <v>241</v>
      </c>
      <c r="B145" s="118" t="s">
        <v>168</v>
      </c>
      <c r="C145" s="45" t="s">
        <v>242</v>
      </c>
      <c r="D145" s="70" t="s">
        <v>98</v>
      </c>
      <c r="E145" s="72" t="s">
        <v>17</v>
      </c>
      <c r="F145" s="167">
        <v>1000</v>
      </c>
      <c r="G145" s="70"/>
      <c r="H145" s="76"/>
      <c r="I145" s="70"/>
      <c r="J145" s="70">
        <f t="shared" si="3"/>
        <v>1000</v>
      </c>
      <c r="K145" s="154" t="s">
        <v>277</v>
      </c>
      <c r="L145" s="63"/>
      <c r="M145" s="139"/>
      <c r="N145" s="103">
        <v>1000</v>
      </c>
      <c r="O145" s="95"/>
      <c r="P145" s="18">
        <v>0.01</v>
      </c>
      <c r="Q145" s="18">
        <v>0.04</v>
      </c>
      <c r="R145" s="18">
        <v>5.6599999999999998E-2</v>
      </c>
      <c r="S145" s="18">
        <v>0</v>
      </c>
      <c r="T145" s="26">
        <v>0</v>
      </c>
    </row>
    <row r="146" spans="1:20" x14ac:dyDescent="0.25">
      <c r="A146" s="81" t="s">
        <v>292</v>
      </c>
      <c r="B146" s="118" t="s">
        <v>168</v>
      </c>
      <c r="C146" s="45" t="s">
        <v>283</v>
      </c>
      <c r="D146" s="70" t="s">
        <v>98</v>
      </c>
      <c r="E146" s="72" t="s">
        <v>17</v>
      </c>
      <c r="F146" s="167">
        <v>1000</v>
      </c>
      <c r="G146" s="70"/>
      <c r="H146" s="76"/>
      <c r="I146" s="70"/>
      <c r="J146" s="70">
        <f t="shared" si="3"/>
        <v>1000</v>
      </c>
      <c r="K146" s="154" t="s">
        <v>63</v>
      </c>
      <c r="L146" s="63"/>
      <c r="M146" s="139">
        <v>1000</v>
      </c>
      <c r="N146" s="103"/>
      <c r="O146" s="95"/>
      <c r="P146" s="18">
        <v>6.0000000000000001E-3</v>
      </c>
      <c r="Q146" s="18">
        <v>3.3300000000000003E-2</v>
      </c>
      <c r="R146" s="18">
        <v>5.33E-2</v>
      </c>
      <c r="S146" s="18">
        <v>0</v>
      </c>
      <c r="T146" s="26">
        <v>0</v>
      </c>
    </row>
    <row r="147" spans="1:20" x14ac:dyDescent="0.25">
      <c r="A147" s="81" t="s">
        <v>292</v>
      </c>
      <c r="B147" s="118" t="s">
        <v>168</v>
      </c>
      <c r="C147" s="45" t="s">
        <v>283</v>
      </c>
      <c r="D147" s="70" t="s">
        <v>98</v>
      </c>
      <c r="E147" s="72" t="s">
        <v>17</v>
      </c>
      <c r="F147" s="167">
        <v>1000</v>
      </c>
      <c r="G147" s="70"/>
      <c r="H147" s="76"/>
      <c r="I147" s="70"/>
      <c r="J147" s="70">
        <f t="shared" si="3"/>
        <v>1000</v>
      </c>
      <c r="K147" s="154" t="s">
        <v>64</v>
      </c>
      <c r="L147" s="63"/>
      <c r="M147" s="139">
        <v>1000</v>
      </c>
      <c r="N147" s="103"/>
      <c r="O147" s="95"/>
      <c r="P147" s="18">
        <v>7.0000000000000001E-3</v>
      </c>
      <c r="Q147" s="18">
        <v>0.04</v>
      </c>
      <c r="R147" s="18">
        <v>6.6600000000000006E-2</v>
      </c>
      <c r="S147" s="18">
        <v>0</v>
      </c>
      <c r="T147" s="26">
        <v>0</v>
      </c>
    </row>
    <row r="148" spans="1:20" x14ac:dyDescent="0.25">
      <c r="A148" s="81" t="s">
        <v>292</v>
      </c>
      <c r="B148" s="118" t="s">
        <v>168</v>
      </c>
      <c r="C148" s="45" t="s">
        <v>283</v>
      </c>
      <c r="D148" s="70" t="s">
        <v>98</v>
      </c>
      <c r="E148" s="72" t="s">
        <v>17</v>
      </c>
      <c r="F148" s="167">
        <v>1000</v>
      </c>
      <c r="G148" s="70"/>
      <c r="H148" s="76"/>
      <c r="I148" s="70"/>
      <c r="J148" s="70">
        <f t="shared" si="3"/>
        <v>1000</v>
      </c>
      <c r="K148" s="154" t="s">
        <v>68</v>
      </c>
      <c r="L148" s="63"/>
      <c r="M148" s="139">
        <v>1000</v>
      </c>
      <c r="N148" s="103"/>
      <c r="O148" s="95"/>
      <c r="P148" s="18">
        <v>5.0000000000000001E-3</v>
      </c>
      <c r="Q148" s="18">
        <v>3.6600000000000001E-2</v>
      </c>
      <c r="R148" s="18">
        <v>0.1033</v>
      </c>
      <c r="S148" s="18">
        <v>0</v>
      </c>
      <c r="T148" s="26">
        <v>0</v>
      </c>
    </row>
    <row r="149" spans="1:20" x14ac:dyDescent="0.25">
      <c r="A149" s="81" t="s">
        <v>292</v>
      </c>
      <c r="B149" s="118" t="s">
        <v>168</v>
      </c>
      <c r="C149" s="45" t="s">
        <v>283</v>
      </c>
      <c r="D149" s="70" t="s">
        <v>98</v>
      </c>
      <c r="E149" s="72" t="s">
        <v>17</v>
      </c>
      <c r="F149" s="167">
        <v>1000</v>
      </c>
      <c r="G149" s="70"/>
      <c r="H149" s="76"/>
      <c r="I149" s="70"/>
      <c r="J149" s="70">
        <f t="shared" si="3"/>
        <v>1000</v>
      </c>
      <c r="K149" s="154" t="s">
        <v>69</v>
      </c>
      <c r="L149" s="63"/>
      <c r="M149" s="139">
        <v>1000</v>
      </c>
      <c r="N149" s="103"/>
      <c r="O149" s="95"/>
      <c r="P149" s="18">
        <v>6.0000000000000001E-3</v>
      </c>
      <c r="Q149" s="18">
        <v>2.6599999999999999E-2</v>
      </c>
      <c r="R149" s="18">
        <v>0.09</v>
      </c>
      <c r="S149" s="18">
        <v>0</v>
      </c>
      <c r="T149" s="26"/>
    </row>
    <row r="150" spans="1:20" x14ac:dyDescent="0.25">
      <c r="A150" s="81" t="s">
        <v>292</v>
      </c>
      <c r="B150" s="118" t="s">
        <v>168</v>
      </c>
      <c r="C150" s="45" t="s">
        <v>283</v>
      </c>
      <c r="D150" s="70" t="s">
        <v>98</v>
      </c>
      <c r="E150" s="72" t="s">
        <v>17</v>
      </c>
      <c r="F150" s="167">
        <v>1000</v>
      </c>
      <c r="G150" s="70"/>
      <c r="H150" s="76"/>
      <c r="I150" s="70"/>
      <c r="J150" s="70">
        <f t="shared" si="3"/>
        <v>1000</v>
      </c>
      <c r="K150" s="154" t="s">
        <v>70</v>
      </c>
      <c r="L150" s="63"/>
      <c r="M150" s="139">
        <v>1000</v>
      </c>
      <c r="N150" s="103"/>
      <c r="O150" s="95"/>
      <c r="P150" s="18">
        <v>8.0000000000000002E-3</v>
      </c>
      <c r="Q150" s="18">
        <v>0.03</v>
      </c>
      <c r="R150" s="18">
        <v>8.3299999999999999E-2</v>
      </c>
      <c r="S150" s="18">
        <v>0</v>
      </c>
      <c r="T150" s="26">
        <v>0</v>
      </c>
    </row>
    <row r="151" spans="1:20" x14ac:dyDescent="0.25">
      <c r="A151" s="81" t="s">
        <v>292</v>
      </c>
      <c r="B151" s="118" t="s">
        <v>168</v>
      </c>
      <c r="C151" s="45" t="s">
        <v>283</v>
      </c>
      <c r="D151" s="70" t="s">
        <v>98</v>
      </c>
      <c r="E151" s="72" t="s">
        <v>17</v>
      </c>
      <c r="F151" s="167">
        <v>1000</v>
      </c>
      <c r="G151" s="70"/>
      <c r="H151" s="76"/>
      <c r="I151" s="70"/>
      <c r="J151" s="70">
        <f t="shared" si="3"/>
        <v>1000</v>
      </c>
      <c r="K151" s="154" t="s">
        <v>71</v>
      </c>
      <c r="L151" s="63"/>
      <c r="M151" s="139">
        <v>1000</v>
      </c>
      <c r="N151" s="103"/>
      <c r="O151" s="95"/>
      <c r="P151" s="18">
        <v>6.0000000000000001E-3</v>
      </c>
      <c r="Q151" s="18">
        <v>0.03</v>
      </c>
      <c r="R151" s="18">
        <v>6.3299999999999995E-2</v>
      </c>
      <c r="S151" s="18">
        <v>0</v>
      </c>
      <c r="T151" s="26">
        <v>0</v>
      </c>
    </row>
    <row r="152" spans="1:20" x14ac:dyDescent="0.25">
      <c r="A152" s="81" t="s">
        <v>292</v>
      </c>
      <c r="B152" s="118" t="s">
        <v>168</v>
      </c>
      <c r="C152" s="45" t="s">
        <v>283</v>
      </c>
      <c r="D152" s="70" t="s">
        <v>98</v>
      </c>
      <c r="E152" s="72" t="s">
        <v>17</v>
      </c>
      <c r="F152" s="167">
        <v>1000</v>
      </c>
      <c r="G152" s="70"/>
      <c r="H152" s="76"/>
      <c r="I152" s="70"/>
      <c r="J152" s="70">
        <f t="shared" si="3"/>
        <v>1000</v>
      </c>
      <c r="K152" s="154" t="s">
        <v>72</v>
      </c>
      <c r="L152" s="63"/>
      <c r="M152" s="139">
        <v>1000</v>
      </c>
      <c r="N152" s="103"/>
      <c r="O152" s="95"/>
      <c r="P152" s="18">
        <v>5.0000000000000001E-3</v>
      </c>
      <c r="Q152" s="18">
        <v>4.3299999999999998E-2</v>
      </c>
      <c r="R152" s="18">
        <v>5.6599999999999998E-2</v>
      </c>
      <c r="S152" s="18">
        <v>0</v>
      </c>
      <c r="T152" s="26">
        <v>0</v>
      </c>
    </row>
    <row r="153" spans="1:20" x14ac:dyDescent="0.25">
      <c r="A153" s="81" t="s">
        <v>292</v>
      </c>
      <c r="B153" s="118" t="s">
        <v>168</v>
      </c>
      <c r="C153" s="45" t="s">
        <v>283</v>
      </c>
      <c r="D153" s="70" t="s">
        <v>98</v>
      </c>
      <c r="E153" s="72" t="s">
        <v>17</v>
      </c>
      <c r="F153" s="167">
        <v>1000</v>
      </c>
      <c r="G153" s="70"/>
      <c r="H153" s="76"/>
      <c r="I153" s="70"/>
      <c r="J153" s="70">
        <f t="shared" si="3"/>
        <v>1000</v>
      </c>
      <c r="K153" s="154" t="s">
        <v>73</v>
      </c>
      <c r="L153" s="63"/>
      <c r="M153" s="139">
        <v>1000</v>
      </c>
      <c r="N153" s="103"/>
      <c r="O153" s="95"/>
      <c r="P153" s="18">
        <v>4.0000000000000001E-3</v>
      </c>
      <c r="Q153" s="18">
        <v>3.6600000000000001E-2</v>
      </c>
      <c r="R153" s="18">
        <v>7.0000000000000007E-2</v>
      </c>
      <c r="S153" s="18">
        <v>0</v>
      </c>
      <c r="T153" s="26">
        <v>0</v>
      </c>
    </row>
    <row r="154" spans="1:20" x14ac:dyDescent="0.25">
      <c r="A154" s="81" t="s">
        <v>292</v>
      </c>
      <c r="B154" s="118" t="s">
        <v>168</v>
      </c>
      <c r="C154" s="45" t="s">
        <v>283</v>
      </c>
      <c r="D154" s="70" t="s">
        <v>98</v>
      </c>
      <c r="E154" s="72" t="s">
        <v>17</v>
      </c>
      <c r="F154" s="167">
        <v>1000</v>
      </c>
      <c r="G154" s="70"/>
      <c r="H154" s="76"/>
      <c r="I154" s="70"/>
      <c r="J154" s="70">
        <f t="shared" si="3"/>
        <v>1000</v>
      </c>
      <c r="K154" s="154" t="s">
        <v>92</v>
      </c>
      <c r="L154" s="63"/>
      <c r="M154" s="139">
        <v>1000</v>
      </c>
      <c r="N154" s="103"/>
      <c r="O154" s="95"/>
      <c r="P154" s="18">
        <v>3.0000000000000001E-3</v>
      </c>
      <c r="Q154" s="18">
        <v>2.6599999999999999E-2</v>
      </c>
      <c r="R154" s="18">
        <v>4.6600000000000003E-2</v>
      </c>
      <c r="S154" s="18">
        <v>0</v>
      </c>
      <c r="T154" s="26">
        <v>0</v>
      </c>
    </row>
    <row r="155" spans="1:20" x14ac:dyDescent="0.25">
      <c r="A155" s="81" t="s">
        <v>292</v>
      </c>
      <c r="B155" s="118" t="s">
        <v>168</v>
      </c>
      <c r="C155" s="45" t="s">
        <v>283</v>
      </c>
      <c r="D155" s="70" t="s">
        <v>98</v>
      </c>
      <c r="E155" s="72" t="s">
        <v>17</v>
      </c>
      <c r="F155" s="167">
        <v>1000</v>
      </c>
      <c r="G155" s="70"/>
      <c r="H155" s="76"/>
      <c r="I155" s="70"/>
      <c r="J155" s="70">
        <f t="shared" si="3"/>
        <v>1000</v>
      </c>
      <c r="K155" s="154" t="s">
        <v>93</v>
      </c>
      <c r="L155" s="63"/>
      <c r="M155" s="139">
        <v>1000</v>
      </c>
      <c r="N155" s="103"/>
      <c r="O155" s="95"/>
      <c r="P155" s="18">
        <v>4.0000000000000001E-3</v>
      </c>
      <c r="Q155" s="18">
        <v>0.03</v>
      </c>
      <c r="R155" s="18">
        <v>7.6600000000000001E-2</v>
      </c>
      <c r="S155" s="18">
        <v>0</v>
      </c>
      <c r="T155" s="26">
        <v>0</v>
      </c>
    </row>
    <row r="156" spans="1:20" x14ac:dyDescent="0.25">
      <c r="A156" s="81" t="s">
        <v>292</v>
      </c>
      <c r="B156" s="118" t="s">
        <v>168</v>
      </c>
      <c r="C156" s="45" t="s">
        <v>283</v>
      </c>
      <c r="D156" s="70" t="s">
        <v>98</v>
      </c>
      <c r="E156" s="72" t="s">
        <v>17</v>
      </c>
      <c r="F156" s="167">
        <v>1000</v>
      </c>
      <c r="G156" s="70"/>
      <c r="H156" s="76"/>
      <c r="I156" s="70"/>
      <c r="J156" s="70">
        <f t="shared" si="3"/>
        <v>1000</v>
      </c>
      <c r="K156" s="154" t="s">
        <v>94</v>
      </c>
      <c r="L156" s="63"/>
      <c r="M156" s="139">
        <v>1000</v>
      </c>
      <c r="N156" s="103"/>
      <c r="O156" s="95"/>
      <c r="P156" s="18">
        <v>4.0000000000000001E-3</v>
      </c>
      <c r="Q156" s="18">
        <v>2.6599999999999999E-2</v>
      </c>
      <c r="R156" s="18">
        <v>5.6599999999999998E-2</v>
      </c>
      <c r="S156" s="18">
        <v>0</v>
      </c>
      <c r="T156" s="26">
        <v>0</v>
      </c>
    </row>
    <row r="157" spans="1:20" x14ac:dyDescent="0.25">
      <c r="A157" s="81" t="s">
        <v>292</v>
      </c>
      <c r="B157" s="118" t="s">
        <v>168</v>
      </c>
      <c r="C157" s="45" t="s">
        <v>283</v>
      </c>
      <c r="D157" s="70" t="s">
        <v>98</v>
      </c>
      <c r="E157" s="72" t="s">
        <v>17</v>
      </c>
      <c r="F157" s="167">
        <v>995</v>
      </c>
      <c r="G157" s="70"/>
      <c r="H157" s="76"/>
      <c r="I157" s="70"/>
      <c r="J157" s="70">
        <f t="shared" si="3"/>
        <v>995</v>
      </c>
      <c r="K157" s="154" t="s">
        <v>95</v>
      </c>
      <c r="L157" s="63"/>
      <c r="M157" s="139">
        <v>995</v>
      </c>
      <c r="N157" s="103"/>
      <c r="O157" s="95"/>
      <c r="P157" s="18">
        <v>5.0000000000000001E-3</v>
      </c>
      <c r="Q157" s="18">
        <v>0.04</v>
      </c>
      <c r="R157" s="18">
        <v>7.3300000000000004E-2</v>
      </c>
      <c r="S157" s="18">
        <v>0</v>
      </c>
      <c r="T157" s="26">
        <v>0</v>
      </c>
    </row>
    <row r="158" spans="1:20" x14ac:dyDescent="0.25">
      <c r="A158" s="81"/>
      <c r="B158" s="118"/>
      <c r="C158" s="45"/>
      <c r="D158" s="70"/>
      <c r="E158" s="72"/>
      <c r="F158" s="167"/>
      <c r="G158" s="70"/>
      <c r="H158" s="76"/>
      <c r="I158" s="70"/>
      <c r="J158" s="70">
        <f t="shared" si="3"/>
        <v>0</v>
      </c>
      <c r="K158" s="154"/>
      <c r="L158" s="63"/>
      <c r="M158" s="139"/>
      <c r="N158" s="103"/>
      <c r="O158" s="95"/>
      <c r="P158" s="18"/>
      <c r="Q158" s="18"/>
      <c r="R158" s="18"/>
      <c r="S158" s="18"/>
      <c r="T158" s="26"/>
    </row>
    <row r="159" spans="1:20" x14ac:dyDescent="0.25">
      <c r="A159" s="81" t="s">
        <v>194</v>
      </c>
      <c r="B159" s="118" t="s">
        <v>168</v>
      </c>
      <c r="C159" s="45" t="s">
        <v>195</v>
      </c>
      <c r="D159" s="70" t="s">
        <v>98</v>
      </c>
      <c r="E159" s="72" t="s">
        <v>17</v>
      </c>
      <c r="F159" s="167"/>
      <c r="G159" s="70"/>
      <c r="H159" s="76" t="s">
        <v>293</v>
      </c>
      <c r="I159" s="70" t="s">
        <v>296</v>
      </c>
      <c r="J159" s="70">
        <f t="shared" si="3"/>
        <v>0</v>
      </c>
      <c r="K159" s="154" t="s">
        <v>186</v>
      </c>
      <c r="L159" s="63"/>
      <c r="M159" s="139"/>
      <c r="N159" s="103"/>
      <c r="O159" s="95"/>
      <c r="P159" s="18">
        <v>1.4999999999999999E-2</v>
      </c>
      <c r="Q159" s="18">
        <v>0.06</v>
      </c>
      <c r="R159" s="18">
        <v>0.1</v>
      </c>
      <c r="S159" s="18"/>
      <c r="T159" s="26"/>
    </row>
    <row r="160" spans="1:20" x14ac:dyDescent="0.25">
      <c r="A160" s="81" t="s">
        <v>196</v>
      </c>
      <c r="B160" s="118" t="s">
        <v>168</v>
      </c>
      <c r="C160" s="45" t="s">
        <v>195</v>
      </c>
      <c r="D160" s="70" t="s">
        <v>98</v>
      </c>
      <c r="E160" s="72" t="s">
        <v>17</v>
      </c>
      <c r="F160" s="167"/>
      <c r="G160" s="70"/>
      <c r="H160" s="76" t="s">
        <v>293</v>
      </c>
      <c r="I160" s="70" t="s">
        <v>296</v>
      </c>
      <c r="J160" s="70">
        <f t="shared" si="3"/>
        <v>0</v>
      </c>
      <c r="K160" s="154" t="s">
        <v>84</v>
      </c>
      <c r="L160" s="63"/>
      <c r="M160" s="139"/>
      <c r="N160" s="103"/>
      <c r="O160" s="95"/>
      <c r="P160" s="18">
        <v>1.2999999999999999E-2</v>
      </c>
      <c r="Q160" s="18">
        <v>7.6600000000000001E-2</v>
      </c>
      <c r="R160" s="18">
        <v>0.13</v>
      </c>
      <c r="S160" s="18"/>
      <c r="T160" s="26"/>
    </row>
    <row r="161" spans="1:20" x14ac:dyDescent="0.25">
      <c r="A161" s="81" t="s">
        <v>213</v>
      </c>
      <c r="B161" s="118" t="s">
        <v>168</v>
      </c>
      <c r="C161" s="45" t="s">
        <v>195</v>
      </c>
      <c r="D161" s="70" t="s">
        <v>98</v>
      </c>
      <c r="E161" s="72" t="s">
        <v>17</v>
      </c>
      <c r="F161" s="167"/>
      <c r="G161" s="70"/>
      <c r="H161" s="76" t="s">
        <v>293</v>
      </c>
      <c r="I161" s="70"/>
      <c r="J161" s="70">
        <f t="shared" si="3"/>
        <v>0</v>
      </c>
      <c r="K161" s="154" t="s">
        <v>88</v>
      </c>
      <c r="L161" s="63"/>
      <c r="M161" s="139"/>
      <c r="N161" s="103"/>
      <c r="O161" s="95"/>
      <c r="P161" s="18">
        <v>1.4E-2</v>
      </c>
      <c r="Q161" s="18">
        <v>0.06</v>
      </c>
      <c r="R161" s="18">
        <v>0.1366</v>
      </c>
      <c r="S161" s="18"/>
      <c r="T161" s="26"/>
    </row>
    <row r="162" spans="1:20" x14ac:dyDescent="0.25">
      <c r="A162" s="81" t="s">
        <v>213</v>
      </c>
      <c r="B162" s="118" t="s">
        <v>168</v>
      </c>
      <c r="C162" s="45" t="s">
        <v>195</v>
      </c>
      <c r="D162" s="70" t="s">
        <v>98</v>
      </c>
      <c r="E162" s="72" t="s">
        <v>17</v>
      </c>
      <c r="F162" s="167"/>
      <c r="G162" s="70"/>
      <c r="H162" s="76" t="s">
        <v>293</v>
      </c>
      <c r="I162" s="70"/>
      <c r="J162" s="70">
        <f t="shared" si="3"/>
        <v>0</v>
      </c>
      <c r="K162" s="154" t="s">
        <v>214</v>
      </c>
      <c r="L162" s="63"/>
      <c r="M162" s="139"/>
      <c r="N162" s="103"/>
      <c r="O162" s="95"/>
      <c r="P162" s="18">
        <v>1.2999999999999999E-2</v>
      </c>
      <c r="Q162" s="18">
        <v>5.6599999999999998E-2</v>
      </c>
      <c r="R162" s="18">
        <v>9.6600000000000005E-2</v>
      </c>
      <c r="S162" s="18"/>
      <c r="T162" s="26"/>
    </row>
    <row r="163" spans="1:20" x14ac:dyDescent="0.25">
      <c r="A163" s="81" t="s">
        <v>216</v>
      </c>
      <c r="B163" s="118" t="s">
        <v>168</v>
      </c>
      <c r="C163" s="45" t="s">
        <v>195</v>
      </c>
      <c r="D163" s="70" t="s">
        <v>98</v>
      </c>
      <c r="E163" s="72" t="s">
        <v>17</v>
      </c>
      <c r="F163" s="167">
        <v>1000</v>
      </c>
      <c r="G163" s="70"/>
      <c r="H163" s="76" t="s">
        <v>293</v>
      </c>
      <c r="I163" s="70" t="s">
        <v>296</v>
      </c>
      <c r="J163" s="70">
        <f t="shared" si="3"/>
        <v>1000</v>
      </c>
      <c r="K163" s="154" t="s">
        <v>89</v>
      </c>
      <c r="L163" s="63"/>
      <c r="M163" s="139">
        <v>1000</v>
      </c>
      <c r="N163" s="103"/>
      <c r="O163" s="95"/>
      <c r="P163" s="18">
        <v>1.4999999999999999E-2</v>
      </c>
      <c r="Q163" s="18">
        <v>6.6600000000000006E-2</v>
      </c>
      <c r="R163" s="18">
        <v>8.6599999999999996E-2</v>
      </c>
      <c r="S163" s="18"/>
      <c r="T163" s="26"/>
    </row>
    <row r="164" spans="1:20" x14ac:dyDescent="0.25">
      <c r="A164" s="81"/>
      <c r="B164" s="118"/>
      <c r="C164" s="45"/>
      <c r="D164" s="70"/>
      <c r="E164" s="72"/>
      <c r="F164" s="167"/>
      <c r="G164" s="70"/>
      <c r="H164" s="76"/>
      <c r="I164" s="70"/>
      <c r="J164" s="70">
        <f t="shared" si="3"/>
        <v>0</v>
      </c>
      <c r="K164" s="154"/>
      <c r="L164" s="63"/>
      <c r="M164" s="139"/>
      <c r="N164" s="103"/>
      <c r="O164" s="95"/>
      <c r="P164" s="18"/>
      <c r="Q164" s="18"/>
      <c r="R164" s="18"/>
      <c r="S164" s="18"/>
      <c r="T164" s="26"/>
    </row>
    <row r="165" spans="1:20" x14ac:dyDescent="0.25">
      <c r="A165" s="81"/>
      <c r="B165" s="118"/>
      <c r="C165" s="45"/>
      <c r="D165" s="70"/>
      <c r="E165" s="72"/>
      <c r="F165" s="167"/>
      <c r="G165" s="70"/>
      <c r="H165" s="76"/>
      <c r="I165" s="70"/>
      <c r="J165" s="70">
        <f t="shared" si="3"/>
        <v>0</v>
      </c>
      <c r="K165" s="154"/>
      <c r="L165" s="63"/>
      <c r="M165" s="139"/>
      <c r="N165" s="103"/>
      <c r="O165" s="95"/>
      <c r="P165" s="18"/>
      <c r="Q165" s="18"/>
      <c r="R165" s="18"/>
      <c r="S165" s="18"/>
      <c r="T165" s="26"/>
    </row>
    <row r="166" spans="1:20" x14ac:dyDescent="0.25">
      <c r="A166" s="114"/>
      <c r="B166" s="78"/>
      <c r="C166" s="30"/>
      <c r="D166" s="31" t="s">
        <v>18</v>
      </c>
      <c r="E166" s="32"/>
      <c r="F166" s="104"/>
      <c r="G166" s="104"/>
      <c r="H166" s="104"/>
      <c r="I166" s="104"/>
      <c r="J166" s="104"/>
      <c r="K166" s="33"/>
      <c r="L166" s="27"/>
      <c r="M166" s="140"/>
      <c r="N166" s="103"/>
      <c r="O166" s="95"/>
      <c r="P166" s="18"/>
      <c r="Q166" s="18"/>
      <c r="R166" s="18"/>
      <c r="S166" s="18"/>
      <c r="T166" s="26"/>
    </row>
    <row r="167" spans="1:20" x14ac:dyDescent="0.25">
      <c r="A167" s="114"/>
      <c r="B167" s="78"/>
      <c r="C167" s="30"/>
      <c r="D167" s="31"/>
      <c r="E167" s="32"/>
      <c r="F167" s="104"/>
      <c r="G167" s="104"/>
      <c r="H167" s="104"/>
      <c r="I167" s="104"/>
      <c r="J167" s="104"/>
      <c r="K167" s="33"/>
      <c r="L167" s="27"/>
      <c r="M167" s="140"/>
      <c r="N167" s="103"/>
      <c r="O167" s="95"/>
      <c r="P167" s="18"/>
      <c r="Q167" s="18"/>
      <c r="R167" s="18"/>
      <c r="S167" s="18"/>
      <c r="T167" s="26"/>
    </row>
    <row r="168" spans="1:20" x14ac:dyDescent="0.25">
      <c r="A168" s="114"/>
      <c r="B168" s="78"/>
      <c r="C168" s="30"/>
      <c r="D168" s="31"/>
      <c r="E168" s="32"/>
      <c r="F168" s="104"/>
      <c r="G168" s="104"/>
      <c r="H168" s="104"/>
      <c r="I168" s="104"/>
      <c r="J168" s="104"/>
      <c r="K168" s="33"/>
      <c r="L168" s="27"/>
      <c r="M168" s="140"/>
      <c r="N168" s="103"/>
      <c r="O168" s="95"/>
      <c r="P168" s="18"/>
      <c r="Q168" s="18"/>
      <c r="R168" s="18"/>
      <c r="S168" s="18"/>
      <c r="T168" s="26"/>
    </row>
    <row r="169" spans="1:20" x14ac:dyDescent="0.25">
      <c r="A169" s="114"/>
      <c r="B169" s="78"/>
      <c r="C169" s="30"/>
      <c r="D169" s="31"/>
      <c r="E169" s="32"/>
      <c r="F169" s="104"/>
      <c r="G169" s="104"/>
      <c r="H169" s="104"/>
      <c r="I169" s="104"/>
      <c r="J169" s="104"/>
      <c r="K169" s="33"/>
      <c r="L169" s="27"/>
      <c r="M169" s="140"/>
      <c r="N169" s="103"/>
      <c r="O169" s="95"/>
      <c r="P169" s="18"/>
      <c r="Q169" s="18"/>
      <c r="R169" s="18"/>
      <c r="S169" s="18"/>
      <c r="T169" s="26"/>
    </row>
    <row r="170" spans="1:20" x14ac:dyDescent="0.25">
      <c r="A170" s="70"/>
      <c r="B170" s="79"/>
      <c r="C170" s="79"/>
      <c r="D170" s="23" t="s">
        <v>15</v>
      </c>
      <c r="E170" s="51" t="s">
        <v>17</v>
      </c>
      <c r="F170" s="23">
        <f>SUM(F35:F165)</f>
        <v>116640</v>
      </c>
      <c r="G170" s="155">
        <f>SUM(G35:G169)</f>
        <v>0</v>
      </c>
      <c r="H170" s="23"/>
      <c r="I170" s="23"/>
      <c r="J170" s="23">
        <f>F170-G170</f>
        <v>116640</v>
      </c>
      <c r="K170" s="24" t="s">
        <v>16</v>
      </c>
      <c r="L170" s="25">
        <f>SUM(L35:L169)</f>
        <v>0</v>
      </c>
      <c r="M170" s="25">
        <f>SUM(M35:M169)</f>
        <v>79640</v>
      </c>
      <c r="N170" s="25">
        <f>SUM(N35:N165)</f>
        <v>37000</v>
      </c>
      <c r="O170" s="25">
        <f>SUM(O35:O169)</f>
        <v>0</v>
      </c>
      <c r="P170" s="26"/>
      <c r="Q170" s="26"/>
      <c r="R170" s="26"/>
      <c r="S170" s="26"/>
      <c r="T170" s="26"/>
    </row>
    <row r="171" spans="1:20" x14ac:dyDescent="0.25">
      <c r="A171" s="81"/>
      <c r="B171" s="118"/>
      <c r="C171" s="45"/>
      <c r="D171" s="70"/>
      <c r="E171" s="93"/>
      <c r="F171" s="70"/>
      <c r="G171" s="70"/>
      <c r="H171" s="70"/>
      <c r="I171" s="70"/>
      <c r="J171" s="70"/>
      <c r="K171" s="154"/>
      <c r="L171" s="63"/>
      <c r="M171" s="65"/>
      <c r="N171" s="158"/>
      <c r="O171" s="95"/>
      <c r="P171" s="18"/>
      <c r="Q171" s="18"/>
      <c r="R171" s="18"/>
      <c r="S171" s="18"/>
      <c r="T171" s="26"/>
    </row>
    <row r="172" spans="1:20" x14ac:dyDescent="0.25">
      <c r="A172" s="81" t="s">
        <v>79</v>
      </c>
      <c r="B172" s="118"/>
      <c r="C172" s="45" t="s">
        <v>80</v>
      </c>
      <c r="D172" s="70" t="s">
        <v>81</v>
      </c>
      <c r="E172" s="72" t="s">
        <v>19</v>
      </c>
      <c r="F172" s="70">
        <v>1000</v>
      </c>
      <c r="G172" s="70"/>
      <c r="H172" s="70" t="s">
        <v>243</v>
      </c>
      <c r="I172" s="70"/>
      <c r="J172" s="194">
        <f t="shared" ref="J172:J360" si="4">F172-G172</f>
        <v>1000</v>
      </c>
      <c r="K172" s="154" t="s">
        <v>89</v>
      </c>
      <c r="L172" s="63"/>
      <c r="M172" s="65">
        <v>1000</v>
      </c>
      <c r="N172" s="158"/>
      <c r="O172" s="95"/>
      <c r="P172" s="18">
        <v>1.2E-2</v>
      </c>
      <c r="Q172" s="18">
        <v>0.05</v>
      </c>
      <c r="R172" s="18">
        <v>9.3299999999999994E-2</v>
      </c>
      <c r="S172" s="18">
        <v>0</v>
      </c>
      <c r="T172" s="26"/>
    </row>
    <row r="173" spans="1:20" x14ac:dyDescent="0.25">
      <c r="A173" s="81" t="s">
        <v>79</v>
      </c>
      <c r="B173" s="118"/>
      <c r="C173" s="45" t="s">
        <v>80</v>
      </c>
      <c r="D173" s="70" t="s">
        <v>81</v>
      </c>
      <c r="E173" s="72" t="s">
        <v>19</v>
      </c>
      <c r="F173" s="70">
        <v>1000</v>
      </c>
      <c r="G173" s="70"/>
      <c r="H173" s="70" t="s">
        <v>243</v>
      </c>
      <c r="I173" s="70"/>
      <c r="J173" s="194">
        <f t="shared" si="4"/>
        <v>1000</v>
      </c>
      <c r="K173" s="154" t="s">
        <v>90</v>
      </c>
      <c r="L173" s="63"/>
      <c r="M173" s="65">
        <v>1000</v>
      </c>
      <c r="N173" s="158"/>
      <c r="O173" s="95"/>
      <c r="P173" s="18">
        <v>4.0000000000000001E-3</v>
      </c>
      <c r="Q173" s="18">
        <v>4.3299999999999998E-2</v>
      </c>
      <c r="R173" s="18">
        <v>0.12</v>
      </c>
      <c r="S173" s="18">
        <v>0</v>
      </c>
      <c r="T173" s="26"/>
    </row>
    <row r="174" spans="1:20" x14ac:dyDescent="0.25">
      <c r="A174" s="81" t="s">
        <v>79</v>
      </c>
      <c r="B174" s="118"/>
      <c r="C174" s="45" t="s">
        <v>80</v>
      </c>
      <c r="D174" s="70" t="s">
        <v>81</v>
      </c>
      <c r="E174" s="72" t="s">
        <v>19</v>
      </c>
      <c r="F174" s="70">
        <v>361</v>
      </c>
      <c r="G174" s="70"/>
      <c r="H174" s="70" t="s">
        <v>243</v>
      </c>
      <c r="I174" s="70"/>
      <c r="J174" s="194">
        <f t="shared" si="4"/>
        <v>361</v>
      </c>
      <c r="K174" s="154" t="s">
        <v>91</v>
      </c>
      <c r="L174" s="63"/>
      <c r="M174" s="65">
        <v>361</v>
      </c>
      <c r="N174" s="158"/>
      <c r="O174" s="95"/>
      <c r="P174" s="18">
        <v>5.0000000000000001E-3</v>
      </c>
      <c r="Q174" s="18">
        <v>5.33E-2</v>
      </c>
      <c r="R174" s="18">
        <v>0.1066</v>
      </c>
      <c r="S174" s="18">
        <v>0</v>
      </c>
      <c r="T174" s="26"/>
    </row>
    <row r="175" spans="1:20" x14ac:dyDescent="0.25">
      <c r="A175" s="81" t="s">
        <v>96</v>
      </c>
      <c r="B175" s="118"/>
      <c r="C175" s="45" t="s">
        <v>105</v>
      </c>
      <c r="D175" s="70" t="s">
        <v>81</v>
      </c>
      <c r="E175" s="72" t="s">
        <v>19</v>
      </c>
      <c r="F175" s="70">
        <v>1000</v>
      </c>
      <c r="G175" s="70"/>
      <c r="H175" s="70"/>
      <c r="I175" s="70"/>
      <c r="J175" s="76">
        <f t="shared" si="4"/>
        <v>1000</v>
      </c>
      <c r="K175" s="154" t="s">
        <v>85</v>
      </c>
      <c r="L175" s="63"/>
      <c r="M175" s="65">
        <v>1000</v>
      </c>
      <c r="N175" s="158"/>
      <c r="O175" s="95"/>
      <c r="P175" s="18">
        <v>2E-3</v>
      </c>
      <c r="Q175" s="18">
        <v>2.3300000000000001E-2</v>
      </c>
      <c r="R175" s="18">
        <v>3.3300000000000003E-2</v>
      </c>
      <c r="S175" s="18">
        <v>8.0000000000000002E-3</v>
      </c>
      <c r="T175" s="26"/>
    </row>
    <row r="176" spans="1:20" x14ac:dyDescent="0.25">
      <c r="A176" s="81" t="s">
        <v>96</v>
      </c>
      <c r="B176" s="118"/>
      <c r="C176" s="45" t="s">
        <v>105</v>
      </c>
      <c r="D176" s="70" t="s">
        <v>81</v>
      </c>
      <c r="E176" s="72" t="s">
        <v>19</v>
      </c>
      <c r="F176" s="70">
        <v>1000</v>
      </c>
      <c r="G176" s="70"/>
      <c r="H176" s="70"/>
      <c r="I176" s="70"/>
      <c r="J176" s="76">
        <f t="shared" si="4"/>
        <v>1000</v>
      </c>
      <c r="K176" s="154" t="s">
        <v>86</v>
      </c>
      <c r="L176" s="63"/>
      <c r="M176" s="65">
        <v>1000</v>
      </c>
      <c r="N176" s="158"/>
      <c r="O176" s="95"/>
      <c r="P176" s="18">
        <v>1E-3</v>
      </c>
      <c r="Q176" s="18">
        <v>2.6599999999999999E-2</v>
      </c>
      <c r="R176" s="18">
        <v>0.05</v>
      </c>
      <c r="S176" s="18">
        <v>3.0000000000000001E-3</v>
      </c>
      <c r="T176" s="26"/>
    </row>
    <row r="177" spans="1:20" x14ac:dyDescent="0.25">
      <c r="A177" s="81" t="s">
        <v>104</v>
      </c>
      <c r="B177" s="118"/>
      <c r="C177" s="45" t="s">
        <v>105</v>
      </c>
      <c r="D177" s="70" t="s">
        <v>81</v>
      </c>
      <c r="E177" s="72" t="s">
        <v>19</v>
      </c>
      <c r="F177" s="70">
        <v>1000</v>
      </c>
      <c r="G177" s="70"/>
      <c r="H177" s="70"/>
      <c r="I177" s="70"/>
      <c r="J177" s="76">
        <f t="shared" si="4"/>
        <v>1000</v>
      </c>
      <c r="K177" s="154" t="s">
        <v>88</v>
      </c>
      <c r="L177" s="63"/>
      <c r="M177" s="65">
        <v>1000</v>
      </c>
      <c r="N177" s="158"/>
      <c r="O177" s="95"/>
      <c r="P177" s="18">
        <v>0</v>
      </c>
      <c r="Q177" s="18">
        <v>2.3300000000000001E-2</v>
      </c>
      <c r="R177" s="18">
        <v>3.6600000000000001E-2</v>
      </c>
      <c r="S177" s="18">
        <v>6.0000000000000001E-3</v>
      </c>
      <c r="T177" s="26"/>
    </row>
    <row r="178" spans="1:20" x14ac:dyDescent="0.25">
      <c r="A178" s="81" t="s">
        <v>106</v>
      </c>
      <c r="B178" s="118"/>
      <c r="C178" s="45" t="s">
        <v>105</v>
      </c>
      <c r="D178" s="70" t="s">
        <v>81</v>
      </c>
      <c r="E178" s="72" t="s">
        <v>19</v>
      </c>
      <c r="F178" s="70">
        <v>1000</v>
      </c>
      <c r="G178" s="70"/>
      <c r="H178" s="70"/>
      <c r="I178" s="70"/>
      <c r="J178" s="76">
        <f t="shared" si="4"/>
        <v>1000</v>
      </c>
      <c r="K178" s="154" t="s">
        <v>112</v>
      </c>
      <c r="L178" s="63"/>
      <c r="M178" s="65">
        <v>1000</v>
      </c>
      <c r="N178" s="158"/>
      <c r="O178" s="95"/>
      <c r="P178" s="18">
        <v>1E-3</v>
      </c>
      <c r="Q178" s="18">
        <v>2.6599999999999999E-2</v>
      </c>
      <c r="R178" s="18">
        <v>3.6600000000000001E-2</v>
      </c>
      <c r="S178" s="18">
        <v>6.0000000000000001E-3</v>
      </c>
      <c r="T178" s="26"/>
    </row>
    <row r="179" spans="1:20" x14ac:dyDescent="0.25">
      <c r="A179" s="81" t="s">
        <v>121</v>
      </c>
      <c r="B179" s="118"/>
      <c r="C179" s="45" t="s">
        <v>105</v>
      </c>
      <c r="D179" s="70" t="s">
        <v>81</v>
      </c>
      <c r="E179" s="72" t="s">
        <v>19</v>
      </c>
      <c r="F179" s="70">
        <v>1000</v>
      </c>
      <c r="G179" s="70"/>
      <c r="H179" s="70"/>
      <c r="I179" s="70"/>
      <c r="J179" s="76">
        <f t="shared" si="4"/>
        <v>1000</v>
      </c>
      <c r="K179" s="154" t="s">
        <v>122</v>
      </c>
      <c r="L179" s="63"/>
      <c r="M179" s="65">
        <v>1000</v>
      </c>
      <c r="N179" s="158"/>
      <c r="O179" s="95"/>
      <c r="P179" s="18">
        <v>3.0000000000000001E-3</v>
      </c>
      <c r="Q179" s="18">
        <v>2.3300000000000001E-2</v>
      </c>
      <c r="R179" s="18">
        <v>2.6599999999999999E-2</v>
      </c>
      <c r="S179" s="18">
        <v>7.0000000000000001E-3</v>
      </c>
      <c r="T179" s="26"/>
    </row>
    <row r="180" spans="1:20" x14ac:dyDescent="0.25">
      <c r="A180" s="81" t="s">
        <v>121</v>
      </c>
      <c r="B180" s="118"/>
      <c r="C180" s="45" t="s">
        <v>105</v>
      </c>
      <c r="D180" s="70" t="s">
        <v>81</v>
      </c>
      <c r="E180" s="72" t="s">
        <v>19</v>
      </c>
      <c r="F180" s="70">
        <v>1000</v>
      </c>
      <c r="G180" s="70"/>
      <c r="H180" s="70"/>
      <c r="I180" s="70"/>
      <c r="J180" s="76">
        <f t="shared" si="4"/>
        <v>1000</v>
      </c>
      <c r="K180" s="154" t="s">
        <v>139</v>
      </c>
      <c r="L180" s="63"/>
      <c r="M180" s="65">
        <v>1000</v>
      </c>
      <c r="N180" s="158"/>
      <c r="O180" s="95"/>
      <c r="P180" s="18">
        <v>1E-3</v>
      </c>
      <c r="Q180" s="18">
        <v>0.02</v>
      </c>
      <c r="R180" s="18">
        <v>0.03</v>
      </c>
      <c r="S180" s="18">
        <v>4.0000000000000001E-3</v>
      </c>
      <c r="T180" s="26"/>
    </row>
    <row r="181" spans="1:20" x14ac:dyDescent="0.25">
      <c r="A181" s="81" t="s">
        <v>121</v>
      </c>
      <c r="B181" s="118"/>
      <c r="C181" s="45" t="s">
        <v>105</v>
      </c>
      <c r="D181" s="70" t="s">
        <v>81</v>
      </c>
      <c r="E181" s="72" t="s">
        <v>19</v>
      </c>
      <c r="F181" s="70">
        <v>1000</v>
      </c>
      <c r="G181" s="70"/>
      <c r="H181" s="70"/>
      <c r="I181" s="70"/>
      <c r="J181" s="76">
        <f t="shared" si="4"/>
        <v>1000</v>
      </c>
      <c r="K181" s="154" t="s">
        <v>140</v>
      </c>
      <c r="L181" s="63"/>
      <c r="M181" s="65">
        <v>1000</v>
      </c>
      <c r="N181" s="158"/>
      <c r="O181" s="95"/>
      <c r="P181" s="18">
        <v>1E-3</v>
      </c>
      <c r="Q181" s="18">
        <v>1.3299999999999999E-2</v>
      </c>
      <c r="R181" s="18">
        <v>2.3300000000000001E-2</v>
      </c>
      <c r="S181" s="18">
        <v>3.0000000000000001E-3</v>
      </c>
      <c r="T181" s="26"/>
    </row>
    <row r="182" spans="1:20" x14ac:dyDescent="0.25">
      <c r="A182" s="81" t="s">
        <v>138</v>
      </c>
      <c r="B182" s="118"/>
      <c r="C182" s="45" t="s">
        <v>137</v>
      </c>
      <c r="D182" s="70" t="s">
        <v>81</v>
      </c>
      <c r="E182" s="72" t="s">
        <v>19</v>
      </c>
      <c r="F182" s="70">
        <v>1000</v>
      </c>
      <c r="G182" s="70"/>
      <c r="H182" s="70"/>
      <c r="I182" s="70"/>
      <c r="J182" s="76">
        <f t="shared" si="4"/>
        <v>1000</v>
      </c>
      <c r="K182" s="154" t="s">
        <v>141</v>
      </c>
      <c r="L182" s="63"/>
      <c r="M182" s="65">
        <v>1000</v>
      </c>
      <c r="N182" s="158"/>
      <c r="O182" s="95"/>
      <c r="P182" s="18">
        <v>2E-3</v>
      </c>
      <c r="Q182" s="18">
        <v>2.3300000000000001E-2</v>
      </c>
      <c r="R182" s="18">
        <v>6.3299999999999995E-2</v>
      </c>
      <c r="S182" s="18">
        <v>3.0000000000000001E-3</v>
      </c>
      <c r="T182" s="26"/>
    </row>
    <row r="183" spans="1:20" x14ac:dyDescent="0.25">
      <c r="A183" s="81" t="s">
        <v>138</v>
      </c>
      <c r="B183" s="118"/>
      <c r="C183" s="45" t="s">
        <v>137</v>
      </c>
      <c r="D183" s="70" t="s">
        <v>81</v>
      </c>
      <c r="E183" s="72" t="s">
        <v>19</v>
      </c>
      <c r="F183" s="70">
        <v>1000</v>
      </c>
      <c r="G183" s="70"/>
      <c r="H183" s="70"/>
      <c r="I183" s="70"/>
      <c r="J183" s="76">
        <f t="shared" si="4"/>
        <v>1000</v>
      </c>
      <c r="K183" s="154" t="s">
        <v>142</v>
      </c>
      <c r="L183" s="63"/>
      <c r="M183" s="65">
        <v>1000</v>
      </c>
      <c r="N183" s="158"/>
      <c r="O183" s="95"/>
      <c r="P183" s="18">
        <v>1E-3</v>
      </c>
      <c r="Q183" s="18">
        <v>0.02</v>
      </c>
      <c r="R183" s="18">
        <v>0.04</v>
      </c>
      <c r="S183" s="18">
        <v>4.0000000000000001E-3</v>
      </c>
      <c r="T183" s="26"/>
    </row>
    <row r="184" spans="1:20" x14ac:dyDescent="0.25">
      <c r="A184" s="81" t="s">
        <v>138</v>
      </c>
      <c r="B184" s="118"/>
      <c r="C184" s="45" t="s">
        <v>137</v>
      </c>
      <c r="D184" s="70" t="s">
        <v>81</v>
      </c>
      <c r="E184" s="72" t="s">
        <v>19</v>
      </c>
      <c r="F184" s="70">
        <v>1000</v>
      </c>
      <c r="G184" s="70"/>
      <c r="H184" s="70"/>
      <c r="I184" s="70"/>
      <c r="J184" s="76">
        <f t="shared" si="4"/>
        <v>1000</v>
      </c>
      <c r="K184" s="154" t="s">
        <v>143</v>
      </c>
      <c r="L184" s="63"/>
      <c r="M184" s="65">
        <v>1000</v>
      </c>
      <c r="N184" s="158"/>
      <c r="O184" s="95"/>
      <c r="P184" s="18">
        <v>1E-3</v>
      </c>
      <c r="Q184" s="18">
        <v>0.02</v>
      </c>
      <c r="R184" s="18">
        <v>4.6600000000000003E-2</v>
      </c>
      <c r="S184" s="18">
        <v>4.0000000000000001E-3</v>
      </c>
      <c r="T184" s="26"/>
    </row>
    <row r="185" spans="1:20" x14ac:dyDescent="0.25">
      <c r="A185" s="81" t="s">
        <v>138</v>
      </c>
      <c r="B185" s="118"/>
      <c r="C185" s="45" t="s">
        <v>137</v>
      </c>
      <c r="D185" s="70" t="s">
        <v>81</v>
      </c>
      <c r="E185" s="72" t="s">
        <v>19</v>
      </c>
      <c r="F185" s="70">
        <v>1000</v>
      </c>
      <c r="G185" s="70"/>
      <c r="H185" s="70"/>
      <c r="I185" s="70"/>
      <c r="J185" s="76">
        <f t="shared" si="4"/>
        <v>1000</v>
      </c>
      <c r="K185" s="154" t="s">
        <v>144</v>
      </c>
      <c r="L185" s="63"/>
      <c r="M185" s="65">
        <v>1000</v>
      </c>
      <c r="N185" s="158"/>
      <c r="O185" s="95"/>
      <c r="P185" s="18">
        <v>2E-3</v>
      </c>
      <c r="Q185" s="18">
        <v>2.6599999999999999E-2</v>
      </c>
      <c r="R185" s="18">
        <v>3.6600000000000001E-2</v>
      </c>
      <c r="S185" s="18">
        <v>4.0000000000000001E-3</v>
      </c>
      <c r="T185" s="26"/>
    </row>
    <row r="186" spans="1:20" x14ac:dyDescent="0.25">
      <c r="A186" s="81" t="s">
        <v>138</v>
      </c>
      <c r="B186" s="118"/>
      <c r="C186" s="45" t="s">
        <v>137</v>
      </c>
      <c r="D186" s="70" t="s">
        <v>81</v>
      </c>
      <c r="E186" s="72" t="s">
        <v>19</v>
      </c>
      <c r="F186" s="70">
        <v>1000</v>
      </c>
      <c r="G186" s="70"/>
      <c r="H186" s="70"/>
      <c r="I186" s="70"/>
      <c r="J186" s="76">
        <f t="shared" si="4"/>
        <v>1000</v>
      </c>
      <c r="K186" s="154" t="s">
        <v>145</v>
      </c>
      <c r="L186" s="63"/>
      <c r="M186" s="65">
        <v>1000</v>
      </c>
      <c r="N186" s="158"/>
      <c r="O186" s="95"/>
      <c r="P186" s="18">
        <v>1E-3</v>
      </c>
      <c r="Q186" s="18">
        <v>0.02</v>
      </c>
      <c r="R186" s="18">
        <v>0.04</v>
      </c>
      <c r="S186" s="18">
        <v>4.0000000000000001E-3</v>
      </c>
      <c r="T186" s="26"/>
    </row>
    <row r="187" spans="1:20" x14ac:dyDescent="0.25">
      <c r="A187" s="81" t="s">
        <v>138</v>
      </c>
      <c r="B187" s="118"/>
      <c r="C187" s="45" t="s">
        <v>137</v>
      </c>
      <c r="D187" s="70" t="s">
        <v>81</v>
      </c>
      <c r="E187" s="72" t="s">
        <v>19</v>
      </c>
      <c r="F187" s="70">
        <v>1000</v>
      </c>
      <c r="G187" s="70"/>
      <c r="H187" s="70"/>
      <c r="I187" s="70"/>
      <c r="J187" s="76">
        <f t="shared" si="4"/>
        <v>1000</v>
      </c>
      <c r="K187" s="154" t="s">
        <v>146</v>
      </c>
      <c r="L187" s="63"/>
      <c r="M187" s="65">
        <v>1000</v>
      </c>
      <c r="N187" s="158"/>
      <c r="O187" s="95"/>
      <c r="P187" s="18">
        <v>3.0000000000000001E-3</v>
      </c>
      <c r="Q187" s="18">
        <v>0.02</v>
      </c>
      <c r="R187" s="18">
        <v>4.6600000000000003E-2</v>
      </c>
      <c r="S187" s="18">
        <v>5.0000000000000001E-3</v>
      </c>
      <c r="T187" s="26"/>
    </row>
    <row r="188" spans="1:20" x14ac:dyDescent="0.25">
      <c r="A188" s="81" t="s">
        <v>138</v>
      </c>
      <c r="B188" s="118"/>
      <c r="C188" s="45" t="s">
        <v>137</v>
      </c>
      <c r="D188" s="70" t="s">
        <v>81</v>
      </c>
      <c r="E188" s="72" t="s">
        <v>19</v>
      </c>
      <c r="F188" s="70">
        <v>1000</v>
      </c>
      <c r="G188" s="70"/>
      <c r="H188" s="70"/>
      <c r="I188" s="70"/>
      <c r="J188" s="76">
        <f t="shared" si="4"/>
        <v>1000</v>
      </c>
      <c r="K188" s="154" t="s">
        <v>147</v>
      </c>
      <c r="L188" s="63"/>
      <c r="M188" s="65">
        <v>1000</v>
      </c>
      <c r="N188" s="158"/>
      <c r="O188" s="95"/>
      <c r="P188" s="18">
        <v>1E-3</v>
      </c>
      <c r="Q188" s="18">
        <v>2.6599999999999999E-2</v>
      </c>
      <c r="R188" s="18">
        <v>4.6600000000000003E-2</v>
      </c>
      <c r="S188" s="18">
        <v>3.0000000000000001E-3</v>
      </c>
      <c r="T188" s="26"/>
    </row>
    <row r="189" spans="1:20" x14ac:dyDescent="0.25">
      <c r="A189" s="81" t="s">
        <v>138</v>
      </c>
      <c r="B189" s="118"/>
      <c r="C189" s="45" t="s">
        <v>137</v>
      </c>
      <c r="D189" s="70" t="s">
        <v>81</v>
      </c>
      <c r="E189" s="72" t="s">
        <v>19</v>
      </c>
      <c r="F189" s="70">
        <v>1000</v>
      </c>
      <c r="G189" s="70"/>
      <c r="H189" s="70"/>
      <c r="I189" s="70"/>
      <c r="J189" s="76">
        <f t="shared" si="4"/>
        <v>1000</v>
      </c>
      <c r="K189" s="154" t="s">
        <v>148</v>
      </c>
      <c r="L189" s="63"/>
      <c r="M189" s="65">
        <v>1000</v>
      </c>
      <c r="N189" s="158"/>
      <c r="O189" s="95"/>
      <c r="P189" s="18">
        <v>1E-3</v>
      </c>
      <c r="Q189" s="18">
        <v>2.3300000000000001E-2</v>
      </c>
      <c r="R189" s="18">
        <v>5.6599999999999998E-2</v>
      </c>
      <c r="S189" s="18">
        <v>4.0000000000000001E-3</v>
      </c>
      <c r="T189" s="26"/>
    </row>
    <row r="190" spans="1:20" x14ac:dyDescent="0.25">
      <c r="A190" s="81" t="s">
        <v>138</v>
      </c>
      <c r="B190" s="118"/>
      <c r="C190" s="45" t="s">
        <v>137</v>
      </c>
      <c r="D190" s="70" t="s">
        <v>81</v>
      </c>
      <c r="E190" s="72" t="s">
        <v>19</v>
      </c>
      <c r="F190" s="70">
        <v>1000</v>
      </c>
      <c r="G190" s="70"/>
      <c r="H190" s="70"/>
      <c r="I190" s="70"/>
      <c r="J190" s="76">
        <f t="shared" si="4"/>
        <v>1000</v>
      </c>
      <c r="K190" s="154" t="s">
        <v>149</v>
      </c>
      <c r="L190" s="63"/>
      <c r="M190" s="65">
        <v>1000</v>
      </c>
      <c r="N190" s="158"/>
      <c r="O190" s="95"/>
      <c r="P190" s="18">
        <v>2E-3</v>
      </c>
      <c r="Q190" s="18">
        <v>2.6599999999999999E-2</v>
      </c>
      <c r="R190" s="18">
        <v>2.6599999999999999E-2</v>
      </c>
      <c r="S190" s="18">
        <v>6.0000000000000001E-3</v>
      </c>
      <c r="T190" s="26"/>
    </row>
    <row r="191" spans="1:20" x14ac:dyDescent="0.25">
      <c r="A191" s="81" t="s">
        <v>138</v>
      </c>
      <c r="B191" s="118"/>
      <c r="C191" s="45" t="s">
        <v>137</v>
      </c>
      <c r="D191" s="70" t="s">
        <v>81</v>
      </c>
      <c r="E191" s="72" t="s">
        <v>19</v>
      </c>
      <c r="F191" s="70">
        <v>1000</v>
      </c>
      <c r="G191" s="70"/>
      <c r="H191" s="70"/>
      <c r="I191" s="70"/>
      <c r="J191" s="76">
        <f t="shared" si="4"/>
        <v>1000</v>
      </c>
      <c r="K191" s="154" t="s">
        <v>150</v>
      </c>
      <c r="L191" s="63"/>
      <c r="M191" s="65">
        <v>1000</v>
      </c>
      <c r="N191" s="158"/>
      <c r="O191" s="95"/>
      <c r="P191" s="18">
        <v>1E-3</v>
      </c>
      <c r="Q191" s="18">
        <v>2.3300000000000001E-2</v>
      </c>
      <c r="R191" s="18">
        <v>0.03</v>
      </c>
      <c r="S191" s="18">
        <v>4.0000000000000001E-3</v>
      </c>
      <c r="T191" s="26"/>
    </row>
    <row r="192" spans="1:20" x14ac:dyDescent="0.25">
      <c r="A192" s="81" t="s">
        <v>153</v>
      </c>
      <c r="B192" s="118"/>
      <c r="C192" s="45" t="s">
        <v>137</v>
      </c>
      <c r="D192" s="70" t="s">
        <v>81</v>
      </c>
      <c r="E192" s="72" t="s">
        <v>19</v>
      </c>
      <c r="F192" s="70">
        <v>1000</v>
      </c>
      <c r="G192" s="70"/>
      <c r="H192" s="70"/>
      <c r="I192" s="70"/>
      <c r="J192" s="76">
        <f t="shared" si="4"/>
        <v>1000</v>
      </c>
      <c r="K192" s="154" t="s">
        <v>154</v>
      </c>
      <c r="L192" s="63"/>
      <c r="M192" s="65">
        <v>1000</v>
      </c>
      <c r="N192" s="158"/>
      <c r="O192" s="95"/>
      <c r="P192" s="18">
        <v>1E-3</v>
      </c>
      <c r="Q192" s="18">
        <v>2.3300000000000001E-2</v>
      </c>
      <c r="R192" s="18">
        <v>3.6600000000000001E-2</v>
      </c>
      <c r="S192" s="18">
        <v>4.0000000000000001E-3</v>
      </c>
      <c r="T192" s="26"/>
    </row>
    <row r="193" spans="1:20" x14ac:dyDescent="0.25">
      <c r="A193" s="81" t="s">
        <v>153</v>
      </c>
      <c r="B193" s="118"/>
      <c r="C193" s="45" t="s">
        <v>137</v>
      </c>
      <c r="D193" s="70" t="s">
        <v>81</v>
      </c>
      <c r="E193" s="72" t="s">
        <v>19</v>
      </c>
      <c r="F193" s="70">
        <v>1000</v>
      </c>
      <c r="G193" s="70"/>
      <c r="H193" s="70"/>
      <c r="I193" s="70"/>
      <c r="J193" s="76">
        <f t="shared" si="4"/>
        <v>1000</v>
      </c>
      <c r="K193" s="154" t="s">
        <v>155</v>
      </c>
      <c r="L193" s="63"/>
      <c r="M193" s="65">
        <v>1000</v>
      </c>
      <c r="N193" s="158"/>
      <c r="O193" s="95"/>
      <c r="P193" s="18">
        <v>3.0000000000000001E-3</v>
      </c>
      <c r="Q193" s="18">
        <v>2.6599999999999999E-2</v>
      </c>
      <c r="R193" s="18">
        <v>4.3299999999999998E-2</v>
      </c>
      <c r="S193" s="18">
        <v>1.4999999999999999E-2</v>
      </c>
      <c r="T193" s="26"/>
    </row>
    <row r="194" spans="1:20" x14ac:dyDescent="0.25">
      <c r="A194" s="81"/>
      <c r="B194" s="118"/>
      <c r="C194" s="45"/>
      <c r="D194" s="70"/>
      <c r="E194" s="72"/>
      <c r="F194" s="70"/>
      <c r="G194" s="70"/>
      <c r="H194" s="70"/>
      <c r="I194" s="70"/>
      <c r="J194" s="76"/>
      <c r="K194" s="154"/>
      <c r="L194" s="63"/>
      <c r="M194" s="65"/>
      <c r="N194" s="158"/>
      <c r="O194" s="95"/>
      <c r="P194" s="18"/>
      <c r="Q194" s="18"/>
      <c r="R194" s="18"/>
      <c r="S194" s="18"/>
      <c r="T194" s="26"/>
    </row>
    <row r="195" spans="1:20" x14ac:dyDescent="0.25">
      <c r="A195" s="81" t="s">
        <v>194</v>
      </c>
      <c r="B195" s="118"/>
      <c r="C195" s="45" t="s">
        <v>184</v>
      </c>
      <c r="D195" s="70" t="s">
        <v>185</v>
      </c>
      <c r="E195" s="72" t="s">
        <v>19</v>
      </c>
      <c r="F195" s="70">
        <v>1000</v>
      </c>
      <c r="G195" s="70"/>
      <c r="H195" s="70"/>
      <c r="I195" s="70"/>
      <c r="J195" s="76">
        <f t="shared" si="4"/>
        <v>1000</v>
      </c>
      <c r="K195" s="154" t="s">
        <v>203</v>
      </c>
      <c r="L195" s="63"/>
      <c r="M195" s="65">
        <v>1000</v>
      </c>
      <c r="N195" s="158"/>
      <c r="O195" s="95"/>
      <c r="P195" s="18">
        <v>1E-3</v>
      </c>
      <c r="Q195" s="18">
        <v>2.3300000000000001E-2</v>
      </c>
      <c r="R195" s="18">
        <v>0.04</v>
      </c>
      <c r="S195" s="18">
        <v>8.9999999999999993E-3</v>
      </c>
      <c r="T195" s="26"/>
    </row>
    <row r="196" spans="1:20" x14ac:dyDescent="0.25">
      <c r="A196" s="81" t="s">
        <v>194</v>
      </c>
      <c r="B196" s="118"/>
      <c r="C196" s="45" t="s">
        <v>184</v>
      </c>
      <c r="D196" s="70" t="s">
        <v>185</v>
      </c>
      <c r="E196" s="72" t="s">
        <v>19</v>
      </c>
      <c r="F196" s="70">
        <v>1000</v>
      </c>
      <c r="G196" s="70"/>
      <c r="H196" s="70"/>
      <c r="I196" s="70"/>
      <c r="J196" s="76">
        <f t="shared" si="4"/>
        <v>1000</v>
      </c>
      <c r="K196" s="154" t="s">
        <v>204</v>
      </c>
      <c r="L196" s="63"/>
      <c r="M196" s="65">
        <v>1000</v>
      </c>
      <c r="N196" s="158"/>
      <c r="O196" s="95"/>
      <c r="P196" s="18">
        <v>1E-3</v>
      </c>
      <c r="Q196" s="18">
        <v>2.6599999999999999E-2</v>
      </c>
      <c r="R196" s="18">
        <v>5.6599999999999998E-2</v>
      </c>
      <c r="S196" s="18">
        <v>7.0000000000000001E-3</v>
      </c>
      <c r="T196" s="26"/>
    </row>
    <row r="197" spans="1:20" x14ac:dyDescent="0.25">
      <c r="A197" s="81" t="s">
        <v>194</v>
      </c>
      <c r="B197" s="118"/>
      <c r="C197" s="45" t="s">
        <v>184</v>
      </c>
      <c r="D197" s="70" t="s">
        <v>185</v>
      </c>
      <c r="E197" s="72" t="s">
        <v>19</v>
      </c>
      <c r="F197" s="70">
        <v>1000</v>
      </c>
      <c r="G197" s="70"/>
      <c r="H197" s="70"/>
      <c r="I197" s="70"/>
      <c r="J197" s="76">
        <f t="shared" si="4"/>
        <v>1000</v>
      </c>
      <c r="K197" s="154" t="s">
        <v>205</v>
      </c>
      <c r="L197" s="63"/>
      <c r="M197" s="65">
        <v>1000</v>
      </c>
      <c r="N197" s="158"/>
      <c r="O197" s="95"/>
      <c r="P197" s="18"/>
      <c r="Q197" s="18">
        <v>1.66E-2</v>
      </c>
      <c r="R197" s="18">
        <v>0.03</v>
      </c>
      <c r="S197" s="18">
        <v>5.0000000000000001E-3</v>
      </c>
      <c r="T197" s="26"/>
    </row>
    <row r="198" spans="1:20" x14ac:dyDescent="0.25">
      <c r="A198" s="81" t="s">
        <v>194</v>
      </c>
      <c r="B198" s="118"/>
      <c r="C198" s="45" t="s">
        <v>184</v>
      </c>
      <c r="D198" s="70" t="s">
        <v>185</v>
      </c>
      <c r="E198" s="72" t="s">
        <v>19</v>
      </c>
      <c r="F198" s="70">
        <v>1000</v>
      </c>
      <c r="G198" s="70"/>
      <c r="H198" s="70"/>
      <c r="I198" s="70"/>
      <c r="J198" s="76">
        <f t="shared" si="4"/>
        <v>1000</v>
      </c>
      <c r="K198" s="154" t="s">
        <v>206</v>
      </c>
      <c r="L198" s="63"/>
      <c r="M198" s="65">
        <v>1000</v>
      </c>
      <c r="N198" s="158"/>
      <c r="O198" s="95"/>
      <c r="P198" s="18">
        <v>2E-3</v>
      </c>
      <c r="Q198" s="18">
        <v>0.03</v>
      </c>
      <c r="R198" s="18">
        <v>5.33E-2</v>
      </c>
      <c r="S198" s="18">
        <v>1.7000000000000001E-2</v>
      </c>
      <c r="T198" s="26"/>
    </row>
    <row r="199" spans="1:20" x14ac:dyDescent="0.25">
      <c r="A199" s="81" t="s">
        <v>194</v>
      </c>
      <c r="B199" s="118"/>
      <c r="C199" s="45" t="s">
        <v>184</v>
      </c>
      <c r="D199" s="70" t="s">
        <v>185</v>
      </c>
      <c r="E199" s="72" t="s">
        <v>19</v>
      </c>
      <c r="F199" s="70">
        <v>1000</v>
      </c>
      <c r="G199" s="70"/>
      <c r="H199" s="70"/>
      <c r="I199" s="70"/>
      <c r="J199" s="76">
        <f t="shared" si="4"/>
        <v>1000</v>
      </c>
      <c r="K199" s="154" t="s">
        <v>207</v>
      </c>
      <c r="L199" s="63"/>
      <c r="M199" s="65">
        <v>1000</v>
      </c>
      <c r="N199" s="158"/>
      <c r="O199" s="95"/>
      <c r="P199" s="18">
        <v>3.0000000000000001E-3</v>
      </c>
      <c r="Q199" s="18">
        <v>0.03</v>
      </c>
      <c r="R199" s="18">
        <v>4.3299999999999998E-2</v>
      </c>
      <c r="S199" s="18">
        <v>4.0000000000000001E-3</v>
      </c>
      <c r="T199" s="26"/>
    </row>
    <row r="200" spans="1:20" x14ac:dyDescent="0.25">
      <c r="A200" s="81" t="s">
        <v>196</v>
      </c>
      <c r="B200" s="118"/>
      <c r="C200" s="45" t="s">
        <v>184</v>
      </c>
      <c r="D200" s="70" t="s">
        <v>185</v>
      </c>
      <c r="E200" s="72" t="s">
        <v>19</v>
      </c>
      <c r="F200" s="70">
        <v>981</v>
      </c>
      <c r="G200" s="70"/>
      <c r="H200" s="70" t="s">
        <v>243</v>
      </c>
      <c r="I200" s="70"/>
      <c r="J200" s="194">
        <f t="shared" si="4"/>
        <v>981</v>
      </c>
      <c r="K200" s="154" t="s">
        <v>208</v>
      </c>
      <c r="L200" s="63"/>
      <c r="M200" s="65">
        <v>981</v>
      </c>
      <c r="N200" s="158"/>
      <c r="O200" s="95"/>
      <c r="P200" s="18">
        <v>1E-3</v>
      </c>
      <c r="Q200" s="18">
        <v>4.6600000000000003E-2</v>
      </c>
      <c r="R200" s="18">
        <v>7.0000000000000007E-2</v>
      </c>
      <c r="S200" s="18">
        <v>0</v>
      </c>
      <c r="T200" s="26"/>
    </row>
    <row r="201" spans="1:20" x14ac:dyDescent="0.25">
      <c r="A201" s="81" t="s">
        <v>196</v>
      </c>
      <c r="B201" s="118"/>
      <c r="C201" s="45" t="s">
        <v>184</v>
      </c>
      <c r="D201" s="70" t="s">
        <v>185</v>
      </c>
      <c r="E201" s="72" t="s">
        <v>19</v>
      </c>
      <c r="F201" s="70">
        <v>1000</v>
      </c>
      <c r="G201" s="70"/>
      <c r="H201" s="70"/>
      <c r="I201" s="70"/>
      <c r="J201" s="76">
        <f t="shared" si="4"/>
        <v>1000</v>
      </c>
      <c r="K201" s="154" t="s">
        <v>209</v>
      </c>
      <c r="L201" s="63"/>
      <c r="M201" s="65">
        <v>1000</v>
      </c>
      <c r="N201" s="158"/>
      <c r="O201" s="95"/>
      <c r="P201" s="18">
        <v>2E-3</v>
      </c>
      <c r="Q201" s="18">
        <v>0.05</v>
      </c>
      <c r="R201" s="18">
        <v>7.3300000000000004E-2</v>
      </c>
      <c r="S201" s="18">
        <v>8.0000000000000002E-3</v>
      </c>
      <c r="T201" s="26"/>
    </row>
    <row r="202" spans="1:20" x14ac:dyDescent="0.25">
      <c r="A202" s="81" t="s">
        <v>196</v>
      </c>
      <c r="B202" s="118"/>
      <c r="C202" s="45" t="s">
        <v>184</v>
      </c>
      <c r="D202" s="70" t="s">
        <v>185</v>
      </c>
      <c r="E202" s="72" t="s">
        <v>19</v>
      </c>
      <c r="F202" s="70">
        <v>1000</v>
      </c>
      <c r="G202" s="70"/>
      <c r="H202" s="70"/>
      <c r="I202" s="70"/>
      <c r="J202" s="76">
        <f t="shared" si="4"/>
        <v>1000</v>
      </c>
      <c r="K202" s="154" t="s">
        <v>210</v>
      </c>
      <c r="L202" s="63"/>
      <c r="M202" s="65">
        <v>1000</v>
      </c>
      <c r="N202" s="158"/>
      <c r="O202" s="95"/>
      <c r="P202" s="18">
        <v>4.0000000000000001E-3</v>
      </c>
      <c r="Q202" s="18">
        <v>6.3299999999999995E-2</v>
      </c>
      <c r="R202" s="18">
        <v>6.3299999999999995E-2</v>
      </c>
      <c r="S202" s="18">
        <v>8.9999999999999993E-3</v>
      </c>
      <c r="T202" s="26"/>
    </row>
    <row r="203" spans="1:20" x14ac:dyDescent="0.25">
      <c r="A203" s="81" t="s">
        <v>196</v>
      </c>
      <c r="B203" s="118"/>
      <c r="C203" s="45" t="s">
        <v>184</v>
      </c>
      <c r="D203" s="70" t="s">
        <v>185</v>
      </c>
      <c r="E203" s="72" t="s">
        <v>19</v>
      </c>
      <c r="F203" s="70">
        <v>1000</v>
      </c>
      <c r="G203" s="70"/>
      <c r="H203" s="70"/>
      <c r="I203" s="70"/>
      <c r="J203" s="76">
        <f t="shared" si="4"/>
        <v>1000</v>
      </c>
      <c r="K203" s="154" t="s">
        <v>211</v>
      </c>
      <c r="L203" s="63"/>
      <c r="M203" s="65">
        <v>1000</v>
      </c>
      <c r="N203" s="158"/>
      <c r="O203" s="95"/>
      <c r="P203" s="18">
        <v>3.0000000000000001E-3</v>
      </c>
      <c r="Q203" s="18">
        <v>6.6600000000000006E-2</v>
      </c>
      <c r="R203" s="18">
        <v>9.3299999999999994E-2</v>
      </c>
      <c r="S203" s="18">
        <v>7.0000000000000001E-3</v>
      </c>
      <c r="T203" s="26"/>
    </row>
    <row r="204" spans="1:20" x14ac:dyDescent="0.25">
      <c r="A204" s="81" t="s">
        <v>196</v>
      </c>
      <c r="B204" s="118"/>
      <c r="C204" s="45" t="s">
        <v>184</v>
      </c>
      <c r="D204" s="70" t="s">
        <v>185</v>
      </c>
      <c r="E204" s="72" t="s">
        <v>19</v>
      </c>
      <c r="F204" s="70">
        <v>1000</v>
      </c>
      <c r="G204" s="70"/>
      <c r="H204" s="70"/>
      <c r="I204" s="70"/>
      <c r="J204" s="76">
        <f t="shared" si="4"/>
        <v>1000</v>
      </c>
      <c r="K204" s="154" t="s">
        <v>212</v>
      </c>
      <c r="L204" s="63"/>
      <c r="M204" s="65">
        <v>1000</v>
      </c>
      <c r="N204" s="158"/>
      <c r="O204" s="95"/>
      <c r="P204" s="18">
        <v>4.0000000000000001E-3</v>
      </c>
      <c r="Q204" s="18">
        <v>0.06</v>
      </c>
      <c r="R204" s="18">
        <v>4.6600000000000003E-2</v>
      </c>
      <c r="S204" s="18">
        <v>2.1999999999999999E-2</v>
      </c>
      <c r="T204" s="26"/>
    </row>
    <row r="205" spans="1:20" x14ac:dyDescent="0.25">
      <c r="A205" s="81" t="s">
        <v>213</v>
      </c>
      <c r="B205" s="118"/>
      <c r="C205" s="45" t="s">
        <v>217</v>
      </c>
      <c r="D205" s="70" t="s">
        <v>185</v>
      </c>
      <c r="E205" s="72" t="s">
        <v>19</v>
      </c>
      <c r="F205" s="70">
        <v>1000</v>
      </c>
      <c r="G205" s="70"/>
      <c r="H205" s="70"/>
      <c r="I205" s="70"/>
      <c r="J205" s="76">
        <f t="shared" si="4"/>
        <v>1000</v>
      </c>
      <c r="K205" s="154" t="s">
        <v>218</v>
      </c>
      <c r="L205" s="63"/>
      <c r="M205" s="65">
        <v>1000</v>
      </c>
      <c r="N205" s="158"/>
      <c r="O205" s="95"/>
      <c r="P205" s="18">
        <v>4.0000000000000001E-3</v>
      </c>
      <c r="Q205" s="18">
        <v>6.6600000000000006E-2</v>
      </c>
      <c r="R205" s="18">
        <v>6.6600000000000006E-2</v>
      </c>
      <c r="S205" s="18">
        <v>1.4E-2</v>
      </c>
      <c r="T205" s="26"/>
    </row>
    <row r="206" spans="1:20" x14ac:dyDescent="0.25">
      <c r="A206" s="81" t="s">
        <v>213</v>
      </c>
      <c r="B206" s="118"/>
      <c r="C206" s="45" t="s">
        <v>217</v>
      </c>
      <c r="D206" s="70" t="s">
        <v>185</v>
      </c>
      <c r="E206" s="72" t="s">
        <v>19</v>
      </c>
      <c r="F206" s="70">
        <v>1000</v>
      </c>
      <c r="G206" s="70"/>
      <c r="H206" s="70"/>
      <c r="I206" s="70"/>
      <c r="J206" s="76">
        <f t="shared" si="4"/>
        <v>1000</v>
      </c>
      <c r="K206" s="154" t="s">
        <v>219</v>
      </c>
      <c r="L206" s="63"/>
      <c r="M206" s="65">
        <v>1000</v>
      </c>
      <c r="N206" s="158"/>
      <c r="O206" s="95"/>
      <c r="P206" s="18">
        <v>2E-3</v>
      </c>
      <c r="Q206" s="18">
        <v>6.3299999999999995E-2</v>
      </c>
      <c r="R206" s="18">
        <v>6.3299999999999995E-2</v>
      </c>
      <c r="S206" s="18">
        <v>5.0000000000000001E-3</v>
      </c>
      <c r="T206" s="26"/>
    </row>
    <row r="207" spans="1:20" x14ac:dyDescent="0.25">
      <c r="A207" s="81" t="s">
        <v>213</v>
      </c>
      <c r="B207" s="118"/>
      <c r="C207" s="45" t="s">
        <v>217</v>
      </c>
      <c r="D207" s="70" t="s">
        <v>185</v>
      </c>
      <c r="E207" s="72" t="s">
        <v>19</v>
      </c>
      <c r="F207" s="70">
        <v>1000</v>
      </c>
      <c r="G207" s="70"/>
      <c r="H207" s="70"/>
      <c r="I207" s="70"/>
      <c r="J207" s="76">
        <f t="shared" si="4"/>
        <v>1000</v>
      </c>
      <c r="K207" s="154" t="s">
        <v>220</v>
      </c>
      <c r="L207" s="63"/>
      <c r="M207" s="65">
        <v>1000</v>
      </c>
      <c r="N207" s="158"/>
      <c r="O207" s="95"/>
      <c r="P207" s="18">
        <v>3.0000000000000001E-3</v>
      </c>
      <c r="Q207" s="18">
        <v>0.06</v>
      </c>
      <c r="R207" s="18">
        <v>0.05</v>
      </c>
      <c r="S207" s="18">
        <v>1.7000000000000001E-2</v>
      </c>
      <c r="T207" s="26"/>
    </row>
    <row r="208" spans="1:20" x14ac:dyDescent="0.25">
      <c r="A208" s="81" t="s">
        <v>213</v>
      </c>
      <c r="B208" s="118"/>
      <c r="C208" s="45" t="s">
        <v>217</v>
      </c>
      <c r="D208" s="70" t="s">
        <v>185</v>
      </c>
      <c r="E208" s="72" t="s">
        <v>19</v>
      </c>
      <c r="F208" s="70">
        <v>1000</v>
      </c>
      <c r="G208" s="70"/>
      <c r="H208" s="70"/>
      <c r="I208" s="70"/>
      <c r="J208" s="76">
        <f t="shared" si="4"/>
        <v>1000</v>
      </c>
      <c r="K208" s="154" t="s">
        <v>221</v>
      </c>
      <c r="L208" s="63"/>
      <c r="M208" s="65">
        <v>1000</v>
      </c>
      <c r="N208" s="158"/>
      <c r="O208" s="95"/>
      <c r="P208" s="18">
        <v>3.0000000000000001E-3</v>
      </c>
      <c r="Q208" s="18">
        <v>5.6599999999999998E-2</v>
      </c>
      <c r="R208" s="18">
        <v>5.33E-2</v>
      </c>
      <c r="S208" s="18">
        <v>0.01</v>
      </c>
      <c r="T208" s="26"/>
    </row>
    <row r="209" spans="1:20" x14ac:dyDescent="0.25">
      <c r="A209" s="81" t="s">
        <v>213</v>
      </c>
      <c r="B209" s="118"/>
      <c r="C209" s="45" t="s">
        <v>217</v>
      </c>
      <c r="D209" s="70" t="s">
        <v>185</v>
      </c>
      <c r="E209" s="72" t="s">
        <v>19</v>
      </c>
      <c r="F209" s="70">
        <v>1000</v>
      </c>
      <c r="G209" s="70"/>
      <c r="H209" s="70"/>
      <c r="I209" s="70"/>
      <c r="J209" s="76">
        <f t="shared" si="4"/>
        <v>1000</v>
      </c>
      <c r="K209" s="154" t="s">
        <v>222</v>
      </c>
      <c r="L209" s="63"/>
      <c r="M209" s="65">
        <v>1000</v>
      </c>
      <c r="N209" s="158"/>
      <c r="O209" s="95"/>
      <c r="P209" s="18">
        <v>4.0000000000000001E-3</v>
      </c>
      <c r="Q209" s="18">
        <v>5.33E-2</v>
      </c>
      <c r="R209" s="18">
        <v>4.6600000000000003E-2</v>
      </c>
      <c r="S209" s="18">
        <v>1.9E-2</v>
      </c>
      <c r="T209" s="26"/>
    </row>
    <row r="210" spans="1:20" x14ac:dyDescent="0.25">
      <c r="A210" s="81" t="s">
        <v>213</v>
      </c>
      <c r="B210" s="118"/>
      <c r="C210" s="45" t="s">
        <v>217</v>
      </c>
      <c r="D210" s="70" t="s">
        <v>185</v>
      </c>
      <c r="E210" s="72" t="s">
        <v>19</v>
      </c>
      <c r="F210" s="70">
        <v>1000</v>
      </c>
      <c r="G210" s="70"/>
      <c r="H210" s="70"/>
      <c r="I210" s="70"/>
      <c r="J210" s="76">
        <f t="shared" si="4"/>
        <v>1000</v>
      </c>
      <c r="K210" s="154" t="s">
        <v>223</v>
      </c>
      <c r="L210" s="63"/>
      <c r="M210" s="65">
        <v>1000</v>
      </c>
      <c r="N210" s="158"/>
      <c r="O210" s="95"/>
      <c r="P210" s="18">
        <v>2E-3</v>
      </c>
      <c r="Q210" s="18">
        <v>0.06</v>
      </c>
      <c r="R210" s="18">
        <v>0.06</v>
      </c>
      <c r="S210" s="18">
        <v>1.4999999999999999E-2</v>
      </c>
      <c r="T210" s="26"/>
    </row>
    <row r="211" spans="1:20" x14ac:dyDescent="0.25">
      <c r="A211" s="81" t="s">
        <v>213</v>
      </c>
      <c r="B211" s="118"/>
      <c r="C211" s="45" t="s">
        <v>217</v>
      </c>
      <c r="D211" s="70" t="s">
        <v>185</v>
      </c>
      <c r="E211" s="72" t="s">
        <v>19</v>
      </c>
      <c r="F211" s="70">
        <v>1000</v>
      </c>
      <c r="G211" s="70"/>
      <c r="H211" s="70"/>
      <c r="I211" s="70"/>
      <c r="J211" s="76">
        <f t="shared" si="4"/>
        <v>1000</v>
      </c>
      <c r="K211" s="154" t="s">
        <v>224</v>
      </c>
      <c r="L211" s="63"/>
      <c r="M211" s="65">
        <v>1000</v>
      </c>
      <c r="N211" s="158"/>
      <c r="O211" s="95"/>
      <c r="P211" s="18">
        <v>4.0000000000000001E-3</v>
      </c>
      <c r="Q211" s="18">
        <v>0.04</v>
      </c>
      <c r="R211" s="18">
        <v>5.33E-2</v>
      </c>
      <c r="S211" s="18">
        <v>3.0000000000000001E-3</v>
      </c>
      <c r="T211" s="26"/>
    </row>
    <row r="212" spans="1:20" x14ac:dyDescent="0.25">
      <c r="A212" s="81" t="s">
        <v>232</v>
      </c>
      <c r="B212" s="118"/>
      <c r="C212" s="45" t="s">
        <v>217</v>
      </c>
      <c r="D212" s="70" t="s">
        <v>185</v>
      </c>
      <c r="E212" s="72" t="s">
        <v>19</v>
      </c>
      <c r="F212" s="70">
        <v>1000</v>
      </c>
      <c r="G212" s="70"/>
      <c r="H212" s="70"/>
      <c r="I212" s="70"/>
      <c r="J212" s="76">
        <f t="shared" ref="J212:J216" si="5">F212-G212</f>
        <v>1000</v>
      </c>
      <c r="K212" s="154" t="s">
        <v>234</v>
      </c>
      <c r="L212" s="63"/>
      <c r="M212" s="65">
        <v>1000</v>
      </c>
      <c r="N212" s="158"/>
      <c r="O212" s="95"/>
      <c r="P212" s="18">
        <v>4.0000000000000001E-3</v>
      </c>
      <c r="Q212" s="18">
        <v>0.05</v>
      </c>
      <c r="R212" s="18">
        <v>6.6600000000000006E-2</v>
      </c>
      <c r="S212" s="18">
        <v>1.2E-2</v>
      </c>
      <c r="T212" s="26"/>
    </row>
    <row r="213" spans="1:20" x14ac:dyDescent="0.25">
      <c r="A213" s="81" t="s">
        <v>232</v>
      </c>
      <c r="B213" s="118"/>
      <c r="C213" s="45" t="s">
        <v>217</v>
      </c>
      <c r="D213" s="70" t="s">
        <v>185</v>
      </c>
      <c r="E213" s="72" t="s">
        <v>19</v>
      </c>
      <c r="F213" s="70">
        <v>1000</v>
      </c>
      <c r="G213" s="70"/>
      <c r="H213" s="70"/>
      <c r="I213" s="70"/>
      <c r="J213" s="76">
        <f t="shared" si="5"/>
        <v>1000</v>
      </c>
      <c r="K213" s="154" t="s">
        <v>235</v>
      </c>
      <c r="L213" s="63"/>
      <c r="M213" s="65">
        <v>1000</v>
      </c>
      <c r="N213" s="158"/>
      <c r="O213" s="95"/>
      <c r="P213" s="18">
        <v>8.0000000000000002E-3</v>
      </c>
      <c r="Q213" s="18">
        <v>5.33E-2</v>
      </c>
      <c r="R213" s="18">
        <v>5.33E-2</v>
      </c>
      <c r="S213" s="18">
        <v>1.4E-2</v>
      </c>
      <c r="T213" s="26"/>
    </row>
    <row r="214" spans="1:20" x14ac:dyDescent="0.25">
      <c r="A214" s="81" t="s">
        <v>232</v>
      </c>
      <c r="B214" s="118"/>
      <c r="C214" s="45" t="s">
        <v>217</v>
      </c>
      <c r="D214" s="70" t="s">
        <v>185</v>
      </c>
      <c r="E214" s="72" t="s">
        <v>19</v>
      </c>
      <c r="F214" s="70">
        <v>1000</v>
      </c>
      <c r="G214" s="70"/>
      <c r="H214" s="70"/>
      <c r="I214" s="70"/>
      <c r="J214" s="76">
        <f t="shared" si="5"/>
        <v>1000</v>
      </c>
      <c r="K214" s="154" t="s">
        <v>236</v>
      </c>
      <c r="L214" s="63"/>
      <c r="M214" s="65">
        <v>1000</v>
      </c>
      <c r="N214" s="158"/>
      <c r="O214" s="95"/>
      <c r="P214" s="18">
        <v>4.0000000000000001E-3</v>
      </c>
      <c r="Q214" s="18">
        <v>7.3300000000000004E-2</v>
      </c>
      <c r="R214" s="18">
        <v>6.6600000000000006E-2</v>
      </c>
      <c r="S214" s="18">
        <v>1.4999999999999999E-2</v>
      </c>
      <c r="T214" s="26"/>
    </row>
    <row r="215" spans="1:20" x14ac:dyDescent="0.25">
      <c r="A215" s="81" t="s">
        <v>232</v>
      </c>
      <c r="B215" s="118"/>
      <c r="C215" s="45" t="s">
        <v>217</v>
      </c>
      <c r="D215" s="70" t="s">
        <v>185</v>
      </c>
      <c r="E215" s="72" t="s">
        <v>19</v>
      </c>
      <c r="F215" s="70">
        <v>1000</v>
      </c>
      <c r="G215" s="70"/>
      <c r="H215" s="70"/>
      <c r="I215" s="70"/>
      <c r="J215" s="76">
        <f t="shared" si="5"/>
        <v>1000</v>
      </c>
      <c r="K215" s="154" t="s">
        <v>237</v>
      </c>
      <c r="L215" s="63"/>
      <c r="M215" s="65">
        <v>1000</v>
      </c>
      <c r="N215" s="158"/>
      <c r="O215" s="95"/>
      <c r="P215" s="18">
        <v>5.0000000000000001E-3</v>
      </c>
      <c r="Q215" s="18">
        <v>4.6600000000000003E-2</v>
      </c>
      <c r="R215" s="18">
        <v>8.3299999999999999E-2</v>
      </c>
      <c r="S215" s="18">
        <v>1.4999999999999999E-2</v>
      </c>
      <c r="T215" s="26"/>
    </row>
    <row r="216" spans="1:20" x14ac:dyDescent="0.25">
      <c r="A216" s="81" t="s">
        <v>232</v>
      </c>
      <c r="B216" s="118"/>
      <c r="C216" s="45" t="s">
        <v>217</v>
      </c>
      <c r="D216" s="70" t="s">
        <v>185</v>
      </c>
      <c r="E216" s="72" t="s">
        <v>19</v>
      </c>
      <c r="F216" s="70">
        <v>1000</v>
      </c>
      <c r="G216" s="70"/>
      <c r="H216" s="70"/>
      <c r="I216" s="70"/>
      <c r="J216" s="76">
        <f t="shared" si="5"/>
        <v>1000</v>
      </c>
      <c r="K216" s="154" t="s">
        <v>238</v>
      </c>
      <c r="L216" s="63"/>
      <c r="M216" s="65">
        <v>1000</v>
      </c>
      <c r="N216" s="158"/>
      <c r="O216" s="95"/>
      <c r="P216" s="18">
        <v>5.0000000000000001E-3</v>
      </c>
      <c r="Q216" s="18">
        <v>6.6600000000000006E-2</v>
      </c>
      <c r="R216" s="18">
        <v>3.6600000000000001E-2</v>
      </c>
      <c r="S216" s="18">
        <v>1.2999999999999999E-2</v>
      </c>
      <c r="T216" s="26"/>
    </row>
    <row r="217" spans="1:20" x14ac:dyDescent="0.25">
      <c r="A217" s="81" t="s">
        <v>232</v>
      </c>
      <c r="B217" s="118"/>
      <c r="C217" s="45" t="s">
        <v>217</v>
      </c>
      <c r="D217" s="70" t="s">
        <v>185</v>
      </c>
      <c r="E217" s="72" t="s">
        <v>19</v>
      </c>
      <c r="F217" s="70">
        <v>1000</v>
      </c>
      <c r="G217" s="70"/>
      <c r="H217" s="70"/>
      <c r="I217" s="70"/>
      <c r="J217" s="76">
        <f t="shared" ref="J217:J241" si="6">F217-G217</f>
        <v>1000</v>
      </c>
      <c r="K217" s="154" t="s">
        <v>239</v>
      </c>
      <c r="L217" s="63"/>
      <c r="M217" s="65">
        <v>1000</v>
      </c>
      <c r="N217" s="158"/>
      <c r="O217" s="95"/>
      <c r="P217" s="18">
        <v>5.0000000000000001E-3</v>
      </c>
      <c r="Q217" s="18">
        <v>5.6599999999999998E-2</v>
      </c>
      <c r="R217" s="18">
        <v>3.6600000000000001E-2</v>
      </c>
      <c r="S217" s="18">
        <v>3.1E-2</v>
      </c>
      <c r="T217" s="26"/>
    </row>
    <row r="218" spans="1:20" x14ac:dyDescent="0.25">
      <c r="A218" s="81" t="s">
        <v>244</v>
      </c>
      <c r="B218" s="118"/>
      <c r="C218" s="45" t="s">
        <v>217</v>
      </c>
      <c r="D218" s="70" t="s">
        <v>185</v>
      </c>
      <c r="E218" s="72" t="s">
        <v>19</v>
      </c>
      <c r="F218" s="70">
        <v>1000</v>
      </c>
      <c r="G218" s="70"/>
      <c r="H218" s="70"/>
      <c r="I218" s="70"/>
      <c r="J218" s="76">
        <f t="shared" si="6"/>
        <v>1000</v>
      </c>
      <c r="K218" s="154" t="s">
        <v>246</v>
      </c>
      <c r="L218" s="63"/>
      <c r="M218" s="65">
        <v>1000</v>
      </c>
      <c r="N218" s="158"/>
      <c r="O218" s="95"/>
      <c r="P218" s="18">
        <v>5.0000000000000001E-3</v>
      </c>
      <c r="Q218" s="18">
        <v>7.3300000000000004E-2</v>
      </c>
      <c r="R218" s="18">
        <v>6.3299999999999995E-2</v>
      </c>
      <c r="S218" s="18">
        <v>3.5999999999999997E-2</v>
      </c>
      <c r="T218" s="26"/>
    </row>
    <row r="219" spans="1:20" x14ac:dyDescent="0.25">
      <c r="A219" s="81" t="s">
        <v>244</v>
      </c>
      <c r="B219" s="118"/>
      <c r="C219" s="45" t="s">
        <v>217</v>
      </c>
      <c r="D219" s="70" t="s">
        <v>185</v>
      </c>
      <c r="E219" s="72" t="s">
        <v>19</v>
      </c>
      <c r="F219" s="70">
        <v>1000</v>
      </c>
      <c r="G219" s="70"/>
      <c r="H219" s="70"/>
      <c r="I219" s="70"/>
      <c r="J219" s="76">
        <f t="shared" si="6"/>
        <v>1000</v>
      </c>
      <c r="K219" s="154" t="s">
        <v>247</v>
      </c>
      <c r="L219" s="63"/>
      <c r="M219" s="65">
        <v>1000</v>
      </c>
      <c r="N219" s="158"/>
      <c r="O219" s="95"/>
      <c r="P219" s="18">
        <v>7.0000000000000001E-3</v>
      </c>
      <c r="Q219" s="18">
        <v>0.05</v>
      </c>
      <c r="R219" s="18">
        <v>7.6600000000000001E-2</v>
      </c>
      <c r="S219" s="18">
        <v>1.9E-2</v>
      </c>
      <c r="T219" s="26"/>
    </row>
    <row r="220" spans="1:20" x14ac:dyDescent="0.25">
      <c r="A220" s="81" t="s">
        <v>244</v>
      </c>
      <c r="B220" s="118"/>
      <c r="C220" s="45" t="s">
        <v>217</v>
      </c>
      <c r="D220" s="70" t="s">
        <v>185</v>
      </c>
      <c r="E220" s="72" t="s">
        <v>19</v>
      </c>
      <c r="F220" s="70">
        <v>1000</v>
      </c>
      <c r="G220" s="70"/>
      <c r="H220" s="70"/>
      <c r="I220" s="70"/>
      <c r="J220" s="76">
        <f t="shared" si="6"/>
        <v>1000</v>
      </c>
      <c r="K220" s="154" t="s">
        <v>248</v>
      </c>
      <c r="L220" s="63"/>
      <c r="M220" s="65">
        <v>1000</v>
      </c>
      <c r="N220" s="158"/>
      <c r="O220" s="95"/>
      <c r="P220" s="18">
        <v>8.0000000000000002E-3</v>
      </c>
      <c r="Q220" s="18">
        <v>4.3299999999999998E-2</v>
      </c>
      <c r="R220" s="18">
        <v>0.05</v>
      </c>
      <c r="S220" s="18">
        <v>0.01</v>
      </c>
      <c r="T220" s="26"/>
    </row>
    <row r="221" spans="1:20" x14ac:dyDescent="0.25">
      <c r="A221" s="81" t="s">
        <v>244</v>
      </c>
      <c r="B221" s="118"/>
      <c r="C221" s="45" t="s">
        <v>217</v>
      </c>
      <c r="D221" s="70" t="s">
        <v>185</v>
      </c>
      <c r="E221" s="72" t="s">
        <v>19</v>
      </c>
      <c r="F221" s="70">
        <v>1000</v>
      </c>
      <c r="G221" s="70"/>
      <c r="H221" s="70"/>
      <c r="I221" s="70"/>
      <c r="J221" s="76">
        <f t="shared" si="6"/>
        <v>1000</v>
      </c>
      <c r="K221" s="154" t="s">
        <v>249</v>
      </c>
      <c r="L221" s="63"/>
      <c r="M221" s="65">
        <v>1000</v>
      </c>
      <c r="N221" s="158"/>
      <c r="O221" s="95"/>
      <c r="P221" s="18">
        <v>6.0000000000000001E-3</v>
      </c>
      <c r="Q221" s="18">
        <v>0.06</v>
      </c>
      <c r="R221" s="18">
        <v>6.6600000000000006E-2</v>
      </c>
      <c r="S221" s="18">
        <v>1.2E-2</v>
      </c>
      <c r="T221" s="26"/>
    </row>
    <row r="222" spans="1:20" x14ac:dyDescent="0.25">
      <c r="A222" s="81" t="s">
        <v>244</v>
      </c>
      <c r="B222" s="118"/>
      <c r="C222" s="45" t="s">
        <v>217</v>
      </c>
      <c r="D222" s="70" t="s">
        <v>185</v>
      </c>
      <c r="E222" s="72" t="s">
        <v>19</v>
      </c>
      <c r="F222" s="70">
        <v>1000</v>
      </c>
      <c r="G222" s="70"/>
      <c r="H222" s="70"/>
      <c r="I222" s="70"/>
      <c r="J222" s="76">
        <f t="shared" si="6"/>
        <v>1000</v>
      </c>
      <c r="K222" s="154" t="s">
        <v>250</v>
      </c>
      <c r="L222" s="63"/>
      <c r="M222" s="65">
        <v>1000</v>
      </c>
      <c r="N222" s="158"/>
      <c r="O222" s="95"/>
      <c r="P222" s="18">
        <v>4.0000000000000001E-3</v>
      </c>
      <c r="Q222" s="18">
        <v>7.0000000000000007E-2</v>
      </c>
      <c r="R222" s="18">
        <v>5.6599999999999998E-2</v>
      </c>
      <c r="S222" s="18">
        <v>1.0999999999999999E-2</v>
      </c>
      <c r="T222" s="26"/>
    </row>
    <row r="223" spans="1:20" x14ac:dyDescent="0.25">
      <c r="A223" s="81" t="s">
        <v>244</v>
      </c>
      <c r="B223" s="118"/>
      <c r="C223" s="45" t="s">
        <v>217</v>
      </c>
      <c r="D223" s="70" t="s">
        <v>185</v>
      </c>
      <c r="E223" s="72" t="s">
        <v>19</v>
      </c>
      <c r="F223" s="70">
        <v>1000</v>
      </c>
      <c r="G223" s="70"/>
      <c r="H223" s="70"/>
      <c r="I223" s="70"/>
      <c r="J223" s="76">
        <f t="shared" si="6"/>
        <v>1000</v>
      </c>
      <c r="K223" s="154" t="s">
        <v>251</v>
      </c>
      <c r="L223" s="63"/>
      <c r="M223" s="65">
        <v>1000</v>
      </c>
      <c r="N223" s="158"/>
      <c r="O223" s="95"/>
      <c r="P223" s="18">
        <v>7.0000000000000001E-3</v>
      </c>
      <c r="Q223" s="18">
        <v>0.04</v>
      </c>
      <c r="R223" s="18">
        <v>5.33E-2</v>
      </c>
      <c r="S223" s="18">
        <v>8.9999999999999993E-3</v>
      </c>
      <c r="T223" s="26"/>
    </row>
    <row r="224" spans="1:20" x14ac:dyDescent="0.25">
      <c r="A224" s="81" t="s">
        <v>244</v>
      </c>
      <c r="B224" s="118"/>
      <c r="C224" s="45" t="s">
        <v>217</v>
      </c>
      <c r="D224" s="70" t="s">
        <v>185</v>
      </c>
      <c r="E224" s="72" t="s">
        <v>19</v>
      </c>
      <c r="F224" s="70">
        <v>1000</v>
      </c>
      <c r="G224" s="70"/>
      <c r="H224" s="70"/>
      <c r="I224" s="70"/>
      <c r="J224" s="76">
        <f t="shared" si="6"/>
        <v>1000</v>
      </c>
      <c r="K224" s="154" t="s">
        <v>252</v>
      </c>
      <c r="L224" s="63"/>
      <c r="M224" s="65">
        <v>1000</v>
      </c>
      <c r="N224" s="158"/>
      <c r="O224" s="95"/>
      <c r="P224" s="18">
        <v>3.0000000000000001E-3</v>
      </c>
      <c r="Q224" s="18">
        <v>2.6599999999999999E-2</v>
      </c>
      <c r="R224" s="18">
        <v>7.0000000000000007E-2</v>
      </c>
      <c r="S224" s="18">
        <v>8.0000000000000002E-3</v>
      </c>
      <c r="T224" s="26"/>
    </row>
    <row r="225" spans="1:20" x14ac:dyDescent="0.25">
      <c r="A225" s="81" t="s">
        <v>244</v>
      </c>
      <c r="B225" s="118"/>
      <c r="C225" s="45" t="s">
        <v>245</v>
      </c>
      <c r="D225" s="70" t="s">
        <v>185</v>
      </c>
      <c r="E225" s="72" t="s">
        <v>19</v>
      </c>
      <c r="F225" s="70">
        <v>1000</v>
      </c>
      <c r="G225" s="70"/>
      <c r="H225" s="70"/>
      <c r="I225" s="70"/>
      <c r="J225" s="76">
        <f t="shared" si="6"/>
        <v>1000</v>
      </c>
      <c r="K225" s="154" t="s">
        <v>253</v>
      </c>
      <c r="L225" s="63"/>
      <c r="M225" s="65">
        <v>1000</v>
      </c>
      <c r="N225" s="158"/>
      <c r="O225" s="95"/>
      <c r="P225" s="18">
        <v>3.0000000000000001E-3</v>
      </c>
      <c r="Q225" s="18">
        <v>0.03</v>
      </c>
      <c r="R225" s="18">
        <v>6.6600000000000006E-2</v>
      </c>
      <c r="S225" s="18">
        <v>4.3999999999999997E-2</v>
      </c>
      <c r="T225" s="26"/>
    </row>
    <row r="226" spans="1:20" x14ac:dyDescent="0.25">
      <c r="A226" s="81" t="s">
        <v>276</v>
      </c>
      <c r="B226" s="118"/>
      <c r="C226" s="45" t="s">
        <v>245</v>
      </c>
      <c r="D226" s="70" t="s">
        <v>185</v>
      </c>
      <c r="E226" s="72" t="s">
        <v>19</v>
      </c>
      <c r="F226" s="70">
        <v>1000</v>
      </c>
      <c r="G226" s="70"/>
      <c r="H226" s="70"/>
      <c r="I226" s="70"/>
      <c r="J226" s="76">
        <f t="shared" si="6"/>
        <v>1000</v>
      </c>
      <c r="K226" s="154" t="s">
        <v>261</v>
      </c>
      <c r="L226" s="63"/>
      <c r="M226" s="65">
        <v>1000</v>
      </c>
      <c r="N226" s="158"/>
      <c r="O226" s="95"/>
      <c r="P226" s="18">
        <v>2E-3</v>
      </c>
      <c r="Q226" s="18">
        <v>0.02</v>
      </c>
      <c r="R226" s="18">
        <v>7.0000000000000007E-2</v>
      </c>
      <c r="S226" s="18">
        <v>1.4999999999999999E-2</v>
      </c>
      <c r="T226" s="26"/>
    </row>
    <row r="227" spans="1:20" x14ac:dyDescent="0.25">
      <c r="A227" s="81" t="s">
        <v>276</v>
      </c>
      <c r="B227" s="118"/>
      <c r="C227" s="45" t="s">
        <v>245</v>
      </c>
      <c r="D227" s="70" t="s">
        <v>185</v>
      </c>
      <c r="E227" s="72" t="s">
        <v>19</v>
      </c>
      <c r="F227" s="70">
        <v>1000</v>
      </c>
      <c r="G227" s="70"/>
      <c r="H227" s="70"/>
      <c r="I227" s="70"/>
      <c r="J227" s="76">
        <f t="shared" si="6"/>
        <v>1000</v>
      </c>
      <c r="K227" s="154" t="s">
        <v>262</v>
      </c>
      <c r="L227" s="63"/>
      <c r="M227" s="65">
        <v>1000</v>
      </c>
      <c r="N227" s="158"/>
      <c r="O227" s="95"/>
      <c r="P227" s="18">
        <v>3.0000000000000001E-3</v>
      </c>
      <c r="Q227" s="18">
        <v>3.3300000000000003E-2</v>
      </c>
      <c r="R227" s="18">
        <v>2.6599999999999999E-2</v>
      </c>
      <c r="S227" s="18">
        <v>5.0000000000000001E-3</v>
      </c>
      <c r="T227" s="26"/>
    </row>
    <row r="228" spans="1:20" x14ac:dyDescent="0.25">
      <c r="A228" s="81" t="s">
        <v>276</v>
      </c>
      <c r="B228" s="118"/>
      <c r="C228" s="45" t="s">
        <v>245</v>
      </c>
      <c r="D228" s="70" t="s">
        <v>185</v>
      </c>
      <c r="E228" s="72" t="s">
        <v>19</v>
      </c>
      <c r="F228" s="70">
        <v>1000</v>
      </c>
      <c r="G228" s="70"/>
      <c r="H228" s="70"/>
      <c r="I228" s="70"/>
      <c r="J228" s="76">
        <f t="shared" si="6"/>
        <v>1000</v>
      </c>
      <c r="K228" s="154" t="s">
        <v>263</v>
      </c>
      <c r="L228" s="63"/>
      <c r="M228" s="65">
        <v>1000</v>
      </c>
      <c r="N228" s="158"/>
      <c r="O228" s="95"/>
      <c r="P228" s="18">
        <v>2E-3</v>
      </c>
      <c r="Q228" s="18">
        <v>0.03</v>
      </c>
      <c r="R228" s="18">
        <v>0.04</v>
      </c>
      <c r="S228" s="18">
        <v>4.0000000000000001E-3</v>
      </c>
      <c r="T228" s="26"/>
    </row>
    <row r="229" spans="1:20" x14ac:dyDescent="0.25">
      <c r="A229" s="81" t="s">
        <v>276</v>
      </c>
      <c r="B229" s="118"/>
      <c r="C229" s="45" t="s">
        <v>245</v>
      </c>
      <c r="D229" s="70" t="s">
        <v>185</v>
      </c>
      <c r="E229" s="72" t="s">
        <v>19</v>
      </c>
      <c r="F229" s="70">
        <v>1000</v>
      </c>
      <c r="G229" s="70"/>
      <c r="H229" s="70"/>
      <c r="I229" s="70"/>
      <c r="J229" s="76">
        <f t="shared" si="6"/>
        <v>1000</v>
      </c>
      <c r="K229" s="154" t="s">
        <v>264</v>
      </c>
      <c r="L229" s="63"/>
      <c r="M229" s="65">
        <v>1000</v>
      </c>
      <c r="N229" s="158"/>
      <c r="O229" s="95"/>
      <c r="P229" s="18">
        <v>5.0000000000000001E-3</v>
      </c>
      <c r="Q229" s="18">
        <v>0.04</v>
      </c>
      <c r="R229" s="18">
        <v>6.6600000000000006E-2</v>
      </c>
      <c r="S229" s="18">
        <v>1.4E-2</v>
      </c>
      <c r="T229" s="26"/>
    </row>
    <row r="230" spans="1:20" x14ac:dyDescent="0.25">
      <c r="A230" s="81" t="s">
        <v>276</v>
      </c>
      <c r="B230" s="118"/>
      <c r="C230" s="45" t="s">
        <v>245</v>
      </c>
      <c r="D230" s="70" t="s">
        <v>185</v>
      </c>
      <c r="E230" s="72" t="s">
        <v>19</v>
      </c>
      <c r="F230" s="70">
        <v>1000</v>
      </c>
      <c r="G230" s="70"/>
      <c r="H230" s="70"/>
      <c r="I230" s="70"/>
      <c r="J230" s="76">
        <f t="shared" si="6"/>
        <v>1000</v>
      </c>
      <c r="K230" s="154" t="s">
        <v>265</v>
      </c>
      <c r="L230" s="63"/>
      <c r="M230" s="65">
        <v>1000</v>
      </c>
      <c r="N230" s="158"/>
      <c r="O230" s="95"/>
      <c r="P230" s="18">
        <v>3.0000000000000001E-3</v>
      </c>
      <c r="Q230" s="18">
        <v>0.05</v>
      </c>
      <c r="R230" s="18">
        <v>7.0000000000000007E-2</v>
      </c>
      <c r="S230" s="18">
        <v>1.0999999999999999E-2</v>
      </c>
      <c r="T230" s="26"/>
    </row>
    <row r="231" spans="1:20" x14ac:dyDescent="0.25">
      <c r="A231" s="81" t="s">
        <v>276</v>
      </c>
      <c r="B231" s="118"/>
      <c r="C231" s="45" t="s">
        <v>245</v>
      </c>
      <c r="D231" s="70" t="s">
        <v>185</v>
      </c>
      <c r="E231" s="72" t="s">
        <v>19</v>
      </c>
      <c r="F231" s="70">
        <v>1000</v>
      </c>
      <c r="G231" s="70"/>
      <c r="H231" s="70"/>
      <c r="I231" s="70"/>
      <c r="J231" s="76">
        <f t="shared" si="6"/>
        <v>1000</v>
      </c>
      <c r="K231" s="154" t="s">
        <v>266</v>
      </c>
      <c r="L231" s="63"/>
      <c r="M231" s="65">
        <v>1000</v>
      </c>
      <c r="N231" s="158"/>
      <c r="O231" s="95"/>
      <c r="P231" s="18">
        <v>2E-3</v>
      </c>
      <c r="Q231" s="18">
        <v>3.6600000000000001E-2</v>
      </c>
      <c r="R231" s="18">
        <v>7.3300000000000004E-2</v>
      </c>
      <c r="S231" s="18">
        <v>1E-3</v>
      </c>
      <c r="T231" s="26"/>
    </row>
    <row r="232" spans="1:20" x14ac:dyDescent="0.25">
      <c r="A232" s="81" t="s">
        <v>276</v>
      </c>
      <c r="B232" s="118"/>
      <c r="C232" s="45" t="s">
        <v>245</v>
      </c>
      <c r="D232" s="70" t="s">
        <v>185</v>
      </c>
      <c r="E232" s="72" t="s">
        <v>19</v>
      </c>
      <c r="F232" s="70">
        <v>1000</v>
      </c>
      <c r="G232" s="70"/>
      <c r="H232" s="70"/>
      <c r="I232" s="70"/>
      <c r="J232" s="76">
        <f t="shared" si="6"/>
        <v>1000</v>
      </c>
      <c r="K232" s="154" t="s">
        <v>267</v>
      </c>
      <c r="L232" s="63"/>
      <c r="M232" s="65">
        <v>1000</v>
      </c>
      <c r="N232" s="158"/>
      <c r="O232" s="95"/>
      <c r="P232" s="18">
        <v>4.0000000000000001E-3</v>
      </c>
      <c r="Q232" s="18">
        <v>4.3299999999999998E-2</v>
      </c>
      <c r="R232" s="18">
        <v>6.3299999999999995E-2</v>
      </c>
      <c r="S232" s="18">
        <v>1.2E-2</v>
      </c>
      <c r="T232" s="26"/>
    </row>
    <row r="233" spans="1:20" x14ac:dyDescent="0.25">
      <c r="A233" s="81" t="s">
        <v>276</v>
      </c>
      <c r="B233" s="118"/>
      <c r="C233" s="45" t="s">
        <v>245</v>
      </c>
      <c r="D233" s="70" t="s">
        <v>185</v>
      </c>
      <c r="E233" s="72" t="s">
        <v>19</v>
      </c>
      <c r="F233" s="70">
        <v>1000</v>
      </c>
      <c r="G233" s="70"/>
      <c r="H233" s="70"/>
      <c r="I233" s="70"/>
      <c r="J233" s="76">
        <f t="shared" si="6"/>
        <v>1000</v>
      </c>
      <c r="K233" s="154" t="s">
        <v>268</v>
      </c>
      <c r="L233" s="63"/>
      <c r="M233" s="65">
        <v>1000</v>
      </c>
      <c r="N233" s="158"/>
      <c r="O233" s="95"/>
      <c r="P233" s="18">
        <v>4.0000000000000001E-3</v>
      </c>
      <c r="Q233" s="18">
        <v>2.6599999999999999E-2</v>
      </c>
      <c r="R233" s="18">
        <v>4.3299999999999998E-2</v>
      </c>
      <c r="S233" s="18">
        <v>7.0000000000000001E-3</v>
      </c>
      <c r="T233" s="26"/>
    </row>
    <row r="234" spans="1:20" x14ac:dyDescent="0.25">
      <c r="A234" s="81" t="s">
        <v>276</v>
      </c>
      <c r="B234" s="118"/>
      <c r="C234" s="45" t="s">
        <v>245</v>
      </c>
      <c r="D234" s="70" t="s">
        <v>185</v>
      </c>
      <c r="E234" s="72" t="s">
        <v>19</v>
      </c>
      <c r="F234" s="70">
        <v>1000</v>
      </c>
      <c r="G234" s="70"/>
      <c r="H234" s="70"/>
      <c r="I234" s="70"/>
      <c r="J234" s="76">
        <f t="shared" si="6"/>
        <v>1000</v>
      </c>
      <c r="K234" s="154" t="s">
        <v>269</v>
      </c>
      <c r="L234" s="63"/>
      <c r="M234" s="65">
        <v>1000</v>
      </c>
      <c r="N234" s="158"/>
      <c r="O234" s="95"/>
      <c r="P234" s="18">
        <v>4.0000000000000001E-3</v>
      </c>
      <c r="Q234" s="18">
        <v>0.05</v>
      </c>
      <c r="R234" s="18">
        <v>0.05</v>
      </c>
      <c r="S234" s="18">
        <v>8.9999999999999993E-3</v>
      </c>
      <c r="T234" s="26"/>
    </row>
    <row r="235" spans="1:20" x14ac:dyDescent="0.25">
      <c r="A235" s="81" t="s">
        <v>276</v>
      </c>
      <c r="B235" s="118"/>
      <c r="C235" s="45" t="s">
        <v>245</v>
      </c>
      <c r="D235" s="70" t="s">
        <v>185</v>
      </c>
      <c r="E235" s="72" t="s">
        <v>19</v>
      </c>
      <c r="F235" s="70">
        <v>1000</v>
      </c>
      <c r="G235" s="70"/>
      <c r="H235" s="70"/>
      <c r="I235" s="70"/>
      <c r="J235" s="76">
        <f t="shared" si="6"/>
        <v>1000</v>
      </c>
      <c r="K235" s="154" t="s">
        <v>270</v>
      </c>
      <c r="L235" s="63"/>
      <c r="M235" s="65">
        <v>1000</v>
      </c>
      <c r="N235" s="158"/>
      <c r="O235" s="95"/>
      <c r="P235" s="18">
        <v>7.0000000000000001E-3</v>
      </c>
      <c r="Q235" s="18">
        <v>0.04</v>
      </c>
      <c r="R235" s="18">
        <v>5.6599999999999998E-2</v>
      </c>
      <c r="S235" s="18">
        <v>1.6E-2</v>
      </c>
      <c r="T235" s="26"/>
    </row>
    <row r="236" spans="1:20" x14ac:dyDescent="0.25">
      <c r="A236" s="81" t="s">
        <v>276</v>
      </c>
      <c r="B236" s="118"/>
      <c r="C236" s="45" t="s">
        <v>245</v>
      </c>
      <c r="D236" s="70" t="s">
        <v>185</v>
      </c>
      <c r="E236" s="72" t="s">
        <v>19</v>
      </c>
      <c r="F236" s="70">
        <v>1000</v>
      </c>
      <c r="G236" s="70"/>
      <c r="H236" s="70"/>
      <c r="I236" s="70"/>
      <c r="J236" s="76">
        <f t="shared" si="6"/>
        <v>1000</v>
      </c>
      <c r="K236" s="154" t="s">
        <v>271</v>
      </c>
      <c r="L236" s="63"/>
      <c r="M236" s="65">
        <v>1000</v>
      </c>
      <c r="N236" s="158"/>
      <c r="O236" s="95"/>
      <c r="P236" s="18">
        <v>5.0000000000000001E-3</v>
      </c>
      <c r="Q236" s="18">
        <v>3.6600000000000001E-2</v>
      </c>
      <c r="R236" s="18">
        <v>5.33E-2</v>
      </c>
      <c r="S236" s="18">
        <v>3.0000000000000001E-3</v>
      </c>
      <c r="T236" s="26"/>
    </row>
    <row r="237" spans="1:20" x14ac:dyDescent="0.25">
      <c r="A237" s="81" t="s">
        <v>276</v>
      </c>
      <c r="B237" s="118"/>
      <c r="C237" s="45" t="s">
        <v>245</v>
      </c>
      <c r="D237" s="70" t="s">
        <v>185</v>
      </c>
      <c r="E237" s="72" t="s">
        <v>19</v>
      </c>
      <c r="F237" s="70">
        <v>1000</v>
      </c>
      <c r="G237" s="70"/>
      <c r="H237" s="70"/>
      <c r="I237" s="70"/>
      <c r="J237" s="76">
        <f t="shared" si="6"/>
        <v>1000</v>
      </c>
      <c r="K237" s="154" t="s">
        <v>272</v>
      </c>
      <c r="L237" s="63"/>
      <c r="M237" s="65">
        <v>1000</v>
      </c>
      <c r="N237" s="158"/>
      <c r="O237" s="95"/>
      <c r="P237" s="18">
        <v>5.0000000000000001E-3</v>
      </c>
      <c r="Q237" s="18">
        <v>2.3300000000000001E-2</v>
      </c>
      <c r="R237" s="18">
        <v>0.08</v>
      </c>
      <c r="S237" s="18">
        <v>1.7000000000000001E-2</v>
      </c>
      <c r="T237" s="26"/>
    </row>
    <row r="238" spans="1:20" x14ac:dyDescent="0.25">
      <c r="A238" s="81" t="s">
        <v>276</v>
      </c>
      <c r="B238" s="118"/>
      <c r="C238" s="45" t="s">
        <v>245</v>
      </c>
      <c r="D238" s="70" t="s">
        <v>185</v>
      </c>
      <c r="E238" s="72" t="s">
        <v>19</v>
      </c>
      <c r="F238" s="70">
        <v>400</v>
      </c>
      <c r="G238" s="70"/>
      <c r="H238" s="70"/>
      <c r="I238" s="70"/>
      <c r="J238" s="76">
        <f t="shared" si="6"/>
        <v>400</v>
      </c>
      <c r="K238" s="154" t="s">
        <v>273</v>
      </c>
      <c r="L238" s="63"/>
      <c r="M238" s="65">
        <v>400</v>
      </c>
      <c r="N238" s="158"/>
      <c r="O238" s="95"/>
      <c r="P238" s="18">
        <v>8.0000000000000002E-3</v>
      </c>
      <c r="Q238" s="18">
        <v>4.6600000000000003E-2</v>
      </c>
      <c r="R238" s="18">
        <v>0.03</v>
      </c>
      <c r="S238" s="18">
        <v>2.3E-2</v>
      </c>
      <c r="T238" s="26"/>
    </row>
    <row r="239" spans="1:20" x14ac:dyDescent="0.25">
      <c r="A239" s="81"/>
      <c r="B239" s="118"/>
      <c r="C239" s="45"/>
      <c r="D239" s="70"/>
      <c r="E239" s="72"/>
      <c r="F239" s="70"/>
      <c r="G239" s="70"/>
      <c r="H239" s="70"/>
      <c r="I239" s="70"/>
      <c r="J239" s="76">
        <f t="shared" si="6"/>
        <v>0</v>
      </c>
      <c r="K239" s="154"/>
      <c r="L239" s="63"/>
      <c r="M239" s="65"/>
      <c r="N239" s="158"/>
      <c r="O239" s="95"/>
      <c r="P239" s="18"/>
      <c r="Q239" s="18"/>
      <c r="R239" s="18"/>
      <c r="S239" s="18"/>
      <c r="T239" s="26"/>
    </row>
    <row r="240" spans="1:20" x14ac:dyDescent="0.25">
      <c r="A240" s="81"/>
      <c r="B240" s="118"/>
      <c r="C240" s="45"/>
      <c r="D240" s="70"/>
      <c r="E240" s="72"/>
      <c r="F240" s="70"/>
      <c r="G240" s="70"/>
      <c r="H240" s="70"/>
      <c r="I240" s="70"/>
      <c r="J240" s="76">
        <f t="shared" si="6"/>
        <v>0</v>
      </c>
      <c r="K240" s="154"/>
      <c r="L240" s="63"/>
      <c r="M240" s="65"/>
      <c r="N240" s="158"/>
      <c r="O240" s="95"/>
      <c r="P240" s="18"/>
      <c r="Q240" s="18"/>
      <c r="R240" s="18"/>
      <c r="S240" s="18"/>
      <c r="T240" s="26"/>
    </row>
    <row r="241" spans="1:20" x14ac:dyDescent="0.25">
      <c r="A241" s="81"/>
      <c r="B241" s="118"/>
      <c r="C241" s="45"/>
      <c r="D241" s="70"/>
      <c r="E241" s="72"/>
      <c r="F241" s="70"/>
      <c r="G241" s="70"/>
      <c r="H241" s="70"/>
      <c r="I241" s="70"/>
      <c r="J241" s="76">
        <f t="shared" si="6"/>
        <v>0</v>
      </c>
      <c r="K241" s="154"/>
      <c r="L241" s="63"/>
      <c r="M241" s="65"/>
      <c r="N241" s="158"/>
      <c r="O241" s="95"/>
      <c r="P241" s="18"/>
      <c r="Q241" s="18"/>
      <c r="R241" s="18"/>
      <c r="S241" s="18"/>
      <c r="T241" s="26"/>
    </row>
    <row r="242" spans="1:20" x14ac:dyDescent="0.25">
      <c r="A242" s="81"/>
      <c r="B242" s="118"/>
      <c r="C242" s="45"/>
      <c r="D242" s="70"/>
      <c r="E242" s="72"/>
      <c r="F242" s="70"/>
      <c r="G242" s="70"/>
      <c r="H242" s="70"/>
      <c r="I242" s="70"/>
      <c r="J242" s="76"/>
      <c r="K242" s="154"/>
      <c r="L242" s="63"/>
      <c r="M242" s="65"/>
      <c r="N242" s="158"/>
      <c r="O242" s="95"/>
      <c r="P242" s="18"/>
      <c r="Q242" s="18"/>
      <c r="R242" s="18"/>
      <c r="S242" s="18"/>
      <c r="T242" s="26"/>
    </row>
    <row r="243" spans="1:20" x14ac:dyDescent="0.25">
      <c r="A243" s="81" t="s">
        <v>106</v>
      </c>
      <c r="B243" s="118" t="s">
        <v>97</v>
      </c>
      <c r="C243" s="45" t="s">
        <v>114</v>
      </c>
      <c r="D243" s="70" t="s">
        <v>98</v>
      </c>
      <c r="E243" s="72" t="s">
        <v>19</v>
      </c>
      <c r="F243" s="70">
        <v>1000</v>
      </c>
      <c r="G243" s="70"/>
      <c r="H243" s="70" t="s">
        <v>179</v>
      </c>
      <c r="I243" s="70"/>
      <c r="J243" s="76">
        <f t="shared" si="4"/>
        <v>1000</v>
      </c>
      <c r="K243" s="191" t="s">
        <v>68</v>
      </c>
      <c r="L243" s="63"/>
      <c r="M243" s="65">
        <v>1000</v>
      </c>
      <c r="N243" s="158"/>
      <c r="O243" s="95"/>
      <c r="P243" s="18">
        <v>0</v>
      </c>
      <c r="Q243" s="18">
        <v>0.02</v>
      </c>
      <c r="R243" s="18">
        <v>0.06</v>
      </c>
      <c r="S243" s="18">
        <v>0</v>
      </c>
      <c r="T243" s="26">
        <v>0</v>
      </c>
    </row>
    <row r="244" spans="1:20" x14ac:dyDescent="0.25">
      <c r="A244" s="81" t="s">
        <v>106</v>
      </c>
      <c r="B244" s="118" t="s">
        <v>97</v>
      </c>
      <c r="C244" s="45" t="s">
        <v>114</v>
      </c>
      <c r="D244" s="70" t="s">
        <v>98</v>
      </c>
      <c r="E244" s="72" t="s">
        <v>19</v>
      </c>
      <c r="F244" s="70">
        <v>1000</v>
      </c>
      <c r="G244" s="70"/>
      <c r="H244" s="70" t="s">
        <v>179</v>
      </c>
      <c r="I244" s="70"/>
      <c r="J244" s="76">
        <f t="shared" si="4"/>
        <v>1000</v>
      </c>
      <c r="K244" s="191" t="s">
        <v>71</v>
      </c>
      <c r="L244" s="63"/>
      <c r="M244" s="65">
        <v>1000</v>
      </c>
      <c r="N244" s="158"/>
      <c r="O244" s="95"/>
      <c r="P244" s="18">
        <v>1E-3</v>
      </c>
      <c r="Q244" s="18">
        <v>0.02</v>
      </c>
      <c r="R244" s="18">
        <v>9.6600000000000005E-2</v>
      </c>
      <c r="S244" s="18">
        <v>0</v>
      </c>
      <c r="T244" s="26">
        <v>0</v>
      </c>
    </row>
    <row r="245" spans="1:20" x14ac:dyDescent="0.25">
      <c r="A245" s="81" t="s">
        <v>106</v>
      </c>
      <c r="B245" s="118" t="s">
        <v>97</v>
      </c>
      <c r="C245" s="45" t="s">
        <v>114</v>
      </c>
      <c r="D245" s="70" t="s">
        <v>98</v>
      </c>
      <c r="E245" s="72" t="s">
        <v>19</v>
      </c>
      <c r="F245" s="70">
        <v>1000</v>
      </c>
      <c r="G245" s="70"/>
      <c r="H245" s="70"/>
      <c r="I245" s="70"/>
      <c r="J245" s="76">
        <f t="shared" si="4"/>
        <v>1000</v>
      </c>
      <c r="K245" s="154" t="s">
        <v>72</v>
      </c>
      <c r="L245" s="63"/>
      <c r="M245" s="65">
        <v>1000</v>
      </c>
      <c r="N245" s="158"/>
      <c r="O245" s="95"/>
      <c r="P245" s="18">
        <v>2E-3</v>
      </c>
      <c r="Q245" s="18">
        <v>3.3300000000000003E-2</v>
      </c>
      <c r="R245" s="18">
        <v>0.12659999999999999</v>
      </c>
      <c r="S245" s="18">
        <v>0</v>
      </c>
      <c r="T245" s="26">
        <v>0</v>
      </c>
    </row>
    <row r="246" spans="1:20" x14ac:dyDescent="0.25">
      <c r="A246" s="81" t="s">
        <v>106</v>
      </c>
      <c r="B246" s="118" t="s">
        <v>97</v>
      </c>
      <c r="C246" s="45" t="s">
        <v>114</v>
      </c>
      <c r="D246" s="70" t="s">
        <v>98</v>
      </c>
      <c r="E246" s="72" t="s">
        <v>19</v>
      </c>
      <c r="F246" s="70">
        <v>1000</v>
      </c>
      <c r="G246" s="70"/>
      <c r="H246" s="70" t="s">
        <v>179</v>
      </c>
      <c r="I246" s="70"/>
      <c r="J246" s="76">
        <f t="shared" si="4"/>
        <v>1000</v>
      </c>
      <c r="K246" s="191" t="s">
        <v>73</v>
      </c>
      <c r="L246" s="63"/>
      <c r="M246" s="65">
        <v>1000</v>
      </c>
      <c r="N246" s="158"/>
      <c r="O246" s="95"/>
      <c r="P246" s="18">
        <v>1E-3</v>
      </c>
      <c r="Q246" s="18">
        <v>2.6599999999999999E-2</v>
      </c>
      <c r="R246" s="18">
        <v>0.1</v>
      </c>
      <c r="S246" s="18">
        <v>0</v>
      </c>
      <c r="T246" s="26">
        <v>0</v>
      </c>
    </row>
    <row r="247" spans="1:20" x14ac:dyDescent="0.25">
      <c r="A247" s="81" t="s">
        <v>106</v>
      </c>
      <c r="B247" s="118" t="s">
        <v>97</v>
      </c>
      <c r="C247" s="45" t="s">
        <v>114</v>
      </c>
      <c r="D247" s="70" t="s">
        <v>98</v>
      </c>
      <c r="E247" s="72" t="s">
        <v>19</v>
      </c>
      <c r="F247" s="70">
        <v>1000</v>
      </c>
      <c r="G247" s="70"/>
      <c r="H247" s="70" t="s">
        <v>179</v>
      </c>
      <c r="I247" s="70"/>
      <c r="J247" s="76">
        <f t="shared" si="4"/>
        <v>1000</v>
      </c>
      <c r="K247" s="191" t="s">
        <v>92</v>
      </c>
      <c r="L247" s="63"/>
      <c r="M247" s="65">
        <v>1000</v>
      </c>
      <c r="N247" s="158"/>
      <c r="O247" s="95"/>
      <c r="P247" s="18">
        <v>2E-3</v>
      </c>
      <c r="Q247" s="18">
        <v>2.3300000000000001E-2</v>
      </c>
      <c r="R247" s="18">
        <v>0.08</v>
      </c>
      <c r="S247" s="18">
        <v>0</v>
      </c>
      <c r="T247" s="26">
        <v>0</v>
      </c>
    </row>
    <row r="248" spans="1:20" x14ac:dyDescent="0.25">
      <c r="A248" s="81" t="s">
        <v>106</v>
      </c>
      <c r="B248" s="118" t="s">
        <v>97</v>
      </c>
      <c r="C248" s="45" t="s">
        <v>114</v>
      </c>
      <c r="D248" s="70" t="s">
        <v>98</v>
      </c>
      <c r="E248" s="72" t="s">
        <v>19</v>
      </c>
      <c r="F248" s="70">
        <v>1000</v>
      </c>
      <c r="G248" s="70"/>
      <c r="H248" s="70"/>
      <c r="I248" s="70"/>
      <c r="J248" s="76">
        <f t="shared" si="4"/>
        <v>1000</v>
      </c>
      <c r="K248" s="154" t="s">
        <v>93</v>
      </c>
      <c r="L248" s="63"/>
      <c r="M248" s="65">
        <v>1000</v>
      </c>
      <c r="N248" s="158"/>
      <c r="O248" s="95"/>
      <c r="P248" s="18">
        <v>0</v>
      </c>
      <c r="Q248" s="18">
        <v>0.02</v>
      </c>
      <c r="R248" s="18">
        <v>0.14330000000000001</v>
      </c>
      <c r="S248" s="18">
        <v>0</v>
      </c>
      <c r="T248" s="26">
        <v>0</v>
      </c>
    </row>
    <row r="249" spans="1:20" x14ac:dyDescent="0.25">
      <c r="A249" s="81" t="s">
        <v>106</v>
      </c>
      <c r="B249" s="118" t="s">
        <v>97</v>
      </c>
      <c r="C249" s="45" t="s">
        <v>114</v>
      </c>
      <c r="D249" s="70" t="s">
        <v>98</v>
      </c>
      <c r="E249" s="72" t="s">
        <v>19</v>
      </c>
      <c r="F249" s="70">
        <v>1000</v>
      </c>
      <c r="G249" s="70"/>
      <c r="H249" s="70"/>
      <c r="I249" s="70"/>
      <c r="J249" s="76">
        <f t="shared" si="4"/>
        <v>1000</v>
      </c>
      <c r="K249" s="154" t="s">
        <v>94</v>
      </c>
      <c r="L249" s="63"/>
      <c r="M249" s="65">
        <v>1000</v>
      </c>
      <c r="N249" s="158"/>
      <c r="O249" s="95"/>
      <c r="P249" s="18">
        <v>0</v>
      </c>
      <c r="Q249" s="18">
        <v>2.3300000000000001E-2</v>
      </c>
      <c r="R249" s="18">
        <v>0.1133</v>
      </c>
      <c r="S249" s="18">
        <v>0</v>
      </c>
      <c r="T249" s="26">
        <v>0</v>
      </c>
    </row>
    <row r="250" spans="1:20" x14ac:dyDescent="0.25">
      <c r="A250" s="81" t="s">
        <v>106</v>
      </c>
      <c r="B250" s="118" t="s">
        <v>97</v>
      </c>
      <c r="C250" s="45" t="s">
        <v>114</v>
      </c>
      <c r="D250" s="70" t="s">
        <v>98</v>
      </c>
      <c r="E250" s="72" t="s">
        <v>19</v>
      </c>
      <c r="F250" s="70">
        <v>1000</v>
      </c>
      <c r="G250" s="70"/>
      <c r="H250" s="70"/>
      <c r="I250" s="70"/>
      <c r="J250" s="76">
        <f t="shared" si="4"/>
        <v>1000</v>
      </c>
      <c r="K250" s="154" t="s">
        <v>95</v>
      </c>
      <c r="L250" s="63"/>
      <c r="M250" s="65">
        <v>1000</v>
      </c>
      <c r="N250" s="158"/>
      <c r="O250" s="95"/>
      <c r="P250" s="18">
        <v>2E-3</v>
      </c>
      <c r="Q250" s="18">
        <v>0.03</v>
      </c>
      <c r="R250" s="18">
        <v>9.3299999999999994E-2</v>
      </c>
      <c r="S250" s="18">
        <v>0</v>
      </c>
      <c r="T250" s="26">
        <v>0</v>
      </c>
    </row>
    <row r="251" spans="1:20" x14ac:dyDescent="0.25">
      <c r="A251" s="81" t="s">
        <v>106</v>
      </c>
      <c r="B251" s="118" t="s">
        <v>97</v>
      </c>
      <c r="C251" s="45" t="s">
        <v>114</v>
      </c>
      <c r="D251" s="70" t="s">
        <v>98</v>
      </c>
      <c r="E251" s="72" t="s">
        <v>19</v>
      </c>
      <c r="F251" s="70">
        <v>1000</v>
      </c>
      <c r="G251" s="70"/>
      <c r="H251" s="70" t="s">
        <v>179</v>
      </c>
      <c r="I251" s="70"/>
      <c r="J251" s="76">
        <f t="shared" si="4"/>
        <v>1000</v>
      </c>
      <c r="K251" s="191" t="s">
        <v>120</v>
      </c>
      <c r="L251" s="63"/>
      <c r="M251" s="65">
        <v>1000</v>
      </c>
      <c r="N251" s="158"/>
      <c r="O251" s="95"/>
      <c r="P251" s="18">
        <v>0</v>
      </c>
      <c r="Q251" s="18">
        <v>0.02</v>
      </c>
      <c r="R251" s="18">
        <v>3.3300000000000003E-2</v>
      </c>
      <c r="S251" s="18">
        <v>0</v>
      </c>
      <c r="T251" s="26">
        <v>0</v>
      </c>
    </row>
    <row r="252" spans="1:20" x14ac:dyDescent="0.25">
      <c r="A252" s="81" t="s">
        <v>106</v>
      </c>
      <c r="B252" s="118" t="s">
        <v>97</v>
      </c>
      <c r="C252" s="45" t="s">
        <v>114</v>
      </c>
      <c r="D252" s="70" t="s">
        <v>98</v>
      </c>
      <c r="E252" s="72" t="s">
        <v>19</v>
      </c>
      <c r="F252" s="70">
        <v>1000</v>
      </c>
      <c r="G252" s="70"/>
      <c r="H252" s="70" t="s">
        <v>179</v>
      </c>
      <c r="I252" s="70"/>
      <c r="J252" s="76">
        <f t="shared" si="4"/>
        <v>1000</v>
      </c>
      <c r="K252" s="191" t="s">
        <v>124</v>
      </c>
      <c r="L252" s="63"/>
      <c r="M252" s="65">
        <v>1000</v>
      </c>
      <c r="N252" s="158"/>
      <c r="O252" s="95"/>
      <c r="P252" s="18">
        <v>0</v>
      </c>
      <c r="Q252" s="18">
        <v>0.02</v>
      </c>
      <c r="R252" s="18">
        <v>4.3299999999999998E-2</v>
      </c>
      <c r="S252" s="18">
        <v>0</v>
      </c>
      <c r="T252" s="26">
        <v>0</v>
      </c>
    </row>
    <row r="253" spans="1:20" x14ac:dyDescent="0.25">
      <c r="A253" s="81" t="s">
        <v>106</v>
      </c>
      <c r="B253" s="118" t="s">
        <v>97</v>
      </c>
      <c r="C253" s="45" t="s">
        <v>114</v>
      </c>
      <c r="D253" s="70" t="s">
        <v>98</v>
      </c>
      <c r="E253" s="72" t="s">
        <v>19</v>
      </c>
      <c r="F253" s="70">
        <v>1000</v>
      </c>
      <c r="G253" s="70"/>
      <c r="H253" s="70" t="s">
        <v>179</v>
      </c>
      <c r="I253" s="70"/>
      <c r="J253" s="76">
        <f t="shared" si="4"/>
        <v>1000</v>
      </c>
      <c r="K253" s="191" t="s">
        <v>125</v>
      </c>
      <c r="L253" s="63"/>
      <c r="M253" s="65">
        <v>1000</v>
      </c>
      <c r="N253" s="158"/>
      <c r="O253" s="95"/>
      <c r="P253" s="18">
        <v>1E-3</v>
      </c>
      <c r="Q253" s="18">
        <v>2.3300000000000001E-2</v>
      </c>
      <c r="R253" s="18">
        <v>0.05</v>
      </c>
      <c r="S253" s="18">
        <v>0</v>
      </c>
      <c r="T253" s="26">
        <v>0</v>
      </c>
    </row>
    <row r="254" spans="1:20" x14ac:dyDescent="0.25">
      <c r="A254" s="81" t="s">
        <v>106</v>
      </c>
      <c r="B254" s="118" t="s">
        <v>97</v>
      </c>
      <c r="C254" s="45" t="s">
        <v>114</v>
      </c>
      <c r="D254" s="70" t="s">
        <v>98</v>
      </c>
      <c r="E254" s="72" t="s">
        <v>19</v>
      </c>
      <c r="F254" s="70">
        <v>600</v>
      </c>
      <c r="G254" s="70"/>
      <c r="H254" s="70" t="s">
        <v>179</v>
      </c>
      <c r="I254" s="70"/>
      <c r="J254" s="76">
        <f t="shared" si="4"/>
        <v>600</v>
      </c>
      <c r="K254" s="191" t="s">
        <v>128</v>
      </c>
      <c r="L254" s="63"/>
      <c r="M254" s="65">
        <v>600</v>
      </c>
      <c r="N254" s="158"/>
      <c r="O254" s="95"/>
      <c r="P254" s="18">
        <v>1E-3</v>
      </c>
      <c r="Q254" s="18">
        <v>0.02</v>
      </c>
      <c r="R254" s="18">
        <v>3.3300000000000003E-2</v>
      </c>
      <c r="S254" s="18">
        <v>0</v>
      </c>
      <c r="T254" s="26">
        <v>0</v>
      </c>
    </row>
    <row r="255" spans="1:20" x14ac:dyDescent="0.25">
      <c r="A255" s="81" t="s">
        <v>106</v>
      </c>
      <c r="B255" s="118" t="s">
        <v>97</v>
      </c>
      <c r="C255" s="45" t="s">
        <v>114</v>
      </c>
      <c r="D255" s="70" t="s">
        <v>98</v>
      </c>
      <c r="E255" s="72" t="s">
        <v>19</v>
      </c>
      <c r="F255" s="70">
        <v>400</v>
      </c>
      <c r="G255" s="70"/>
      <c r="H255" s="70" t="s">
        <v>299</v>
      </c>
      <c r="I255" s="70"/>
      <c r="J255" s="76">
        <f t="shared" si="4"/>
        <v>400</v>
      </c>
      <c r="K255" s="154" t="s">
        <v>129</v>
      </c>
      <c r="L255" s="63"/>
      <c r="M255" s="65">
        <v>400</v>
      </c>
      <c r="N255" s="158"/>
      <c r="O255" s="95"/>
      <c r="P255" s="18">
        <v>1E-3</v>
      </c>
      <c r="Q255" s="18">
        <v>0.02</v>
      </c>
      <c r="R255" s="18">
        <v>3.3300000000000003E-2</v>
      </c>
      <c r="S255" s="18">
        <v>0</v>
      </c>
      <c r="T255" s="26">
        <v>0</v>
      </c>
    </row>
    <row r="256" spans="1:20" x14ac:dyDescent="0.25">
      <c r="A256" s="81" t="s">
        <v>106</v>
      </c>
      <c r="B256" s="118" t="s">
        <v>97</v>
      </c>
      <c r="C256" s="45" t="s">
        <v>114</v>
      </c>
      <c r="D256" s="70" t="s">
        <v>98</v>
      </c>
      <c r="E256" s="72" t="s">
        <v>19</v>
      </c>
      <c r="F256" s="70">
        <v>1000</v>
      </c>
      <c r="G256" s="70"/>
      <c r="H256" s="70" t="s">
        <v>295</v>
      </c>
      <c r="I256" s="70"/>
      <c r="J256" s="76">
        <f t="shared" si="4"/>
        <v>1000</v>
      </c>
      <c r="K256" s="154" t="s">
        <v>132</v>
      </c>
      <c r="L256" s="63"/>
      <c r="M256" s="65">
        <v>1000</v>
      </c>
      <c r="N256" s="158"/>
      <c r="O256" s="95"/>
      <c r="P256" s="18">
        <v>0</v>
      </c>
      <c r="Q256" s="18">
        <v>1.66E-2</v>
      </c>
      <c r="R256" s="18">
        <v>3.3300000000000003E-2</v>
      </c>
      <c r="S256" s="18">
        <v>0</v>
      </c>
      <c r="T256" s="26">
        <v>0</v>
      </c>
    </row>
    <row r="257" spans="1:20" x14ac:dyDescent="0.25">
      <c r="A257" s="81" t="s">
        <v>183</v>
      </c>
      <c r="B257" s="118" t="s">
        <v>168</v>
      </c>
      <c r="C257" s="45" t="s">
        <v>181</v>
      </c>
      <c r="D257" s="70" t="s">
        <v>98</v>
      </c>
      <c r="E257" s="72" t="s">
        <v>19</v>
      </c>
      <c r="F257" s="70">
        <v>1000</v>
      </c>
      <c r="G257" s="70"/>
      <c r="H257" s="70"/>
      <c r="I257" s="70"/>
      <c r="J257" s="76">
        <f t="shared" si="4"/>
        <v>1000</v>
      </c>
      <c r="K257" s="154" t="s">
        <v>63</v>
      </c>
      <c r="L257" s="63"/>
      <c r="M257" s="65">
        <v>1000</v>
      </c>
      <c r="N257" s="158"/>
      <c r="O257" s="95"/>
      <c r="P257" s="18">
        <v>0</v>
      </c>
      <c r="Q257" s="18">
        <v>2.3300000000000001E-2</v>
      </c>
      <c r="R257" s="18">
        <v>7.0000000000000007E-2</v>
      </c>
      <c r="S257" s="18">
        <v>0</v>
      </c>
      <c r="T257" s="26">
        <v>0</v>
      </c>
    </row>
    <row r="258" spans="1:20" x14ac:dyDescent="0.25">
      <c r="A258" s="81" t="s">
        <v>183</v>
      </c>
      <c r="B258" s="118" t="s">
        <v>168</v>
      </c>
      <c r="C258" s="45" t="s">
        <v>181</v>
      </c>
      <c r="D258" s="70" t="s">
        <v>98</v>
      </c>
      <c r="E258" s="72" t="s">
        <v>19</v>
      </c>
      <c r="F258" s="70">
        <v>1000</v>
      </c>
      <c r="G258" s="70"/>
      <c r="H258" s="70"/>
      <c r="I258" s="70"/>
      <c r="J258" s="76">
        <f t="shared" si="4"/>
        <v>1000</v>
      </c>
      <c r="K258" s="154" t="s">
        <v>64</v>
      </c>
      <c r="L258" s="63"/>
      <c r="M258" s="65">
        <v>1000</v>
      </c>
      <c r="N258" s="158"/>
      <c r="O258" s="95"/>
      <c r="P258" s="18">
        <v>0</v>
      </c>
      <c r="Q258" s="18">
        <v>0.02</v>
      </c>
      <c r="R258" s="18">
        <v>9.5000000000000001E-2</v>
      </c>
      <c r="S258" s="18">
        <v>0</v>
      </c>
      <c r="T258" s="26">
        <v>0</v>
      </c>
    </row>
    <row r="259" spans="1:20" x14ac:dyDescent="0.25">
      <c r="A259" s="81" t="s">
        <v>183</v>
      </c>
      <c r="B259" s="118" t="s">
        <v>168</v>
      </c>
      <c r="C259" s="45" t="s">
        <v>181</v>
      </c>
      <c r="D259" s="70" t="s">
        <v>98</v>
      </c>
      <c r="E259" s="72" t="s">
        <v>19</v>
      </c>
      <c r="F259" s="70">
        <v>1000</v>
      </c>
      <c r="G259" s="70"/>
      <c r="H259" s="70"/>
      <c r="I259" s="70"/>
      <c r="J259" s="76">
        <f t="shared" si="4"/>
        <v>1000</v>
      </c>
      <c r="K259" s="154" t="s">
        <v>68</v>
      </c>
      <c r="L259" s="63"/>
      <c r="M259" s="65">
        <v>1000</v>
      </c>
      <c r="N259" s="158"/>
      <c r="O259" s="95"/>
      <c r="P259" s="18">
        <v>1E-3</v>
      </c>
      <c r="Q259" s="18">
        <v>0.02</v>
      </c>
      <c r="R259" s="18">
        <v>9.5000000000000001E-2</v>
      </c>
      <c r="S259" s="18">
        <v>0</v>
      </c>
      <c r="T259" s="26">
        <v>0</v>
      </c>
    </row>
    <row r="260" spans="1:20" x14ac:dyDescent="0.25">
      <c r="A260" s="81" t="s">
        <v>183</v>
      </c>
      <c r="B260" s="118" t="s">
        <v>168</v>
      </c>
      <c r="C260" s="45" t="s">
        <v>181</v>
      </c>
      <c r="D260" s="70" t="s">
        <v>98</v>
      </c>
      <c r="E260" s="72" t="s">
        <v>19</v>
      </c>
      <c r="F260" s="70"/>
      <c r="G260" s="70"/>
      <c r="H260" s="70" t="s">
        <v>295</v>
      </c>
      <c r="I260" s="70"/>
      <c r="J260" s="76">
        <f t="shared" si="4"/>
        <v>0</v>
      </c>
      <c r="K260" s="154" t="s">
        <v>69</v>
      </c>
      <c r="L260" s="63"/>
      <c r="M260" s="65"/>
      <c r="N260" s="158"/>
      <c r="O260" s="95"/>
      <c r="P260" s="18">
        <v>1E-3</v>
      </c>
      <c r="Q260" s="18">
        <v>1.4999999999999999E-2</v>
      </c>
      <c r="R260" s="18">
        <v>8.5000000000000006E-2</v>
      </c>
      <c r="S260" s="18">
        <v>0</v>
      </c>
      <c r="T260" s="26">
        <v>0</v>
      </c>
    </row>
    <row r="261" spans="1:20" x14ac:dyDescent="0.25">
      <c r="A261" s="81" t="s">
        <v>194</v>
      </c>
      <c r="B261" s="118" t="s">
        <v>168</v>
      </c>
      <c r="C261" s="45" t="s">
        <v>181</v>
      </c>
      <c r="D261" s="70" t="s">
        <v>98</v>
      </c>
      <c r="E261" s="72" t="s">
        <v>19</v>
      </c>
      <c r="F261" s="70">
        <v>1000</v>
      </c>
      <c r="G261" s="70"/>
      <c r="H261" s="70"/>
      <c r="I261" s="70"/>
      <c r="J261" s="76">
        <f t="shared" si="4"/>
        <v>1000</v>
      </c>
      <c r="K261" s="154" t="s">
        <v>71</v>
      </c>
      <c r="L261" s="63"/>
      <c r="M261" s="65">
        <v>1000</v>
      </c>
      <c r="N261" s="158"/>
      <c r="O261" s="95"/>
      <c r="P261" s="18">
        <v>1E-3</v>
      </c>
      <c r="Q261" s="18">
        <v>1.4999999999999999E-2</v>
      </c>
      <c r="R261" s="18">
        <v>9.5000000000000001E-2</v>
      </c>
      <c r="S261" s="18">
        <v>0</v>
      </c>
      <c r="T261" s="26">
        <v>0</v>
      </c>
    </row>
    <row r="262" spans="1:20" x14ac:dyDescent="0.25">
      <c r="A262" s="81" t="s">
        <v>194</v>
      </c>
      <c r="B262" s="118" t="s">
        <v>168</v>
      </c>
      <c r="C262" s="45" t="s">
        <v>181</v>
      </c>
      <c r="D262" s="70" t="s">
        <v>98</v>
      </c>
      <c r="E262" s="72" t="s">
        <v>19</v>
      </c>
      <c r="F262" s="70">
        <v>1000</v>
      </c>
      <c r="G262" s="70"/>
      <c r="H262" s="70"/>
      <c r="I262" s="70"/>
      <c r="J262" s="76">
        <f t="shared" si="4"/>
        <v>1000</v>
      </c>
      <c r="K262" s="154" t="s">
        <v>72</v>
      </c>
      <c r="L262" s="63"/>
      <c r="M262" s="65">
        <v>1000</v>
      </c>
      <c r="N262" s="158"/>
      <c r="O262" s="95"/>
      <c r="P262" s="18">
        <v>1E-3</v>
      </c>
      <c r="Q262" s="18">
        <v>0.03</v>
      </c>
      <c r="R262" s="18">
        <v>0.1</v>
      </c>
      <c r="S262" s="18">
        <v>0</v>
      </c>
      <c r="T262" s="26">
        <v>0</v>
      </c>
    </row>
    <row r="263" spans="1:20" x14ac:dyDescent="0.25">
      <c r="A263" s="81" t="s">
        <v>194</v>
      </c>
      <c r="B263" s="118" t="s">
        <v>168</v>
      </c>
      <c r="C263" s="45" t="s">
        <v>181</v>
      </c>
      <c r="D263" s="70" t="s">
        <v>98</v>
      </c>
      <c r="E263" s="72" t="s">
        <v>19</v>
      </c>
      <c r="F263" s="70">
        <v>1000</v>
      </c>
      <c r="G263" s="70"/>
      <c r="I263" s="70"/>
      <c r="J263" s="76">
        <f t="shared" si="4"/>
        <v>1000</v>
      </c>
      <c r="K263" s="154" t="s">
        <v>73</v>
      </c>
      <c r="L263" s="63"/>
      <c r="M263" s="65">
        <v>1000</v>
      </c>
      <c r="N263" s="158"/>
      <c r="O263" s="95"/>
      <c r="P263" s="18">
        <v>3.0000000000000001E-3</v>
      </c>
      <c r="Q263" s="18">
        <v>3.5000000000000003E-2</v>
      </c>
      <c r="R263" s="18">
        <v>0.11</v>
      </c>
      <c r="S263" s="18">
        <v>0</v>
      </c>
      <c r="T263" s="26">
        <v>0</v>
      </c>
    </row>
    <row r="264" spans="1:20" x14ac:dyDescent="0.25">
      <c r="A264" s="81" t="s">
        <v>194</v>
      </c>
      <c r="B264" s="118" t="s">
        <v>168</v>
      </c>
      <c r="C264" s="45" t="s">
        <v>181</v>
      </c>
      <c r="D264" s="70" t="s">
        <v>98</v>
      </c>
      <c r="E264" s="72" t="s">
        <v>19</v>
      </c>
      <c r="F264" s="70">
        <v>1000</v>
      </c>
      <c r="G264" s="70"/>
      <c r="H264" s="70"/>
      <c r="I264" s="70"/>
      <c r="J264" s="76">
        <f t="shared" si="4"/>
        <v>1000</v>
      </c>
      <c r="K264" s="154" t="s">
        <v>92</v>
      </c>
      <c r="L264" s="63"/>
      <c r="M264" s="65">
        <v>1000</v>
      </c>
      <c r="N264" s="158"/>
      <c r="O264" s="95"/>
      <c r="P264" s="18">
        <v>3.0000000000000001E-3</v>
      </c>
      <c r="Q264" s="18">
        <v>3.6600000000000001E-2</v>
      </c>
      <c r="R264" s="18">
        <v>0.113</v>
      </c>
      <c r="S264" s="18">
        <v>0</v>
      </c>
      <c r="T264" s="26">
        <v>0</v>
      </c>
    </row>
    <row r="265" spans="1:20" x14ac:dyDescent="0.25">
      <c r="A265" s="81" t="s">
        <v>230</v>
      </c>
      <c r="B265" s="118" t="s">
        <v>168</v>
      </c>
      <c r="C265" s="45" t="s">
        <v>231</v>
      </c>
      <c r="D265" s="70" t="s">
        <v>98</v>
      </c>
      <c r="E265" s="72" t="s">
        <v>19</v>
      </c>
      <c r="F265" s="70">
        <v>1000</v>
      </c>
      <c r="G265" s="70"/>
      <c r="H265" s="70"/>
      <c r="I265" s="70"/>
      <c r="J265" s="76">
        <f t="shared" si="4"/>
        <v>1000</v>
      </c>
      <c r="K265" s="154" t="s">
        <v>63</v>
      </c>
      <c r="L265" s="63"/>
      <c r="M265" s="65"/>
      <c r="N265" s="158">
        <v>1000</v>
      </c>
      <c r="O265" s="95"/>
      <c r="P265" s="18">
        <v>5.0000000000000001E-3</v>
      </c>
      <c r="Q265" s="18">
        <v>0.02</v>
      </c>
      <c r="R265" s="18">
        <v>3.3300000000000003E-2</v>
      </c>
      <c r="S265" s="18">
        <v>0</v>
      </c>
      <c r="T265" s="26">
        <v>0</v>
      </c>
    </row>
    <row r="266" spans="1:20" x14ac:dyDescent="0.25">
      <c r="A266" s="81" t="s">
        <v>230</v>
      </c>
      <c r="B266" s="118" t="s">
        <v>168</v>
      </c>
      <c r="C266" s="45" t="s">
        <v>231</v>
      </c>
      <c r="D266" s="70" t="s">
        <v>98</v>
      </c>
      <c r="E266" s="72" t="s">
        <v>19</v>
      </c>
      <c r="F266" s="70">
        <v>1000</v>
      </c>
      <c r="G266" s="70"/>
      <c r="H266" s="70"/>
      <c r="I266" s="70"/>
      <c r="J266" s="76">
        <f t="shared" si="4"/>
        <v>1000</v>
      </c>
      <c r="K266" s="154" t="s">
        <v>64</v>
      </c>
      <c r="L266" s="63"/>
      <c r="M266" s="65"/>
      <c r="N266" s="158">
        <v>1000</v>
      </c>
      <c r="O266" s="95"/>
      <c r="P266" s="18">
        <v>3.0000000000000001E-3</v>
      </c>
      <c r="Q266" s="18">
        <v>2.6599999999999999E-2</v>
      </c>
      <c r="R266" s="18">
        <v>5.33E-2</v>
      </c>
      <c r="S266" s="18">
        <v>0</v>
      </c>
      <c r="T266" s="26">
        <v>0</v>
      </c>
    </row>
    <row r="267" spans="1:20" x14ac:dyDescent="0.25">
      <c r="A267" s="81" t="s">
        <v>230</v>
      </c>
      <c r="B267" s="118" t="s">
        <v>168</v>
      </c>
      <c r="C267" s="45" t="s">
        <v>231</v>
      </c>
      <c r="D267" s="70" t="s">
        <v>98</v>
      </c>
      <c r="E267" s="72" t="s">
        <v>19</v>
      </c>
      <c r="F267" s="70">
        <v>1000</v>
      </c>
      <c r="G267" s="70"/>
      <c r="H267" s="70"/>
      <c r="I267" s="70"/>
      <c r="J267" s="76">
        <f t="shared" si="4"/>
        <v>1000</v>
      </c>
      <c r="K267" s="154" t="s">
        <v>68</v>
      </c>
      <c r="L267" s="63"/>
      <c r="M267" s="65"/>
      <c r="N267" s="158">
        <v>1000</v>
      </c>
      <c r="O267" s="95"/>
      <c r="P267" s="18">
        <v>7.0000000000000001E-3</v>
      </c>
      <c r="Q267" s="18">
        <v>0.03</v>
      </c>
      <c r="R267" s="18">
        <v>9.3299999999999994E-2</v>
      </c>
      <c r="S267" s="18">
        <v>0</v>
      </c>
      <c r="T267" s="26">
        <v>0</v>
      </c>
    </row>
    <row r="268" spans="1:20" x14ac:dyDescent="0.25">
      <c r="A268" s="81" t="s">
        <v>230</v>
      </c>
      <c r="B268" s="118" t="s">
        <v>168</v>
      </c>
      <c r="C268" s="45" t="s">
        <v>231</v>
      </c>
      <c r="D268" s="70" t="s">
        <v>98</v>
      </c>
      <c r="E268" s="72" t="s">
        <v>19</v>
      </c>
      <c r="F268" s="70">
        <v>1000</v>
      </c>
      <c r="G268" s="70"/>
      <c r="H268" s="70"/>
      <c r="I268" s="70"/>
      <c r="J268" s="76">
        <f t="shared" si="4"/>
        <v>1000</v>
      </c>
      <c r="K268" s="154" t="s">
        <v>69</v>
      </c>
      <c r="L268" s="63"/>
      <c r="M268" s="65"/>
      <c r="N268" s="158">
        <v>1000</v>
      </c>
      <c r="O268" s="95"/>
      <c r="P268" s="18">
        <v>5.0000000000000001E-3</v>
      </c>
      <c r="Q268" s="18">
        <v>0.03</v>
      </c>
      <c r="R268" s="18">
        <v>7.3300000000000004E-2</v>
      </c>
      <c r="S268" s="18">
        <v>0</v>
      </c>
      <c r="T268" s="26">
        <v>0</v>
      </c>
    </row>
    <row r="269" spans="1:20" x14ac:dyDescent="0.25">
      <c r="A269" s="81" t="s">
        <v>230</v>
      </c>
      <c r="B269" s="118" t="s">
        <v>168</v>
      </c>
      <c r="C269" s="45" t="s">
        <v>231</v>
      </c>
      <c r="D269" s="70" t="s">
        <v>98</v>
      </c>
      <c r="E269" s="72" t="s">
        <v>19</v>
      </c>
      <c r="F269" s="70">
        <v>1000</v>
      </c>
      <c r="G269" s="70"/>
      <c r="H269" s="70"/>
      <c r="I269" s="70"/>
      <c r="J269" s="76">
        <f t="shared" si="4"/>
        <v>1000</v>
      </c>
      <c r="K269" s="154" t="s">
        <v>70</v>
      </c>
      <c r="L269" s="63"/>
      <c r="M269" s="65"/>
      <c r="N269" s="158">
        <v>1000</v>
      </c>
      <c r="O269" s="95"/>
      <c r="P269" s="18">
        <v>5.0000000000000001E-3</v>
      </c>
      <c r="Q269" s="18">
        <v>0.05</v>
      </c>
      <c r="R269" s="18">
        <v>8.6599999999999996E-2</v>
      </c>
      <c r="S269" s="18">
        <v>0</v>
      </c>
      <c r="T269" s="26">
        <v>0</v>
      </c>
    </row>
    <row r="270" spans="1:20" x14ac:dyDescent="0.25">
      <c r="A270" s="81" t="s">
        <v>230</v>
      </c>
      <c r="B270" s="118" t="s">
        <v>168</v>
      </c>
      <c r="C270" s="45" t="s">
        <v>231</v>
      </c>
      <c r="D270" s="70" t="s">
        <v>98</v>
      </c>
      <c r="E270" s="72" t="s">
        <v>19</v>
      </c>
      <c r="F270" s="70">
        <v>1000</v>
      </c>
      <c r="G270" s="70"/>
      <c r="H270" s="70"/>
      <c r="I270" s="70"/>
      <c r="J270" s="76">
        <f t="shared" si="4"/>
        <v>1000</v>
      </c>
      <c r="K270" s="154" t="s">
        <v>71</v>
      </c>
      <c r="L270" s="63"/>
      <c r="M270" s="65"/>
      <c r="N270" s="158">
        <v>1000</v>
      </c>
      <c r="O270" s="95"/>
      <c r="P270" s="18">
        <v>8.9999999999999993E-3</v>
      </c>
      <c r="Q270" s="18">
        <v>1.66E-2</v>
      </c>
      <c r="R270" s="18">
        <v>7.0000000000000007E-2</v>
      </c>
      <c r="S270" s="18">
        <v>0</v>
      </c>
      <c r="T270" s="26">
        <v>0</v>
      </c>
    </row>
    <row r="271" spans="1:20" x14ac:dyDescent="0.25">
      <c r="A271" s="81" t="s">
        <v>230</v>
      </c>
      <c r="B271" s="118" t="s">
        <v>168</v>
      </c>
      <c r="C271" s="45" t="s">
        <v>231</v>
      </c>
      <c r="D271" s="70" t="s">
        <v>98</v>
      </c>
      <c r="E271" s="72" t="s">
        <v>19</v>
      </c>
      <c r="F271" s="70">
        <v>1000</v>
      </c>
      <c r="G271" s="70"/>
      <c r="H271" s="70"/>
      <c r="I271" s="70"/>
      <c r="J271" s="76">
        <f t="shared" si="4"/>
        <v>1000</v>
      </c>
      <c r="K271" s="154" t="s">
        <v>72</v>
      </c>
      <c r="L271" s="63"/>
      <c r="M271" s="65"/>
      <c r="N271" s="158">
        <v>1000</v>
      </c>
      <c r="O271" s="95"/>
      <c r="P271" s="18">
        <v>2E-3</v>
      </c>
      <c r="Q271" s="18">
        <v>0.02</v>
      </c>
      <c r="R271" s="18">
        <v>6.6600000000000006E-2</v>
      </c>
      <c r="S271" s="18">
        <v>0</v>
      </c>
      <c r="T271" s="26">
        <v>0</v>
      </c>
    </row>
    <row r="272" spans="1:20" x14ac:dyDescent="0.25">
      <c r="A272" s="81" t="s">
        <v>230</v>
      </c>
      <c r="B272" s="118" t="s">
        <v>168</v>
      </c>
      <c r="C272" s="45" t="s">
        <v>231</v>
      </c>
      <c r="D272" s="70" t="s">
        <v>98</v>
      </c>
      <c r="E272" s="72" t="s">
        <v>19</v>
      </c>
      <c r="F272" s="70">
        <v>1000</v>
      </c>
      <c r="G272" s="70"/>
      <c r="H272" s="70"/>
      <c r="I272" s="70"/>
      <c r="J272" s="76">
        <f t="shared" si="4"/>
        <v>1000</v>
      </c>
      <c r="K272" s="154" t="s">
        <v>73</v>
      </c>
      <c r="L272" s="63"/>
      <c r="M272" s="65"/>
      <c r="N272" s="158">
        <v>1000</v>
      </c>
      <c r="O272" s="95"/>
      <c r="P272" s="18">
        <v>6.0000000000000001E-3</v>
      </c>
      <c r="Q272" s="18">
        <v>0.05</v>
      </c>
      <c r="R272" s="18">
        <v>9.3299999999999994E-2</v>
      </c>
      <c r="S272" s="18">
        <v>0</v>
      </c>
      <c r="T272" s="26">
        <v>0</v>
      </c>
    </row>
    <row r="273" spans="1:20" x14ac:dyDescent="0.25">
      <c r="A273" s="81" t="s">
        <v>230</v>
      </c>
      <c r="B273" s="118" t="s">
        <v>168</v>
      </c>
      <c r="C273" s="45" t="s">
        <v>231</v>
      </c>
      <c r="D273" s="70" t="s">
        <v>98</v>
      </c>
      <c r="E273" s="72" t="s">
        <v>19</v>
      </c>
      <c r="F273" s="70">
        <v>1000</v>
      </c>
      <c r="G273" s="70"/>
      <c r="H273" s="70"/>
      <c r="I273" s="70"/>
      <c r="J273" s="76">
        <f t="shared" si="4"/>
        <v>1000</v>
      </c>
      <c r="K273" s="154" t="s">
        <v>92</v>
      </c>
      <c r="L273" s="63"/>
      <c r="M273" s="65"/>
      <c r="N273" s="158">
        <v>1000</v>
      </c>
      <c r="O273" s="95"/>
      <c r="P273" s="18">
        <v>5.0000000000000001E-3</v>
      </c>
      <c r="Q273" s="18">
        <v>3.6600000000000001E-2</v>
      </c>
      <c r="R273" s="18">
        <v>8.6599999999999996E-2</v>
      </c>
      <c r="S273" s="18">
        <v>0</v>
      </c>
      <c r="T273" s="26">
        <v>0</v>
      </c>
    </row>
    <row r="274" spans="1:20" x14ac:dyDescent="0.25">
      <c r="A274" s="81" t="s">
        <v>230</v>
      </c>
      <c r="B274" s="118" t="s">
        <v>168</v>
      </c>
      <c r="C274" s="45" t="s">
        <v>231</v>
      </c>
      <c r="D274" s="70" t="s">
        <v>98</v>
      </c>
      <c r="E274" s="72" t="s">
        <v>19</v>
      </c>
      <c r="F274" s="70">
        <v>1000</v>
      </c>
      <c r="G274" s="70"/>
      <c r="H274" s="70"/>
      <c r="I274" s="70"/>
      <c r="J274" s="76">
        <f t="shared" si="4"/>
        <v>1000</v>
      </c>
      <c r="K274" s="154" t="s">
        <v>93</v>
      </c>
      <c r="L274" s="63"/>
      <c r="M274" s="65"/>
      <c r="N274" s="158">
        <v>1000</v>
      </c>
      <c r="O274" s="95"/>
      <c r="P274" s="18">
        <v>5.0000000000000001E-3</v>
      </c>
      <c r="Q274" s="18">
        <v>3.3300000000000003E-2</v>
      </c>
      <c r="R274" s="18">
        <v>9.3299999999999994E-2</v>
      </c>
      <c r="S274" s="18">
        <v>0</v>
      </c>
      <c r="T274" s="26">
        <v>0</v>
      </c>
    </row>
    <row r="275" spans="1:20" x14ac:dyDescent="0.25">
      <c r="A275" s="81" t="s">
        <v>230</v>
      </c>
      <c r="B275" s="118" t="s">
        <v>168</v>
      </c>
      <c r="C275" s="45" t="s">
        <v>231</v>
      </c>
      <c r="D275" s="70" t="s">
        <v>98</v>
      </c>
      <c r="E275" s="72" t="s">
        <v>19</v>
      </c>
      <c r="F275" s="70">
        <v>1000</v>
      </c>
      <c r="G275" s="70"/>
      <c r="H275" s="70"/>
      <c r="I275" s="70"/>
      <c r="J275" s="76">
        <f t="shared" si="4"/>
        <v>1000</v>
      </c>
      <c r="K275" s="154" t="s">
        <v>94</v>
      </c>
      <c r="L275" s="63"/>
      <c r="M275" s="65"/>
      <c r="N275" s="158">
        <v>1000</v>
      </c>
      <c r="O275" s="95"/>
      <c r="P275" s="18">
        <v>7.0000000000000001E-3</v>
      </c>
      <c r="Q275" s="18">
        <v>1.66E-2</v>
      </c>
      <c r="R275" s="18">
        <v>9.6600000000000005E-2</v>
      </c>
      <c r="S275" s="18">
        <v>0</v>
      </c>
      <c r="T275" s="26">
        <v>0</v>
      </c>
    </row>
    <row r="276" spans="1:20" x14ac:dyDescent="0.25">
      <c r="A276" s="81" t="s">
        <v>230</v>
      </c>
      <c r="B276" s="118" t="s">
        <v>168</v>
      </c>
      <c r="C276" s="45" t="s">
        <v>231</v>
      </c>
      <c r="D276" s="70" t="s">
        <v>98</v>
      </c>
      <c r="E276" s="72" t="s">
        <v>19</v>
      </c>
      <c r="F276" s="70">
        <v>1000</v>
      </c>
      <c r="G276" s="70"/>
      <c r="H276" s="70"/>
      <c r="I276" s="70"/>
      <c r="J276" s="76">
        <f t="shared" si="4"/>
        <v>1000</v>
      </c>
      <c r="K276" s="154" t="s">
        <v>95</v>
      </c>
      <c r="L276" s="63"/>
      <c r="M276" s="65"/>
      <c r="N276" s="158">
        <v>1000</v>
      </c>
      <c r="O276" s="95"/>
      <c r="P276" s="18">
        <v>4.0000000000000001E-3</v>
      </c>
      <c r="Q276" s="18">
        <v>0.04</v>
      </c>
      <c r="R276" s="18">
        <v>0.06</v>
      </c>
      <c r="S276" s="18">
        <v>0</v>
      </c>
      <c r="T276" s="26">
        <v>0</v>
      </c>
    </row>
    <row r="277" spans="1:20" x14ac:dyDescent="0.25">
      <c r="A277" s="81" t="s">
        <v>230</v>
      </c>
      <c r="B277" s="118" t="s">
        <v>168</v>
      </c>
      <c r="C277" s="45" t="s">
        <v>231</v>
      </c>
      <c r="D277" s="70" t="s">
        <v>98</v>
      </c>
      <c r="E277" s="72" t="s">
        <v>19</v>
      </c>
      <c r="F277" s="70">
        <v>1000</v>
      </c>
      <c r="G277" s="70"/>
      <c r="H277" s="70"/>
      <c r="I277" s="70"/>
      <c r="J277" s="76">
        <f t="shared" si="4"/>
        <v>1000</v>
      </c>
      <c r="K277" s="154" t="s">
        <v>118</v>
      </c>
      <c r="L277" s="63"/>
      <c r="M277" s="65"/>
      <c r="N277" s="158">
        <v>1000</v>
      </c>
      <c r="O277" s="95"/>
      <c r="P277" s="18">
        <v>5.0000000000000001E-3</v>
      </c>
      <c r="Q277" s="18">
        <v>4.3299999999999998E-2</v>
      </c>
      <c r="R277" s="18">
        <v>8.3299999999999999E-2</v>
      </c>
      <c r="S277" s="18">
        <v>0</v>
      </c>
      <c r="T277" s="26">
        <v>0</v>
      </c>
    </row>
    <row r="278" spans="1:20" x14ac:dyDescent="0.25">
      <c r="A278" s="81" t="s">
        <v>230</v>
      </c>
      <c r="B278" s="118" t="s">
        <v>168</v>
      </c>
      <c r="C278" s="45" t="s">
        <v>231</v>
      </c>
      <c r="D278" s="70" t="s">
        <v>98</v>
      </c>
      <c r="E278" s="72" t="s">
        <v>19</v>
      </c>
      <c r="F278" s="70">
        <v>1000</v>
      </c>
      <c r="G278" s="70"/>
      <c r="H278" s="70"/>
      <c r="I278" s="70"/>
      <c r="J278" s="76">
        <f t="shared" si="4"/>
        <v>1000</v>
      </c>
      <c r="K278" s="154" t="s">
        <v>119</v>
      </c>
      <c r="L278" s="63"/>
      <c r="M278" s="65"/>
      <c r="N278" s="158">
        <v>1000</v>
      </c>
      <c r="O278" s="95"/>
      <c r="P278" s="18">
        <v>1.2E-2</v>
      </c>
      <c r="Q278" s="18">
        <v>0.03</v>
      </c>
      <c r="R278" s="18">
        <v>9.3299999999999994E-2</v>
      </c>
      <c r="S278" s="18">
        <v>0</v>
      </c>
      <c r="T278" s="26">
        <v>0</v>
      </c>
    </row>
    <row r="279" spans="1:20" x14ac:dyDescent="0.25">
      <c r="A279" s="81" t="s">
        <v>230</v>
      </c>
      <c r="B279" s="118" t="s">
        <v>168</v>
      </c>
      <c r="C279" s="45" t="s">
        <v>231</v>
      </c>
      <c r="D279" s="70" t="s">
        <v>98</v>
      </c>
      <c r="E279" s="72" t="s">
        <v>19</v>
      </c>
      <c r="F279" s="70">
        <v>1000</v>
      </c>
      <c r="G279" s="70"/>
      <c r="H279" s="70"/>
      <c r="I279" s="70"/>
      <c r="J279" s="76">
        <f t="shared" si="4"/>
        <v>1000</v>
      </c>
      <c r="K279" s="154" t="s">
        <v>120</v>
      </c>
      <c r="L279" s="63"/>
      <c r="M279" s="65"/>
      <c r="N279" s="158">
        <v>1000</v>
      </c>
      <c r="O279" s="95"/>
      <c r="P279" s="18">
        <v>0.01</v>
      </c>
      <c r="Q279" s="18">
        <v>3.3300000000000003E-2</v>
      </c>
      <c r="R279" s="18">
        <v>0.1033</v>
      </c>
      <c r="S279" s="18">
        <v>0</v>
      </c>
      <c r="T279" s="26">
        <v>0</v>
      </c>
    </row>
    <row r="280" spans="1:20" x14ac:dyDescent="0.25">
      <c r="A280" s="81" t="s">
        <v>230</v>
      </c>
      <c r="B280" s="118" t="s">
        <v>168</v>
      </c>
      <c r="C280" s="45" t="s">
        <v>231</v>
      </c>
      <c r="D280" s="70" t="s">
        <v>98</v>
      </c>
      <c r="E280" s="72" t="s">
        <v>19</v>
      </c>
      <c r="F280" s="70">
        <v>1000</v>
      </c>
      <c r="G280" s="70"/>
      <c r="H280" s="70"/>
      <c r="I280" s="70"/>
      <c r="J280" s="76">
        <f t="shared" si="4"/>
        <v>1000</v>
      </c>
      <c r="K280" s="154" t="s">
        <v>124</v>
      </c>
      <c r="L280" s="63"/>
      <c r="M280" s="65"/>
      <c r="N280" s="158">
        <v>1000</v>
      </c>
      <c r="O280" s="95"/>
      <c r="P280" s="18">
        <v>8.0000000000000002E-3</v>
      </c>
      <c r="Q280" s="18">
        <v>4.3299999999999998E-2</v>
      </c>
      <c r="R280" s="18">
        <v>0.1</v>
      </c>
      <c r="S280" s="18">
        <v>0</v>
      </c>
      <c r="T280" s="26">
        <v>0</v>
      </c>
    </row>
    <row r="281" spans="1:20" x14ac:dyDescent="0.25">
      <c r="A281" s="81" t="s">
        <v>230</v>
      </c>
      <c r="B281" s="118" t="s">
        <v>168</v>
      </c>
      <c r="C281" s="45" t="s">
        <v>231</v>
      </c>
      <c r="D281" s="70" t="s">
        <v>98</v>
      </c>
      <c r="E281" s="72" t="s">
        <v>19</v>
      </c>
      <c r="F281" s="70">
        <v>1000</v>
      </c>
      <c r="G281" s="70"/>
      <c r="H281" s="70"/>
      <c r="I281" s="70"/>
      <c r="J281" s="76">
        <f t="shared" si="4"/>
        <v>1000</v>
      </c>
      <c r="K281" s="154" t="s">
        <v>125</v>
      </c>
      <c r="L281" s="63"/>
      <c r="M281" s="65"/>
      <c r="N281" s="158">
        <v>1000</v>
      </c>
      <c r="O281" s="95"/>
      <c r="P281" s="18">
        <v>6.0000000000000001E-3</v>
      </c>
      <c r="Q281" s="18">
        <v>0.04</v>
      </c>
      <c r="R281" s="18">
        <v>8.6599999999999996E-2</v>
      </c>
      <c r="S281" s="18">
        <v>0</v>
      </c>
      <c r="T281" s="26">
        <v>0</v>
      </c>
    </row>
    <row r="282" spans="1:20" x14ac:dyDescent="0.25">
      <c r="A282" s="81" t="s">
        <v>241</v>
      </c>
      <c r="B282" s="118" t="s">
        <v>168</v>
      </c>
      <c r="C282" s="45" t="s">
        <v>242</v>
      </c>
      <c r="D282" s="70" t="s">
        <v>98</v>
      </c>
      <c r="E282" s="72" t="s">
        <v>19</v>
      </c>
      <c r="F282" s="70">
        <v>1000</v>
      </c>
      <c r="G282" s="70"/>
      <c r="H282" s="70"/>
      <c r="I282" s="70"/>
      <c r="J282" s="76">
        <f t="shared" si="4"/>
        <v>1000</v>
      </c>
      <c r="K282" s="154" t="s">
        <v>63</v>
      </c>
      <c r="L282" s="63"/>
      <c r="M282" s="65"/>
      <c r="N282" s="158">
        <v>1000</v>
      </c>
      <c r="O282" s="95"/>
      <c r="P282" s="18">
        <v>4.0000000000000001E-3</v>
      </c>
      <c r="Q282" s="18">
        <v>4.6600000000000003E-2</v>
      </c>
      <c r="R282" s="18">
        <v>9.6600000000000005E-2</v>
      </c>
      <c r="S282" s="18">
        <v>0</v>
      </c>
      <c r="T282" s="26">
        <v>0</v>
      </c>
    </row>
    <row r="283" spans="1:20" x14ac:dyDescent="0.25">
      <c r="A283" s="81" t="s">
        <v>241</v>
      </c>
      <c r="B283" s="118" t="s">
        <v>168</v>
      </c>
      <c r="C283" s="45" t="s">
        <v>242</v>
      </c>
      <c r="D283" s="70" t="s">
        <v>98</v>
      </c>
      <c r="E283" s="72" t="s">
        <v>19</v>
      </c>
      <c r="F283" s="70">
        <v>1000</v>
      </c>
      <c r="G283" s="70"/>
      <c r="H283" s="70"/>
      <c r="I283" s="70"/>
      <c r="J283" s="76">
        <f t="shared" si="4"/>
        <v>1000</v>
      </c>
      <c r="K283" s="154" t="s">
        <v>64</v>
      </c>
      <c r="L283" s="63"/>
      <c r="M283" s="65"/>
      <c r="N283" s="158">
        <v>1000</v>
      </c>
      <c r="O283" s="95"/>
      <c r="P283" s="18">
        <v>3.0000000000000001E-3</v>
      </c>
      <c r="Q283" s="18">
        <v>5.33E-2</v>
      </c>
      <c r="R283" s="18">
        <v>0.1066</v>
      </c>
      <c r="S283" s="18">
        <v>0</v>
      </c>
      <c r="T283" s="26">
        <v>0</v>
      </c>
    </row>
    <row r="284" spans="1:20" x14ac:dyDescent="0.25">
      <c r="A284" s="81" t="s">
        <v>241</v>
      </c>
      <c r="B284" s="118" t="s">
        <v>168</v>
      </c>
      <c r="C284" s="45" t="s">
        <v>242</v>
      </c>
      <c r="D284" s="70" t="s">
        <v>98</v>
      </c>
      <c r="E284" s="72" t="s">
        <v>19</v>
      </c>
      <c r="F284" s="70">
        <v>1000</v>
      </c>
      <c r="G284" s="70"/>
      <c r="H284" s="70"/>
      <c r="I284" s="70"/>
      <c r="J284" s="76">
        <f t="shared" si="4"/>
        <v>1000</v>
      </c>
      <c r="K284" s="154" t="s">
        <v>68</v>
      </c>
      <c r="L284" s="63"/>
      <c r="M284" s="65"/>
      <c r="N284" s="158">
        <v>1000</v>
      </c>
      <c r="O284" s="95"/>
      <c r="P284" s="18">
        <v>4.0000000000000001E-3</v>
      </c>
      <c r="Q284" s="18">
        <v>0.04</v>
      </c>
      <c r="R284" s="18">
        <v>8.6599999999999996E-2</v>
      </c>
      <c r="S284" s="18">
        <v>0</v>
      </c>
      <c r="T284" s="26">
        <v>0</v>
      </c>
    </row>
    <row r="285" spans="1:20" x14ac:dyDescent="0.25">
      <c r="A285" s="81" t="s">
        <v>241</v>
      </c>
      <c r="B285" s="118" t="s">
        <v>168</v>
      </c>
      <c r="C285" s="45" t="s">
        <v>242</v>
      </c>
      <c r="D285" s="70" t="s">
        <v>98</v>
      </c>
      <c r="E285" s="72" t="s">
        <v>19</v>
      </c>
      <c r="F285" s="70">
        <v>1000</v>
      </c>
      <c r="G285" s="70"/>
      <c r="H285" s="70"/>
      <c r="I285" s="70"/>
      <c r="J285" s="76">
        <f t="shared" si="4"/>
        <v>1000</v>
      </c>
      <c r="K285" s="154" t="s">
        <v>69</v>
      </c>
      <c r="L285" s="63"/>
      <c r="M285" s="65"/>
      <c r="N285" s="158">
        <v>1000</v>
      </c>
      <c r="O285" s="95"/>
      <c r="P285" s="18">
        <v>5.0000000000000001E-3</v>
      </c>
      <c r="Q285" s="18">
        <v>3.6600000000000001E-2</v>
      </c>
      <c r="R285" s="18">
        <v>0.1033</v>
      </c>
      <c r="S285" s="18">
        <v>0</v>
      </c>
      <c r="T285" s="26">
        <v>0</v>
      </c>
    </row>
    <row r="286" spans="1:20" x14ac:dyDescent="0.25">
      <c r="A286" s="81" t="s">
        <v>241</v>
      </c>
      <c r="B286" s="118" t="s">
        <v>168</v>
      </c>
      <c r="C286" s="45" t="s">
        <v>242</v>
      </c>
      <c r="D286" s="70" t="s">
        <v>98</v>
      </c>
      <c r="E286" s="72" t="s">
        <v>19</v>
      </c>
      <c r="F286" s="70">
        <v>1000</v>
      </c>
      <c r="G286" s="70"/>
      <c r="H286" s="70"/>
      <c r="I286" s="70"/>
      <c r="J286" s="76">
        <f t="shared" si="4"/>
        <v>1000</v>
      </c>
      <c r="K286" s="154" t="s">
        <v>70</v>
      </c>
      <c r="L286" s="63"/>
      <c r="M286" s="65"/>
      <c r="N286" s="158">
        <v>1000</v>
      </c>
      <c r="O286" s="95"/>
      <c r="P286" s="18">
        <v>6.0000000000000001E-3</v>
      </c>
      <c r="Q286" s="18">
        <v>5.6599999999999998E-2</v>
      </c>
      <c r="R286" s="18">
        <v>8.6599999999999996E-2</v>
      </c>
      <c r="S286" s="18">
        <v>0</v>
      </c>
      <c r="T286" s="26">
        <v>0</v>
      </c>
    </row>
    <row r="287" spans="1:20" x14ac:dyDescent="0.25">
      <c r="A287" s="81" t="s">
        <v>241</v>
      </c>
      <c r="B287" s="118" t="s">
        <v>168</v>
      </c>
      <c r="C287" s="45" t="s">
        <v>242</v>
      </c>
      <c r="D287" s="70" t="s">
        <v>98</v>
      </c>
      <c r="E287" s="72" t="s">
        <v>19</v>
      </c>
      <c r="F287" s="70">
        <v>1000</v>
      </c>
      <c r="G287" s="70"/>
      <c r="H287" s="70"/>
      <c r="I287" s="70"/>
      <c r="J287" s="76">
        <f t="shared" si="4"/>
        <v>1000</v>
      </c>
      <c r="K287" s="154" t="s">
        <v>71</v>
      </c>
      <c r="L287" s="63"/>
      <c r="M287" s="65"/>
      <c r="N287" s="158">
        <v>1000</v>
      </c>
      <c r="O287" s="95"/>
      <c r="P287" s="18">
        <v>5.0000000000000001E-3</v>
      </c>
      <c r="Q287" s="18">
        <v>0.06</v>
      </c>
      <c r="R287" s="18">
        <v>0.1033</v>
      </c>
      <c r="S287" s="18">
        <v>0</v>
      </c>
      <c r="T287" s="26">
        <v>0</v>
      </c>
    </row>
    <row r="288" spans="1:20" x14ac:dyDescent="0.25">
      <c r="A288" s="81" t="s">
        <v>241</v>
      </c>
      <c r="B288" s="118" t="s">
        <v>168</v>
      </c>
      <c r="C288" s="45" t="s">
        <v>242</v>
      </c>
      <c r="D288" s="70" t="s">
        <v>98</v>
      </c>
      <c r="E288" s="72" t="s">
        <v>19</v>
      </c>
      <c r="F288" s="70">
        <v>1000</v>
      </c>
      <c r="G288" s="70"/>
      <c r="H288" s="70"/>
      <c r="I288" s="70"/>
      <c r="J288" s="76">
        <f t="shared" si="4"/>
        <v>1000</v>
      </c>
      <c r="K288" s="154" t="s">
        <v>72</v>
      </c>
      <c r="L288" s="63"/>
      <c r="M288" s="65"/>
      <c r="N288" s="158">
        <v>1000</v>
      </c>
      <c r="O288" s="95"/>
      <c r="P288" s="18">
        <v>7.0000000000000001E-3</v>
      </c>
      <c r="Q288" s="18">
        <v>3.6600000000000001E-2</v>
      </c>
      <c r="R288" s="18">
        <v>8.6599999999999996E-2</v>
      </c>
      <c r="S288" s="18">
        <v>0</v>
      </c>
      <c r="T288" s="26">
        <v>0</v>
      </c>
    </row>
    <row r="289" spans="1:20" x14ac:dyDescent="0.25">
      <c r="A289" s="81" t="s">
        <v>241</v>
      </c>
      <c r="B289" s="118" t="s">
        <v>168</v>
      </c>
      <c r="C289" s="45" t="s">
        <v>242</v>
      </c>
      <c r="D289" s="70" t="s">
        <v>98</v>
      </c>
      <c r="E289" s="72" t="s">
        <v>19</v>
      </c>
      <c r="F289" s="70">
        <v>1000</v>
      </c>
      <c r="G289" s="70"/>
      <c r="H289" s="70"/>
      <c r="I289" s="70"/>
      <c r="J289" s="76">
        <f t="shared" si="4"/>
        <v>1000</v>
      </c>
      <c r="K289" s="154" t="s">
        <v>73</v>
      </c>
      <c r="L289" s="63"/>
      <c r="M289" s="65"/>
      <c r="N289" s="158">
        <v>1000</v>
      </c>
      <c r="O289" s="95"/>
      <c r="P289" s="18">
        <v>6.0000000000000001E-3</v>
      </c>
      <c r="Q289" s="18">
        <v>0.05</v>
      </c>
      <c r="R289" s="18">
        <v>9.6600000000000005E-2</v>
      </c>
      <c r="S289" s="18">
        <v>0</v>
      </c>
      <c r="T289" s="26">
        <v>0</v>
      </c>
    </row>
    <row r="290" spans="1:20" x14ac:dyDescent="0.25">
      <c r="A290" s="81" t="s">
        <v>241</v>
      </c>
      <c r="B290" s="118" t="s">
        <v>168</v>
      </c>
      <c r="C290" s="45" t="s">
        <v>242</v>
      </c>
      <c r="D290" s="70" t="s">
        <v>98</v>
      </c>
      <c r="E290" s="72" t="s">
        <v>19</v>
      </c>
      <c r="F290" s="70">
        <v>1000</v>
      </c>
      <c r="G290" s="70"/>
      <c r="H290" s="70"/>
      <c r="I290" s="70"/>
      <c r="J290" s="76">
        <f t="shared" si="4"/>
        <v>1000</v>
      </c>
      <c r="K290" s="154" t="s">
        <v>92</v>
      </c>
      <c r="L290" s="63"/>
      <c r="M290" s="65"/>
      <c r="N290" s="158">
        <v>1000</v>
      </c>
      <c r="O290" s="95"/>
      <c r="P290" s="18">
        <v>4.0000000000000001E-3</v>
      </c>
      <c r="Q290" s="18">
        <v>4.6600000000000003E-2</v>
      </c>
      <c r="R290" s="18">
        <v>6.6600000000000006E-2</v>
      </c>
      <c r="S290" s="18">
        <v>0</v>
      </c>
      <c r="T290" s="26">
        <v>0</v>
      </c>
    </row>
    <row r="291" spans="1:20" x14ac:dyDescent="0.25">
      <c r="A291" s="81" t="s">
        <v>241</v>
      </c>
      <c r="B291" s="118" t="s">
        <v>168</v>
      </c>
      <c r="C291" s="45" t="s">
        <v>242</v>
      </c>
      <c r="D291" s="70" t="s">
        <v>98</v>
      </c>
      <c r="E291" s="72" t="s">
        <v>19</v>
      </c>
      <c r="F291" s="70">
        <v>1000</v>
      </c>
      <c r="G291" s="70"/>
      <c r="H291" s="70"/>
      <c r="I291" s="70"/>
      <c r="J291" s="76">
        <f t="shared" si="4"/>
        <v>1000</v>
      </c>
      <c r="K291" s="154" t="s">
        <v>93</v>
      </c>
      <c r="L291" s="63"/>
      <c r="M291" s="65"/>
      <c r="N291" s="158">
        <v>1000</v>
      </c>
      <c r="O291" s="95"/>
      <c r="P291" s="18">
        <v>3.0000000000000001E-3</v>
      </c>
      <c r="Q291" s="18">
        <v>0.04</v>
      </c>
      <c r="R291" s="18">
        <v>7.6600000000000001E-2</v>
      </c>
      <c r="S291" s="18">
        <v>0</v>
      </c>
      <c r="T291" s="26">
        <v>0</v>
      </c>
    </row>
    <row r="292" spans="1:20" x14ac:dyDescent="0.25">
      <c r="A292" s="81" t="s">
        <v>241</v>
      </c>
      <c r="B292" s="118" t="s">
        <v>168</v>
      </c>
      <c r="C292" s="45" t="s">
        <v>242</v>
      </c>
      <c r="D292" s="70" t="s">
        <v>98</v>
      </c>
      <c r="E292" s="72" t="s">
        <v>19</v>
      </c>
      <c r="F292" s="70">
        <v>1000</v>
      </c>
      <c r="G292" s="70"/>
      <c r="H292" s="70"/>
      <c r="I292" s="70"/>
      <c r="J292" s="76">
        <f t="shared" si="4"/>
        <v>1000</v>
      </c>
      <c r="K292" s="154" t="s">
        <v>94</v>
      </c>
      <c r="L292" s="63"/>
      <c r="M292" s="65"/>
      <c r="N292" s="158">
        <v>1000</v>
      </c>
      <c r="O292" s="95"/>
      <c r="P292" s="18">
        <v>3.0000000000000001E-3</v>
      </c>
      <c r="Q292" s="18">
        <v>4.6600000000000003E-2</v>
      </c>
      <c r="R292" s="18">
        <v>0.08</v>
      </c>
      <c r="S292" s="18">
        <v>0</v>
      </c>
      <c r="T292" s="26">
        <v>0</v>
      </c>
    </row>
    <row r="293" spans="1:20" x14ac:dyDescent="0.25">
      <c r="A293" s="81" t="s">
        <v>241</v>
      </c>
      <c r="B293" s="118" t="s">
        <v>168</v>
      </c>
      <c r="C293" s="45" t="s">
        <v>242</v>
      </c>
      <c r="D293" s="70" t="s">
        <v>98</v>
      </c>
      <c r="E293" s="72" t="s">
        <v>19</v>
      </c>
      <c r="F293" s="70">
        <v>1000</v>
      </c>
      <c r="G293" s="70"/>
      <c r="H293" s="70"/>
      <c r="I293" s="70"/>
      <c r="J293" s="76">
        <f t="shared" si="4"/>
        <v>1000</v>
      </c>
      <c r="K293" s="154" t="s">
        <v>95</v>
      </c>
      <c r="L293" s="63"/>
      <c r="M293" s="65"/>
      <c r="N293" s="158">
        <v>1000</v>
      </c>
      <c r="O293" s="95"/>
      <c r="P293" s="18">
        <v>3.0000000000000001E-3</v>
      </c>
      <c r="Q293" s="18">
        <v>0.04</v>
      </c>
      <c r="R293" s="18">
        <v>8.3299999999999999E-2</v>
      </c>
      <c r="S293" s="18">
        <v>0</v>
      </c>
      <c r="T293" s="26">
        <v>0</v>
      </c>
    </row>
    <row r="294" spans="1:20" x14ac:dyDescent="0.25">
      <c r="A294" s="81" t="s">
        <v>241</v>
      </c>
      <c r="B294" s="118" t="s">
        <v>168</v>
      </c>
      <c r="C294" s="45" t="s">
        <v>242</v>
      </c>
      <c r="D294" s="70" t="s">
        <v>98</v>
      </c>
      <c r="E294" s="72" t="s">
        <v>19</v>
      </c>
      <c r="F294" s="70">
        <v>1000</v>
      </c>
      <c r="G294" s="70"/>
      <c r="H294" s="70"/>
      <c r="I294" s="70"/>
      <c r="J294" s="76">
        <f t="shared" si="4"/>
        <v>1000</v>
      </c>
      <c r="K294" s="154" t="s">
        <v>118</v>
      </c>
      <c r="L294" s="63"/>
      <c r="M294" s="65"/>
      <c r="N294" s="158">
        <v>1000</v>
      </c>
      <c r="O294" s="95"/>
      <c r="P294" s="18">
        <v>4.0000000000000001E-3</v>
      </c>
      <c r="Q294" s="18">
        <v>4.6600000000000003E-2</v>
      </c>
      <c r="R294" s="18">
        <v>0.1</v>
      </c>
      <c r="S294" s="18">
        <v>0</v>
      </c>
      <c r="T294" s="26">
        <v>0</v>
      </c>
    </row>
    <row r="295" spans="1:20" x14ac:dyDescent="0.25">
      <c r="A295" s="81" t="s">
        <v>241</v>
      </c>
      <c r="B295" s="118" t="s">
        <v>168</v>
      </c>
      <c r="C295" s="45" t="s">
        <v>242</v>
      </c>
      <c r="D295" s="70" t="s">
        <v>98</v>
      </c>
      <c r="E295" s="72" t="s">
        <v>19</v>
      </c>
      <c r="F295" s="70">
        <v>1000</v>
      </c>
      <c r="G295" s="70"/>
      <c r="H295" s="70"/>
      <c r="I295" s="70"/>
      <c r="J295" s="76">
        <f t="shared" si="4"/>
        <v>1000</v>
      </c>
      <c r="K295" s="154" t="s">
        <v>119</v>
      </c>
      <c r="L295" s="63"/>
      <c r="M295" s="65"/>
      <c r="N295" s="158">
        <v>1000</v>
      </c>
      <c r="O295" s="95"/>
      <c r="P295" s="18">
        <v>3.0000000000000001E-3</v>
      </c>
      <c r="Q295" s="18">
        <v>0.02</v>
      </c>
      <c r="R295" s="18">
        <v>7.6600000000000001E-2</v>
      </c>
      <c r="S295" s="18">
        <v>0</v>
      </c>
      <c r="T295" s="26">
        <v>0</v>
      </c>
    </row>
    <row r="296" spans="1:20" x14ac:dyDescent="0.25">
      <c r="A296" s="81" t="s">
        <v>241</v>
      </c>
      <c r="B296" s="118" t="s">
        <v>168</v>
      </c>
      <c r="C296" s="45" t="s">
        <v>242</v>
      </c>
      <c r="D296" s="70" t="s">
        <v>98</v>
      </c>
      <c r="E296" s="72" t="s">
        <v>19</v>
      </c>
      <c r="F296" s="70">
        <v>1000</v>
      </c>
      <c r="G296" s="70"/>
      <c r="H296" s="70"/>
      <c r="I296" s="70"/>
      <c r="J296" s="76">
        <f t="shared" si="4"/>
        <v>1000</v>
      </c>
      <c r="K296" s="154" t="s">
        <v>120</v>
      </c>
      <c r="L296" s="63"/>
      <c r="M296" s="65"/>
      <c r="N296" s="158">
        <v>1000</v>
      </c>
      <c r="O296" s="95"/>
      <c r="P296" s="18">
        <v>5.0000000000000001E-3</v>
      </c>
      <c r="Q296" s="18">
        <v>0.02</v>
      </c>
      <c r="R296" s="18">
        <v>0.06</v>
      </c>
      <c r="S296" s="18">
        <v>0</v>
      </c>
      <c r="T296" s="26">
        <v>0</v>
      </c>
    </row>
    <row r="297" spans="1:20" x14ac:dyDescent="0.25">
      <c r="A297" s="81" t="s">
        <v>241</v>
      </c>
      <c r="B297" s="118" t="s">
        <v>168</v>
      </c>
      <c r="C297" s="45" t="s">
        <v>242</v>
      </c>
      <c r="D297" s="70" t="s">
        <v>98</v>
      </c>
      <c r="E297" s="72" t="s">
        <v>19</v>
      </c>
      <c r="F297" s="70">
        <v>1000</v>
      </c>
      <c r="G297" s="70"/>
      <c r="H297" s="70"/>
      <c r="I297" s="70"/>
      <c r="J297" s="76">
        <f t="shared" si="4"/>
        <v>1000</v>
      </c>
      <c r="K297" s="154" t="s">
        <v>124</v>
      </c>
      <c r="L297" s="63"/>
      <c r="M297" s="65"/>
      <c r="N297" s="158">
        <v>1000</v>
      </c>
      <c r="O297" s="95"/>
      <c r="P297" s="18">
        <v>4.0000000000000001E-3</v>
      </c>
      <c r="Q297" s="18">
        <v>3.3300000000000003E-2</v>
      </c>
      <c r="R297" s="18">
        <v>5.6599999999999998E-2</v>
      </c>
      <c r="S297" s="18">
        <v>0</v>
      </c>
      <c r="T297" s="26">
        <v>0</v>
      </c>
    </row>
    <row r="298" spans="1:20" x14ac:dyDescent="0.25">
      <c r="A298" s="81" t="s">
        <v>241</v>
      </c>
      <c r="B298" s="118" t="s">
        <v>168</v>
      </c>
      <c r="C298" s="45" t="s">
        <v>242</v>
      </c>
      <c r="D298" s="70" t="s">
        <v>98</v>
      </c>
      <c r="E298" s="72" t="s">
        <v>19</v>
      </c>
      <c r="F298" s="70">
        <v>1000</v>
      </c>
      <c r="G298" s="70"/>
      <c r="H298" s="70"/>
      <c r="I298" s="70"/>
      <c r="J298" s="76">
        <f t="shared" si="4"/>
        <v>1000</v>
      </c>
      <c r="K298" s="154" t="s">
        <v>125</v>
      </c>
      <c r="L298" s="63"/>
      <c r="M298" s="65"/>
      <c r="N298" s="158">
        <v>1000</v>
      </c>
      <c r="O298" s="95"/>
      <c r="P298" s="18">
        <v>3.0000000000000001E-3</v>
      </c>
      <c r="Q298" s="18">
        <v>2.6599999999999999E-2</v>
      </c>
      <c r="R298" s="18">
        <v>0.06</v>
      </c>
      <c r="S298" s="18">
        <v>0</v>
      </c>
      <c r="T298" s="26">
        <v>0</v>
      </c>
    </row>
    <row r="299" spans="1:20" x14ac:dyDescent="0.25">
      <c r="A299" s="81" t="s">
        <v>241</v>
      </c>
      <c r="B299" s="118" t="s">
        <v>168</v>
      </c>
      <c r="C299" s="45" t="s">
        <v>242</v>
      </c>
      <c r="D299" s="70" t="s">
        <v>98</v>
      </c>
      <c r="E299" s="72" t="s">
        <v>19</v>
      </c>
      <c r="F299" s="70">
        <v>1000</v>
      </c>
      <c r="G299" s="70"/>
      <c r="H299" s="70"/>
      <c r="I299" s="70"/>
      <c r="J299" s="76">
        <f t="shared" si="4"/>
        <v>1000</v>
      </c>
      <c r="K299" s="154" t="s">
        <v>126</v>
      </c>
      <c r="L299" s="63"/>
      <c r="M299" s="65"/>
      <c r="N299" s="158">
        <v>1000</v>
      </c>
      <c r="O299" s="95"/>
      <c r="P299" s="18">
        <v>5.0000000000000001E-3</v>
      </c>
      <c r="Q299" s="18">
        <v>0.02</v>
      </c>
      <c r="R299" s="18">
        <v>0.06</v>
      </c>
      <c r="S299" s="18">
        <v>0</v>
      </c>
      <c r="T299" s="26">
        <v>0</v>
      </c>
    </row>
    <row r="300" spans="1:20" x14ac:dyDescent="0.25">
      <c r="A300" s="81" t="s">
        <v>241</v>
      </c>
      <c r="B300" s="118" t="s">
        <v>168</v>
      </c>
      <c r="C300" s="45" t="s">
        <v>242</v>
      </c>
      <c r="D300" s="70" t="s">
        <v>98</v>
      </c>
      <c r="E300" s="72" t="s">
        <v>19</v>
      </c>
      <c r="F300" s="70">
        <v>1000</v>
      </c>
      <c r="G300" s="70"/>
      <c r="H300" s="70"/>
      <c r="I300" s="70"/>
      <c r="J300" s="76">
        <f t="shared" si="4"/>
        <v>1000</v>
      </c>
      <c r="K300" s="154" t="s">
        <v>127</v>
      </c>
      <c r="L300" s="63"/>
      <c r="M300" s="65"/>
      <c r="N300" s="158">
        <v>1000</v>
      </c>
      <c r="O300" s="95"/>
      <c r="P300" s="18">
        <v>3.0000000000000001E-3</v>
      </c>
      <c r="Q300" s="18">
        <v>4.3299999999999998E-2</v>
      </c>
      <c r="R300" s="18">
        <v>4.6600000000000003E-2</v>
      </c>
      <c r="S300" s="18">
        <v>0</v>
      </c>
      <c r="T300" s="26">
        <v>0</v>
      </c>
    </row>
    <row r="301" spans="1:20" x14ac:dyDescent="0.25">
      <c r="A301" s="81" t="s">
        <v>241</v>
      </c>
      <c r="B301" s="118" t="s">
        <v>168</v>
      </c>
      <c r="C301" s="45" t="s">
        <v>242</v>
      </c>
      <c r="D301" s="70" t="s">
        <v>98</v>
      </c>
      <c r="E301" s="72" t="s">
        <v>19</v>
      </c>
      <c r="F301" s="70">
        <v>1000</v>
      </c>
      <c r="G301" s="70"/>
      <c r="H301" s="70"/>
      <c r="I301" s="70"/>
      <c r="J301" s="76">
        <f t="shared" si="4"/>
        <v>1000</v>
      </c>
      <c r="K301" s="154" t="s">
        <v>128</v>
      </c>
      <c r="L301" s="63"/>
      <c r="M301" s="65"/>
      <c r="N301" s="158">
        <v>1000</v>
      </c>
      <c r="O301" s="95"/>
      <c r="P301" s="18">
        <v>3.0000000000000001E-3</v>
      </c>
      <c r="Q301" s="18">
        <v>0.02</v>
      </c>
      <c r="R301" s="18">
        <v>8.6599999999999996E-2</v>
      </c>
      <c r="S301" s="18">
        <v>0</v>
      </c>
      <c r="T301" s="26">
        <v>0</v>
      </c>
    </row>
    <row r="302" spans="1:20" x14ac:dyDescent="0.25">
      <c r="A302" s="81" t="s">
        <v>241</v>
      </c>
      <c r="B302" s="118" t="s">
        <v>168</v>
      </c>
      <c r="C302" s="45" t="s">
        <v>242</v>
      </c>
      <c r="D302" s="70" t="s">
        <v>98</v>
      </c>
      <c r="E302" s="72" t="s">
        <v>19</v>
      </c>
      <c r="F302" s="70">
        <v>1000</v>
      </c>
      <c r="G302" s="70"/>
      <c r="H302" s="70"/>
      <c r="I302" s="70"/>
      <c r="J302" s="76">
        <f t="shared" si="4"/>
        <v>1000</v>
      </c>
      <c r="K302" s="154" t="s">
        <v>129</v>
      </c>
      <c r="L302" s="63"/>
      <c r="M302" s="65"/>
      <c r="N302" s="158">
        <v>1000</v>
      </c>
      <c r="O302" s="95"/>
      <c r="P302" s="18">
        <v>4.0000000000000001E-3</v>
      </c>
      <c r="Q302" s="18">
        <v>3.3300000000000003E-2</v>
      </c>
      <c r="R302" s="18">
        <v>0.08</v>
      </c>
      <c r="S302" s="18">
        <v>0</v>
      </c>
      <c r="T302" s="26">
        <v>0</v>
      </c>
    </row>
    <row r="303" spans="1:20" x14ac:dyDescent="0.25">
      <c r="A303" s="81" t="s">
        <v>241</v>
      </c>
      <c r="B303" s="118" t="s">
        <v>168</v>
      </c>
      <c r="C303" s="45" t="s">
        <v>242</v>
      </c>
      <c r="D303" s="70" t="s">
        <v>98</v>
      </c>
      <c r="E303" s="72" t="s">
        <v>19</v>
      </c>
      <c r="F303" s="70">
        <v>1000</v>
      </c>
      <c r="G303" s="70"/>
      <c r="H303" s="70"/>
      <c r="I303" s="70"/>
      <c r="J303" s="76">
        <f t="shared" si="4"/>
        <v>1000</v>
      </c>
      <c r="K303" s="154" t="s">
        <v>255</v>
      </c>
      <c r="L303" s="63"/>
      <c r="M303" s="65"/>
      <c r="N303" s="158">
        <v>1000</v>
      </c>
      <c r="O303" s="95"/>
      <c r="P303" s="18">
        <v>3.0000000000000001E-3</v>
      </c>
      <c r="Q303" s="18">
        <v>4.3299999999999998E-2</v>
      </c>
      <c r="R303" s="18">
        <v>7.0000000000000007E-2</v>
      </c>
      <c r="S303" s="18">
        <v>0</v>
      </c>
      <c r="T303" s="26">
        <v>0</v>
      </c>
    </row>
    <row r="304" spans="1:20" x14ac:dyDescent="0.25">
      <c r="A304" s="81" t="s">
        <v>241</v>
      </c>
      <c r="B304" s="118" t="s">
        <v>168</v>
      </c>
      <c r="C304" s="45" t="s">
        <v>242</v>
      </c>
      <c r="D304" s="70" t="s">
        <v>98</v>
      </c>
      <c r="E304" s="72" t="s">
        <v>19</v>
      </c>
      <c r="F304" s="70">
        <v>1000</v>
      </c>
      <c r="G304" s="70"/>
      <c r="H304" s="70"/>
      <c r="I304" s="70"/>
      <c r="J304" s="76">
        <f t="shared" si="4"/>
        <v>1000</v>
      </c>
      <c r="K304" s="154" t="s">
        <v>257</v>
      </c>
      <c r="L304" s="63"/>
      <c r="M304" s="65"/>
      <c r="N304" s="158">
        <v>1000</v>
      </c>
      <c r="O304" s="95"/>
      <c r="P304" s="18">
        <v>8.0000000000000002E-3</v>
      </c>
      <c r="Q304" s="18">
        <v>4.3299999999999998E-2</v>
      </c>
      <c r="R304" s="18">
        <v>0.06</v>
      </c>
      <c r="S304" s="18">
        <v>0</v>
      </c>
      <c r="T304" s="26">
        <v>0</v>
      </c>
    </row>
    <row r="305" spans="1:20" x14ac:dyDescent="0.25">
      <c r="A305" s="81" t="s">
        <v>241</v>
      </c>
      <c r="B305" s="118" t="s">
        <v>168</v>
      </c>
      <c r="C305" s="45" t="s">
        <v>242</v>
      </c>
      <c r="D305" s="70" t="s">
        <v>98</v>
      </c>
      <c r="E305" s="72" t="s">
        <v>19</v>
      </c>
      <c r="F305" s="70">
        <v>1000</v>
      </c>
      <c r="G305" s="70"/>
      <c r="H305" s="70"/>
      <c r="I305" s="70"/>
      <c r="J305" s="76">
        <f t="shared" si="4"/>
        <v>1000</v>
      </c>
      <c r="K305" s="154" t="s">
        <v>132</v>
      </c>
      <c r="L305" s="63"/>
      <c r="M305" s="65"/>
      <c r="N305" s="158">
        <v>1000</v>
      </c>
      <c r="O305" s="95"/>
      <c r="P305" s="18">
        <v>6.0000000000000001E-3</v>
      </c>
      <c r="Q305" s="18">
        <v>0.05</v>
      </c>
      <c r="R305" s="18">
        <v>5.33E-2</v>
      </c>
      <c r="S305" s="18">
        <v>0</v>
      </c>
      <c r="T305" s="26">
        <v>0</v>
      </c>
    </row>
    <row r="306" spans="1:20" x14ac:dyDescent="0.25">
      <c r="A306" s="81" t="s">
        <v>241</v>
      </c>
      <c r="B306" s="118" t="s">
        <v>168</v>
      </c>
      <c r="C306" s="45" t="s">
        <v>242</v>
      </c>
      <c r="D306" s="70" t="s">
        <v>98</v>
      </c>
      <c r="E306" s="72" t="s">
        <v>19</v>
      </c>
      <c r="F306" s="70">
        <v>1000</v>
      </c>
      <c r="G306" s="70"/>
      <c r="H306" s="70"/>
      <c r="I306" s="70"/>
      <c r="J306" s="76">
        <f t="shared" si="4"/>
        <v>1000</v>
      </c>
      <c r="K306" s="154" t="s">
        <v>258</v>
      </c>
      <c r="L306" s="63"/>
      <c r="M306" s="65"/>
      <c r="N306" s="158">
        <v>1000</v>
      </c>
      <c r="O306" s="95"/>
      <c r="P306" s="18">
        <v>8.0000000000000002E-3</v>
      </c>
      <c r="Q306" s="18">
        <v>4.6600000000000003E-2</v>
      </c>
      <c r="R306" s="18">
        <v>5.6599999999999998E-2</v>
      </c>
      <c r="S306" s="18">
        <v>0</v>
      </c>
      <c r="T306" s="26">
        <v>0</v>
      </c>
    </row>
    <row r="307" spans="1:20" x14ac:dyDescent="0.25">
      <c r="A307" s="81" t="s">
        <v>241</v>
      </c>
      <c r="B307" s="118" t="s">
        <v>168</v>
      </c>
      <c r="C307" s="45" t="s">
        <v>242</v>
      </c>
      <c r="D307" s="70" t="s">
        <v>98</v>
      </c>
      <c r="E307" s="72" t="s">
        <v>19</v>
      </c>
      <c r="F307" s="70">
        <v>1000</v>
      </c>
      <c r="G307" s="70"/>
      <c r="H307" s="70"/>
      <c r="I307" s="70"/>
      <c r="J307" s="76">
        <f t="shared" si="4"/>
        <v>1000</v>
      </c>
      <c r="K307" s="154" t="s">
        <v>259</v>
      </c>
      <c r="L307" s="63"/>
      <c r="M307" s="65"/>
      <c r="N307" s="158">
        <v>1000</v>
      </c>
      <c r="O307" s="95"/>
      <c r="P307" s="18">
        <v>6.0000000000000001E-3</v>
      </c>
      <c r="Q307" s="18">
        <v>4.3299999999999998E-2</v>
      </c>
      <c r="R307" s="18">
        <v>5.33E-2</v>
      </c>
      <c r="S307" s="18">
        <v>0</v>
      </c>
      <c r="T307" s="26">
        <v>0</v>
      </c>
    </row>
    <row r="308" spans="1:20" x14ac:dyDescent="0.25">
      <c r="A308" s="81" t="s">
        <v>241</v>
      </c>
      <c r="B308" s="118" t="s">
        <v>168</v>
      </c>
      <c r="C308" s="45" t="s">
        <v>242</v>
      </c>
      <c r="D308" s="70" t="s">
        <v>98</v>
      </c>
      <c r="E308" s="72" t="s">
        <v>19</v>
      </c>
      <c r="F308" s="70">
        <v>1000</v>
      </c>
      <c r="G308" s="70"/>
      <c r="H308" s="70"/>
      <c r="I308" s="70"/>
      <c r="J308" s="76">
        <f t="shared" si="4"/>
        <v>1000</v>
      </c>
      <c r="K308" s="154" t="s">
        <v>277</v>
      </c>
      <c r="L308" s="63"/>
      <c r="M308" s="65"/>
      <c r="N308" s="158">
        <v>1000</v>
      </c>
      <c r="O308" s="95"/>
      <c r="P308" s="18">
        <v>5.0000000000000001E-3</v>
      </c>
      <c r="Q308" s="18">
        <v>0.05</v>
      </c>
      <c r="R308" s="18">
        <v>7.3300000000000004E-2</v>
      </c>
      <c r="S308" s="18">
        <v>0</v>
      </c>
      <c r="T308" s="26">
        <v>0</v>
      </c>
    </row>
    <row r="309" spans="1:20" x14ac:dyDescent="0.25">
      <c r="A309" s="81" t="s">
        <v>241</v>
      </c>
      <c r="B309" s="118" t="s">
        <v>168</v>
      </c>
      <c r="C309" s="45" t="s">
        <v>242</v>
      </c>
      <c r="D309" s="70" t="s">
        <v>98</v>
      </c>
      <c r="E309" s="72" t="s">
        <v>19</v>
      </c>
      <c r="F309" s="70">
        <v>1000</v>
      </c>
      <c r="G309" s="70"/>
      <c r="H309" s="70"/>
      <c r="I309" s="70"/>
      <c r="J309" s="76">
        <f t="shared" si="4"/>
        <v>1000</v>
      </c>
      <c r="K309" s="154" t="s">
        <v>279</v>
      </c>
      <c r="L309" s="63"/>
      <c r="M309" s="65"/>
      <c r="N309" s="158">
        <v>1000</v>
      </c>
      <c r="O309" s="95"/>
      <c r="P309" s="18">
        <v>3.0000000000000001E-3</v>
      </c>
      <c r="Q309" s="18">
        <v>4.6600000000000003E-2</v>
      </c>
      <c r="R309" s="18">
        <v>5.33E-2</v>
      </c>
      <c r="S309" s="18">
        <v>0</v>
      </c>
      <c r="T309" s="26">
        <v>0</v>
      </c>
    </row>
    <row r="310" spans="1:20" x14ac:dyDescent="0.25">
      <c r="A310" s="81" t="s">
        <v>241</v>
      </c>
      <c r="B310" s="118" t="s">
        <v>168</v>
      </c>
      <c r="C310" s="45" t="s">
        <v>242</v>
      </c>
      <c r="D310" s="70" t="s">
        <v>98</v>
      </c>
      <c r="E310" s="72" t="s">
        <v>19</v>
      </c>
      <c r="F310" s="70">
        <v>1000</v>
      </c>
      <c r="G310" s="70"/>
      <c r="H310" s="70"/>
      <c r="I310" s="70"/>
      <c r="J310" s="76">
        <f t="shared" si="4"/>
        <v>1000</v>
      </c>
      <c r="K310" s="154" t="s">
        <v>280</v>
      </c>
      <c r="L310" s="63"/>
      <c r="M310" s="65"/>
      <c r="N310" s="158">
        <v>1000</v>
      </c>
      <c r="O310" s="95"/>
      <c r="P310" s="18">
        <v>8.0000000000000002E-3</v>
      </c>
      <c r="Q310" s="18">
        <v>0.04</v>
      </c>
      <c r="R310" s="18">
        <v>0.04</v>
      </c>
      <c r="S310" s="18">
        <v>0</v>
      </c>
      <c r="T310" s="26">
        <v>0</v>
      </c>
    </row>
    <row r="311" spans="1:20" x14ac:dyDescent="0.25">
      <c r="A311" s="81" t="s">
        <v>241</v>
      </c>
      <c r="B311" s="118" t="s">
        <v>168</v>
      </c>
      <c r="C311" s="45" t="s">
        <v>242</v>
      </c>
      <c r="D311" s="70" t="s">
        <v>98</v>
      </c>
      <c r="E311" s="72" t="s">
        <v>19</v>
      </c>
      <c r="F311" s="70">
        <v>1000</v>
      </c>
      <c r="G311" s="70"/>
      <c r="H311" s="70"/>
      <c r="I311" s="70"/>
      <c r="J311" s="76">
        <f t="shared" si="4"/>
        <v>1000</v>
      </c>
      <c r="K311" s="154" t="s">
        <v>281</v>
      </c>
      <c r="L311" s="63"/>
      <c r="M311" s="65"/>
      <c r="N311" s="158">
        <v>1000</v>
      </c>
      <c r="O311" s="95"/>
      <c r="P311" s="18">
        <v>6.0000000000000001E-3</v>
      </c>
      <c r="Q311" s="18">
        <v>3.6600000000000001E-2</v>
      </c>
      <c r="R311" s="18">
        <v>5.33E-2</v>
      </c>
      <c r="S311" s="18">
        <v>0</v>
      </c>
      <c r="T311" s="26">
        <v>0</v>
      </c>
    </row>
    <row r="312" spans="1:20" x14ac:dyDescent="0.25">
      <c r="A312" s="81" t="s">
        <v>241</v>
      </c>
      <c r="B312" s="118" t="s">
        <v>168</v>
      </c>
      <c r="C312" s="45" t="s">
        <v>242</v>
      </c>
      <c r="D312" s="70" t="s">
        <v>98</v>
      </c>
      <c r="E312" s="72" t="s">
        <v>19</v>
      </c>
      <c r="F312" s="70">
        <v>1000</v>
      </c>
      <c r="G312" s="70"/>
      <c r="H312" s="70"/>
      <c r="I312" s="70"/>
      <c r="J312" s="76">
        <f t="shared" si="4"/>
        <v>1000</v>
      </c>
      <c r="K312" s="154" t="s">
        <v>282</v>
      </c>
      <c r="L312" s="63"/>
      <c r="M312" s="65"/>
      <c r="N312" s="158">
        <v>1000</v>
      </c>
      <c r="O312" s="95"/>
      <c r="P312" s="18">
        <v>5.0000000000000001E-3</v>
      </c>
      <c r="Q312" s="18">
        <v>4.3299999999999998E-2</v>
      </c>
      <c r="R312" s="18">
        <v>4.3299999999999998E-2</v>
      </c>
      <c r="S312" s="18">
        <v>0</v>
      </c>
      <c r="T312" s="26">
        <v>0</v>
      </c>
    </row>
    <row r="313" spans="1:20" x14ac:dyDescent="0.25">
      <c r="A313" s="81" t="s">
        <v>292</v>
      </c>
      <c r="B313" s="118" t="s">
        <v>168</v>
      </c>
      <c r="C313" s="45" t="s">
        <v>283</v>
      </c>
      <c r="D313" s="70" t="s">
        <v>98</v>
      </c>
      <c r="E313" s="72" t="s">
        <v>19</v>
      </c>
      <c r="F313" s="70">
        <v>1000</v>
      </c>
      <c r="G313" s="70"/>
      <c r="H313" s="70"/>
      <c r="I313" s="70"/>
      <c r="J313" s="76">
        <f t="shared" si="4"/>
        <v>1000</v>
      </c>
      <c r="K313" s="154" t="s">
        <v>63</v>
      </c>
      <c r="L313" s="63"/>
      <c r="M313" s="65">
        <v>1000</v>
      </c>
      <c r="N313" s="158"/>
      <c r="O313" s="95"/>
      <c r="P313" s="18">
        <v>4.0000000000000001E-3</v>
      </c>
      <c r="Q313" s="18">
        <v>0.04</v>
      </c>
      <c r="R313" s="18">
        <v>5.33E-2</v>
      </c>
      <c r="S313" s="18">
        <v>0</v>
      </c>
      <c r="T313" s="26">
        <v>0</v>
      </c>
    </row>
    <row r="314" spans="1:20" x14ac:dyDescent="0.25">
      <c r="A314" s="81" t="s">
        <v>292</v>
      </c>
      <c r="B314" s="118" t="s">
        <v>168</v>
      </c>
      <c r="C314" s="45" t="s">
        <v>283</v>
      </c>
      <c r="D314" s="70" t="s">
        <v>98</v>
      </c>
      <c r="E314" s="72" t="s">
        <v>19</v>
      </c>
      <c r="F314" s="70">
        <v>1000</v>
      </c>
      <c r="G314" s="70"/>
      <c r="H314" s="70"/>
      <c r="I314" s="70"/>
      <c r="J314" s="76">
        <f t="shared" si="4"/>
        <v>1000</v>
      </c>
      <c r="K314" s="154" t="s">
        <v>64</v>
      </c>
      <c r="L314" s="63"/>
      <c r="M314" s="65">
        <v>1000</v>
      </c>
      <c r="N314" s="158"/>
      <c r="O314" s="95"/>
      <c r="P314" s="18">
        <v>4.0000000000000001E-3</v>
      </c>
      <c r="Q314" s="18">
        <v>3.6600000000000001E-2</v>
      </c>
      <c r="R314" s="18">
        <v>4.6600000000000003E-2</v>
      </c>
      <c r="S314" s="18">
        <v>0</v>
      </c>
      <c r="T314" s="26">
        <v>0</v>
      </c>
    </row>
    <row r="315" spans="1:20" x14ac:dyDescent="0.25">
      <c r="A315" s="81" t="s">
        <v>292</v>
      </c>
      <c r="B315" s="118" t="s">
        <v>168</v>
      </c>
      <c r="C315" s="45" t="s">
        <v>283</v>
      </c>
      <c r="D315" s="70" t="s">
        <v>98</v>
      </c>
      <c r="E315" s="72" t="s">
        <v>19</v>
      </c>
      <c r="F315" s="70">
        <v>1000</v>
      </c>
      <c r="G315" s="70"/>
      <c r="H315" s="70"/>
      <c r="I315" s="70"/>
      <c r="J315" s="76">
        <f t="shared" si="4"/>
        <v>1000</v>
      </c>
      <c r="K315" s="154" t="s">
        <v>68</v>
      </c>
      <c r="L315" s="63"/>
      <c r="M315" s="65">
        <v>1000</v>
      </c>
      <c r="N315" s="158"/>
      <c r="O315" s="95"/>
      <c r="P315" s="18">
        <v>4.0000000000000001E-3</v>
      </c>
      <c r="Q315" s="18">
        <v>4.6600000000000003E-2</v>
      </c>
      <c r="R315" s="18">
        <v>7.0000000000000007E-2</v>
      </c>
      <c r="S315" s="18">
        <v>0</v>
      </c>
      <c r="T315" s="26">
        <v>0</v>
      </c>
    </row>
    <row r="316" spans="1:20" x14ac:dyDescent="0.25">
      <c r="A316" s="81" t="s">
        <v>292</v>
      </c>
      <c r="B316" s="118" t="s">
        <v>168</v>
      </c>
      <c r="C316" s="45" t="s">
        <v>283</v>
      </c>
      <c r="D316" s="70" t="s">
        <v>98</v>
      </c>
      <c r="E316" s="72" t="s">
        <v>19</v>
      </c>
      <c r="F316" s="70">
        <v>1000</v>
      </c>
      <c r="G316" s="70"/>
      <c r="H316" s="70"/>
      <c r="I316" s="70"/>
      <c r="J316" s="76">
        <f t="shared" si="4"/>
        <v>1000</v>
      </c>
      <c r="K316" s="154" t="s">
        <v>69</v>
      </c>
      <c r="L316" s="63"/>
      <c r="M316" s="65">
        <v>1000</v>
      </c>
      <c r="N316" s="158"/>
      <c r="O316" s="95"/>
      <c r="P316" s="18">
        <v>4.0000000000000001E-3</v>
      </c>
      <c r="Q316" s="18">
        <v>4.6600000000000003E-2</v>
      </c>
      <c r="R316" s="18">
        <v>7.0000000000000007E-2</v>
      </c>
      <c r="S316" s="18">
        <v>0</v>
      </c>
      <c r="T316" s="26">
        <v>0</v>
      </c>
    </row>
    <row r="317" spans="1:20" x14ac:dyDescent="0.25">
      <c r="A317" s="81" t="s">
        <v>292</v>
      </c>
      <c r="B317" s="118" t="s">
        <v>168</v>
      </c>
      <c r="C317" s="45" t="s">
        <v>283</v>
      </c>
      <c r="D317" s="70" t="s">
        <v>98</v>
      </c>
      <c r="E317" s="72" t="s">
        <v>19</v>
      </c>
      <c r="F317" s="70">
        <v>1000</v>
      </c>
      <c r="G317" s="70"/>
      <c r="H317" s="70"/>
      <c r="I317" s="70"/>
      <c r="J317" s="76">
        <f t="shared" si="4"/>
        <v>1000</v>
      </c>
      <c r="K317" s="154" t="s">
        <v>70</v>
      </c>
      <c r="L317" s="63"/>
      <c r="M317" s="65">
        <v>1000</v>
      </c>
      <c r="N317" s="158"/>
      <c r="O317" s="95"/>
      <c r="P317" s="18">
        <v>6.0000000000000001E-3</v>
      </c>
      <c r="Q317" s="18">
        <v>0.05</v>
      </c>
      <c r="R317" s="18">
        <v>5.6599999999999998E-2</v>
      </c>
      <c r="S317" s="18">
        <v>0</v>
      </c>
      <c r="T317" s="26">
        <v>0</v>
      </c>
    </row>
    <row r="318" spans="1:20" x14ac:dyDescent="0.25">
      <c r="A318" s="81" t="s">
        <v>292</v>
      </c>
      <c r="B318" s="118" t="s">
        <v>168</v>
      </c>
      <c r="C318" s="45" t="s">
        <v>283</v>
      </c>
      <c r="D318" s="70" t="s">
        <v>98</v>
      </c>
      <c r="E318" s="72" t="s">
        <v>19</v>
      </c>
      <c r="F318" s="70">
        <v>1000</v>
      </c>
      <c r="G318" s="70"/>
      <c r="H318" s="70"/>
      <c r="I318" s="70"/>
      <c r="J318" s="76">
        <f t="shared" si="4"/>
        <v>1000</v>
      </c>
      <c r="K318" s="154" t="s">
        <v>71</v>
      </c>
      <c r="L318" s="63"/>
      <c r="M318" s="65">
        <v>1000</v>
      </c>
      <c r="N318" s="158"/>
      <c r="O318" s="95"/>
      <c r="P318" s="18">
        <v>6.0000000000000001E-3</v>
      </c>
      <c r="Q318" s="18">
        <v>0.05</v>
      </c>
      <c r="R318" s="18">
        <v>5.6599999999999998E-2</v>
      </c>
      <c r="S318" s="18">
        <v>0</v>
      </c>
      <c r="T318" s="26">
        <v>0</v>
      </c>
    </row>
    <row r="319" spans="1:20" x14ac:dyDescent="0.25">
      <c r="A319" s="81" t="s">
        <v>292</v>
      </c>
      <c r="B319" s="118" t="s">
        <v>168</v>
      </c>
      <c r="C319" s="45" t="s">
        <v>283</v>
      </c>
      <c r="D319" s="70" t="s">
        <v>98</v>
      </c>
      <c r="E319" s="72" t="s">
        <v>19</v>
      </c>
      <c r="F319" s="70">
        <v>1000</v>
      </c>
      <c r="G319" s="70"/>
      <c r="H319" s="70"/>
      <c r="I319" s="70"/>
      <c r="J319" s="76">
        <f t="shared" si="4"/>
        <v>1000</v>
      </c>
      <c r="K319" s="154" t="s">
        <v>72</v>
      </c>
      <c r="L319" s="63"/>
      <c r="M319" s="65">
        <v>1000</v>
      </c>
      <c r="N319" s="158"/>
      <c r="O319" s="95"/>
      <c r="P319" s="18">
        <v>4.0000000000000001E-3</v>
      </c>
      <c r="Q319" s="18">
        <v>2.3300000000000001E-2</v>
      </c>
      <c r="R319" s="18">
        <v>0.09</v>
      </c>
      <c r="S319" s="18">
        <v>0</v>
      </c>
      <c r="T319" s="26">
        <v>0</v>
      </c>
    </row>
    <row r="320" spans="1:20" x14ac:dyDescent="0.25">
      <c r="A320" s="81" t="s">
        <v>292</v>
      </c>
      <c r="B320" s="118" t="s">
        <v>168</v>
      </c>
      <c r="C320" s="45" t="s">
        <v>283</v>
      </c>
      <c r="D320" s="70" t="s">
        <v>98</v>
      </c>
      <c r="E320" s="72" t="s">
        <v>19</v>
      </c>
      <c r="F320" s="70">
        <v>1000</v>
      </c>
      <c r="G320" s="70"/>
      <c r="H320" s="70"/>
      <c r="I320" s="70"/>
      <c r="J320" s="76">
        <f t="shared" si="4"/>
        <v>1000</v>
      </c>
      <c r="K320" s="154" t="s">
        <v>73</v>
      </c>
      <c r="L320" s="63"/>
      <c r="M320" s="65">
        <v>1000</v>
      </c>
      <c r="N320" s="158"/>
      <c r="O320" s="95"/>
      <c r="P320" s="18">
        <v>5.0000000000000001E-3</v>
      </c>
      <c r="Q320" s="18">
        <v>3.3300000000000003E-2</v>
      </c>
      <c r="R320" s="18">
        <v>0.08</v>
      </c>
      <c r="S320" s="18">
        <v>0</v>
      </c>
      <c r="T320" s="26">
        <v>0</v>
      </c>
    </row>
    <row r="321" spans="1:20" x14ac:dyDescent="0.25">
      <c r="A321" s="81" t="s">
        <v>292</v>
      </c>
      <c r="B321" s="118" t="s">
        <v>168</v>
      </c>
      <c r="C321" s="45" t="s">
        <v>283</v>
      </c>
      <c r="D321" s="70" t="s">
        <v>98</v>
      </c>
      <c r="E321" s="72" t="s">
        <v>19</v>
      </c>
      <c r="F321" s="70">
        <v>1000</v>
      </c>
      <c r="G321" s="70"/>
      <c r="H321" s="70"/>
      <c r="I321" s="70"/>
      <c r="J321" s="76">
        <f t="shared" si="4"/>
        <v>1000</v>
      </c>
      <c r="K321" s="154" t="s">
        <v>92</v>
      </c>
      <c r="L321" s="63"/>
      <c r="M321" s="65">
        <v>1000</v>
      </c>
      <c r="N321" s="158"/>
      <c r="O321" s="95"/>
      <c r="P321" s="18">
        <v>3.0000000000000001E-3</v>
      </c>
      <c r="Q321" s="18">
        <v>0.02</v>
      </c>
      <c r="R321" s="18">
        <v>8.6599999999999996E-2</v>
      </c>
      <c r="S321" s="18">
        <v>0</v>
      </c>
      <c r="T321" s="26">
        <v>0</v>
      </c>
    </row>
    <row r="322" spans="1:20" x14ac:dyDescent="0.25">
      <c r="A322" s="81" t="s">
        <v>292</v>
      </c>
      <c r="B322" s="118" t="s">
        <v>168</v>
      </c>
      <c r="C322" s="45" t="s">
        <v>283</v>
      </c>
      <c r="D322" s="70" t="s">
        <v>98</v>
      </c>
      <c r="E322" s="72" t="s">
        <v>19</v>
      </c>
      <c r="F322" s="70">
        <v>1000</v>
      </c>
      <c r="G322" s="70"/>
      <c r="H322" s="70"/>
      <c r="I322" s="70"/>
      <c r="J322" s="76">
        <f t="shared" si="4"/>
        <v>1000</v>
      </c>
      <c r="K322" s="154" t="s">
        <v>93</v>
      </c>
      <c r="L322" s="63"/>
      <c r="M322" s="65">
        <v>1000</v>
      </c>
      <c r="N322" s="158"/>
      <c r="O322" s="95"/>
      <c r="P322" s="18">
        <v>7.0000000000000001E-3</v>
      </c>
      <c r="Q322" s="18">
        <v>3.3300000000000003E-2</v>
      </c>
      <c r="R322" s="18">
        <v>7.0000000000000007E-2</v>
      </c>
      <c r="S322" s="18">
        <v>0</v>
      </c>
      <c r="T322" s="26">
        <v>0</v>
      </c>
    </row>
    <row r="323" spans="1:20" x14ac:dyDescent="0.25">
      <c r="A323" s="81" t="s">
        <v>292</v>
      </c>
      <c r="B323" s="118" t="s">
        <v>168</v>
      </c>
      <c r="C323" s="45" t="s">
        <v>283</v>
      </c>
      <c r="D323" s="70" t="s">
        <v>98</v>
      </c>
      <c r="E323" s="72" t="s">
        <v>19</v>
      </c>
      <c r="F323" s="70">
        <v>1000</v>
      </c>
      <c r="G323" s="70"/>
      <c r="H323" s="70"/>
      <c r="I323" s="70"/>
      <c r="J323" s="76">
        <f t="shared" si="4"/>
        <v>1000</v>
      </c>
      <c r="K323" s="154" t="s">
        <v>94</v>
      </c>
      <c r="L323" s="63"/>
      <c r="M323" s="65">
        <v>1000</v>
      </c>
      <c r="N323" s="158"/>
      <c r="O323" s="95"/>
      <c r="P323" s="18">
        <v>3.0000000000000001E-3</v>
      </c>
      <c r="Q323" s="18">
        <v>1.66E-2</v>
      </c>
      <c r="R323" s="18">
        <v>6.3299999999999995E-2</v>
      </c>
      <c r="S323" s="18">
        <v>0</v>
      </c>
      <c r="T323" s="26">
        <v>0</v>
      </c>
    </row>
    <row r="324" spans="1:20" x14ac:dyDescent="0.25">
      <c r="A324" s="81" t="s">
        <v>292</v>
      </c>
      <c r="B324" s="118" t="s">
        <v>168</v>
      </c>
      <c r="C324" s="45" t="s">
        <v>283</v>
      </c>
      <c r="D324" s="70" t="s">
        <v>98</v>
      </c>
      <c r="E324" s="72" t="s">
        <v>19</v>
      </c>
      <c r="F324" s="70">
        <v>1000</v>
      </c>
      <c r="G324" s="70"/>
      <c r="H324" s="70"/>
      <c r="I324" s="70"/>
      <c r="J324" s="76">
        <f t="shared" si="4"/>
        <v>1000</v>
      </c>
      <c r="K324" s="154" t="s">
        <v>95</v>
      </c>
      <c r="L324" s="63"/>
      <c r="M324" s="65">
        <v>1000</v>
      </c>
      <c r="N324" s="158"/>
      <c r="O324" s="95"/>
      <c r="P324" s="18">
        <v>5.0000000000000001E-3</v>
      </c>
      <c r="Q324" s="18">
        <v>2.3300000000000001E-2</v>
      </c>
      <c r="R324" s="18">
        <v>5.33E-2</v>
      </c>
      <c r="S324" s="18">
        <v>0</v>
      </c>
      <c r="T324" s="26">
        <v>0</v>
      </c>
    </row>
    <row r="325" spans="1:20" x14ac:dyDescent="0.25">
      <c r="A325" s="81" t="s">
        <v>292</v>
      </c>
      <c r="B325" s="118" t="s">
        <v>168</v>
      </c>
      <c r="C325" s="45" t="s">
        <v>283</v>
      </c>
      <c r="D325" s="70" t="s">
        <v>98</v>
      </c>
      <c r="E325" s="72" t="s">
        <v>19</v>
      </c>
      <c r="F325" s="70">
        <v>1000</v>
      </c>
      <c r="G325" s="70"/>
      <c r="H325" s="70"/>
      <c r="I325" s="70"/>
      <c r="J325" s="76">
        <f t="shared" si="4"/>
        <v>1000</v>
      </c>
      <c r="K325" s="154" t="s">
        <v>118</v>
      </c>
      <c r="L325" s="63"/>
      <c r="M325" s="65">
        <v>1000</v>
      </c>
      <c r="N325" s="158"/>
      <c r="O325" s="95"/>
      <c r="P325" s="18">
        <v>4.0000000000000001E-3</v>
      </c>
      <c r="Q325" s="18">
        <v>2.3300000000000001E-2</v>
      </c>
      <c r="R325" s="18">
        <v>7.3300000000000004E-2</v>
      </c>
      <c r="S325" s="18">
        <v>0</v>
      </c>
      <c r="T325" s="26">
        <v>0</v>
      </c>
    </row>
    <row r="326" spans="1:20" x14ac:dyDescent="0.25">
      <c r="A326" s="81" t="s">
        <v>292</v>
      </c>
      <c r="B326" s="118" t="s">
        <v>168</v>
      </c>
      <c r="C326" s="45" t="s">
        <v>283</v>
      </c>
      <c r="D326" s="70" t="s">
        <v>98</v>
      </c>
      <c r="E326" s="72" t="s">
        <v>19</v>
      </c>
      <c r="F326" s="70">
        <v>1000</v>
      </c>
      <c r="G326" s="70"/>
      <c r="H326" s="70"/>
      <c r="I326" s="70"/>
      <c r="J326" s="76">
        <f t="shared" si="4"/>
        <v>1000</v>
      </c>
      <c r="K326" s="154" t="s">
        <v>119</v>
      </c>
      <c r="L326" s="63"/>
      <c r="M326" s="65">
        <v>1000</v>
      </c>
      <c r="N326" s="158"/>
      <c r="O326" s="95"/>
      <c r="P326" s="18">
        <v>5.0000000000000001E-3</v>
      </c>
      <c r="Q326" s="18">
        <v>5.6599999999999998E-2</v>
      </c>
      <c r="R326" s="18">
        <v>7.6600000000000001E-2</v>
      </c>
      <c r="S326" s="18">
        <v>0</v>
      </c>
      <c r="T326" s="26">
        <v>0</v>
      </c>
    </row>
    <row r="327" spans="1:20" x14ac:dyDescent="0.25">
      <c r="A327" s="81" t="s">
        <v>292</v>
      </c>
      <c r="B327" s="118" t="s">
        <v>168</v>
      </c>
      <c r="C327" s="45" t="s">
        <v>283</v>
      </c>
      <c r="D327" s="70" t="s">
        <v>98</v>
      </c>
      <c r="E327" s="72" t="s">
        <v>19</v>
      </c>
      <c r="F327" s="70">
        <v>1000</v>
      </c>
      <c r="G327" s="70"/>
      <c r="H327" s="70"/>
      <c r="I327" s="70"/>
      <c r="J327" s="76">
        <f t="shared" si="4"/>
        <v>1000</v>
      </c>
      <c r="K327" s="154" t="s">
        <v>120</v>
      </c>
      <c r="L327" s="63"/>
      <c r="M327" s="65">
        <v>1000</v>
      </c>
      <c r="N327" s="158"/>
      <c r="O327" s="95"/>
      <c r="P327" s="18">
        <v>3.0000000000000001E-3</v>
      </c>
      <c r="Q327" s="18">
        <v>3.6600000000000001E-2</v>
      </c>
      <c r="R327" s="18">
        <v>4.6600000000000003E-2</v>
      </c>
      <c r="S327" s="18">
        <v>0</v>
      </c>
      <c r="T327" s="26">
        <v>0</v>
      </c>
    </row>
    <row r="328" spans="1:20" x14ac:dyDescent="0.25">
      <c r="A328" s="81" t="s">
        <v>292</v>
      </c>
      <c r="B328" s="118" t="s">
        <v>168</v>
      </c>
      <c r="C328" s="45" t="s">
        <v>283</v>
      </c>
      <c r="D328" s="70" t="s">
        <v>98</v>
      </c>
      <c r="E328" s="72" t="s">
        <v>19</v>
      </c>
      <c r="F328" s="70">
        <v>1000</v>
      </c>
      <c r="G328" s="70"/>
      <c r="H328" s="70"/>
      <c r="I328" s="70"/>
      <c r="J328" s="76">
        <f t="shared" si="4"/>
        <v>1000</v>
      </c>
      <c r="K328" s="154" t="s">
        <v>124</v>
      </c>
      <c r="L328" s="63"/>
      <c r="M328" s="65">
        <v>1000</v>
      </c>
      <c r="N328" s="158"/>
      <c r="O328" s="95"/>
      <c r="P328" s="18">
        <v>5.0000000000000001E-3</v>
      </c>
      <c r="Q328" s="18">
        <v>3.3300000000000003E-2</v>
      </c>
      <c r="R328" s="18">
        <v>9.3299999999999994E-2</v>
      </c>
      <c r="S328" s="18">
        <v>0</v>
      </c>
      <c r="T328" s="26">
        <v>0</v>
      </c>
    </row>
    <row r="329" spans="1:20" x14ac:dyDescent="0.25">
      <c r="A329" s="81" t="s">
        <v>292</v>
      </c>
      <c r="B329" s="118" t="s">
        <v>168</v>
      </c>
      <c r="C329" s="45" t="s">
        <v>283</v>
      </c>
      <c r="D329" s="70" t="s">
        <v>98</v>
      </c>
      <c r="E329" s="72" t="s">
        <v>19</v>
      </c>
      <c r="F329" s="70">
        <v>1000</v>
      </c>
      <c r="G329" s="70"/>
      <c r="H329" s="70"/>
      <c r="I329" s="70"/>
      <c r="J329" s="76">
        <f t="shared" si="4"/>
        <v>1000</v>
      </c>
      <c r="K329" s="154" t="s">
        <v>125</v>
      </c>
      <c r="L329" s="63"/>
      <c r="M329" s="65">
        <v>1000</v>
      </c>
      <c r="N329" s="158"/>
      <c r="O329" s="95"/>
      <c r="P329" s="18">
        <v>4.0000000000000001E-3</v>
      </c>
      <c r="Q329" s="18">
        <v>2.6599999999999999E-2</v>
      </c>
      <c r="R329" s="18">
        <v>6.6600000000000006E-2</v>
      </c>
      <c r="S329" s="18">
        <v>0</v>
      </c>
      <c r="T329" s="26">
        <v>0</v>
      </c>
    </row>
    <row r="330" spans="1:20" x14ac:dyDescent="0.25">
      <c r="A330" s="81" t="s">
        <v>292</v>
      </c>
      <c r="B330" s="118" t="s">
        <v>168</v>
      </c>
      <c r="C330" s="45" t="s">
        <v>283</v>
      </c>
      <c r="D330" s="70" t="s">
        <v>98</v>
      </c>
      <c r="E330" s="72" t="s">
        <v>19</v>
      </c>
      <c r="F330" s="70">
        <v>620</v>
      </c>
      <c r="G330" s="70"/>
      <c r="H330" s="70"/>
      <c r="I330" s="70"/>
      <c r="J330" s="76">
        <f t="shared" si="4"/>
        <v>620</v>
      </c>
      <c r="K330" s="154" t="s">
        <v>126</v>
      </c>
      <c r="L330" s="63"/>
      <c r="M330" s="65">
        <v>620</v>
      </c>
      <c r="N330" s="158"/>
      <c r="O330" s="95"/>
      <c r="P330" s="18">
        <v>3.0000000000000001E-3</v>
      </c>
      <c r="Q330" s="18">
        <v>0.03</v>
      </c>
      <c r="R330" s="18">
        <v>6.6600000000000006E-2</v>
      </c>
      <c r="S330" s="18">
        <v>0</v>
      </c>
      <c r="T330" s="26">
        <v>0</v>
      </c>
    </row>
    <row r="331" spans="1:20" x14ac:dyDescent="0.25">
      <c r="A331" s="81"/>
      <c r="B331" s="118"/>
      <c r="C331" s="45"/>
      <c r="D331" s="70"/>
      <c r="E331" s="72"/>
      <c r="F331" s="70"/>
      <c r="G331" s="70"/>
      <c r="H331" s="70"/>
      <c r="I331" s="70"/>
      <c r="J331" s="76">
        <f t="shared" si="4"/>
        <v>0</v>
      </c>
      <c r="K331" s="154"/>
      <c r="L331" s="63"/>
      <c r="M331" s="65"/>
      <c r="N331" s="158"/>
      <c r="O331" s="95"/>
      <c r="P331" s="18"/>
      <c r="Q331" s="18"/>
      <c r="R331" s="18"/>
      <c r="S331" s="18"/>
      <c r="T331" s="26"/>
    </row>
    <row r="332" spans="1:20" x14ac:dyDescent="0.25">
      <c r="A332" s="81"/>
      <c r="B332" s="118"/>
      <c r="C332" s="45"/>
      <c r="D332" s="70"/>
      <c r="E332" s="72"/>
      <c r="F332" s="70"/>
      <c r="G332" s="70"/>
      <c r="H332" s="70"/>
      <c r="I332" s="70"/>
      <c r="J332" s="76">
        <f t="shared" si="4"/>
        <v>0</v>
      </c>
      <c r="K332" s="154"/>
      <c r="L332" s="63"/>
      <c r="M332" s="65"/>
      <c r="N332" s="158"/>
      <c r="O332" s="95"/>
      <c r="P332" s="18"/>
      <c r="Q332" s="18"/>
      <c r="R332" s="18"/>
      <c r="S332" s="18"/>
      <c r="T332" s="26"/>
    </row>
    <row r="333" spans="1:20" x14ac:dyDescent="0.25">
      <c r="A333" s="81" t="s">
        <v>194</v>
      </c>
      <c r="B333" s="118" t="s">
        <v>168</v>
      </c>
      <c r="C333" s="45" t="s">
        <v>195</v>
      </c>
      <c r="D333" s="70" t="s">
        <v>98</v>
      </c>
      <c r="E333" s="72" t="s">
        <v>19</v>
      </c>
      <c r="F333" s="70">
        <v>1000</v>
      </c>
      <c r="G333" s="70"/>
      <c r="H333" s="70"/>
      <c r="I333" s="70"/>
      <c r="J333" s="76">
        <f t="shared" si="4"/>
        <v>1000</v>
      </c>
      <c r="K333" s="154" t="s">
        <v>186</v>
      </c>
      <c r="L333" s="63"/>
      <c r="M333" s="65">
        <v>1000</v>
      </c>
      <c r="N333" s="158"/>
      <c r="O333" s="95"/>
      <c r="P333" s="18">
        <v>8.9999999999999993E-3</v>
      </c>
      <c r="Q333" s="18">
        <v>6.3299999999999995E-2</v>
      </c>
      <c r="R333" s="18">
        <v>0.14000000000000001</v>
      </c>
      <c r="S333" s="18"/>
      <c r="T333" s="26"/>
    </row>
    <row r="334" spans="1:20" x14ac:dyDescent="0.25">
      <c r="A334" s="81" t="s">
        <v>194</v>
      </c>
      <c r="B334" s="118" t="s">
        <v>168</v>
      </c>
      <c r="C334" s="45" t="s">
        <v>195</v>
      </c>
      <c r="D334" s="70" t="s">
        <v>98</v>
      </c>
      <c r="E334" s="72" t="s">
        <v>19</v>
      </c>
      <c r="F334" s="70">
        <v>1000</v>
      </c>
      <c r="G334" s="70"/>
      <c r="H334" s="70"/>
      <c r="I334" s="70"/>
      <c r="J334" s="76">
        <f t="shared" si="4"/>
        <v>1000</v>
      </c>
      <c r="K334" s="154" t="s">
        <v>187</v>
      </c>
      <c r="L334" s="63"/>
      <c r="M334" s="65">
        <v>1000</v>
      </c>
      <c r="N334" s="158"/>
      <c r="O334" s="95"/>
      <c r="P334" s="18">
        <v>8.0000000000000002E-3</v>
      </c>
      <c r="Q334" s="18">
        <v>0.05</v>
      </c>
      <c r="R334" s="18">
        <v>0.23</v>
      </c>
      <c r="S334" s="18"/>
      <c r="T334" s="26"/>
    </row>
    <row r="335" spans="1:20" x14ac:dyDescent="0.25">
      <c r="A335" s="81" t="s">
        <v>194</v>
      </c>
      <c r="B335" s="118" t="s">
        <v>168</v>
      </c>
      <c r="C335" s="45" t="s">
        <v>195</v>
      </c>
      <c r="D335" s="70" t="s">
        <v>98</v>
      </c>
      <c r="E335" s="72" t="s">
        <v>19</v>
      </c>
      <c r="F335" s="70">
        <v>1000</v>
      </c>
      <c r="G335" s="70"/>
      <c r="H335" s="70"/>
      <c r="I335" s="70"/>
      <c r="J335" s="76">
        <f t="shared" si="4"/>
        <v>1000</v>
      </c>
      <c r="K335" s="154" t="s">
        <v>83</v>
      </c>
      <c r="L335" s="63"/>
      <c r="M335" s="65">
        <v>1000</v>
      </c>
      <c r="N335" s="158"/>
      <c r="O335" s="95"/>
      <c r="P335" s="18">
        <v>5.0000000000000001E-3</v>
      </c>
      <c r="Q335" s="18">
        <v>5.6599999999999998E-2</v>
      </c>
      <c r="R335" s="18">
        <v>0.13</v>
      </c>
      <c r="S335" s="18"/>
      <c r="T335" s="26"/>
    </row>
    <row r="336" spans="1:20" x14ac:dyDescent="0.25">
      <c r="A336" s="81" t="s">
        <v>194</v>
      </c>
      <c r="B336" s="118" t="s">
        <v>168</v>
      </c>
      <c r="C336" s="45" t="s">
        <v>195</v>
      </c>
      <c r="D336" s="70" t="s">
        <v>98</v>
      </c>
      <c r="E336" s="72" t="s">
        <v>19</v>
      </c>
      <c r="F336" s="70">
        <v>1000</v>
      </c>
      <c r="G336" s="70"/>
      <c r="H336" s="70"/>
      <c r="I336" s="70"/>
      <c r="J336" s="76">
        <f t="shared" si="4"/>
        <v>1000</v>
      </c>
      <c r="K336" s="154" t="s">
        <v>188</v>
      </c>
      <c r="L336" s="63"/>
      <c r="M336" s="65">
        <v>1000</v>
      </c>
      <c r="N336" s="158"/>
      <c r="O336" s="95"/>
      <c r="P336" s="18">
        <v>7.0000000000000001E-3</v>
      </c>
      <c r="Q336" s="18">
        <v>0.05</v>
      </c>
      <c r="R336" s="18">
        <v>0.17660000000000001</v>
      </c>
      <c r="S336" s="18"/>
      <c r="T336" s="26"/>
    </row>
    <row r="337" spans="1:20" x14ac:dyDescent="0.25">
      <c r="A337" s="81" t="s">
        <v>196</v>
      </c>
      <c r="B337" s="118" t="s">
        <v>168</v>
      </c>
      <c r="C337" s="45" t="s">
        <v>195</v>
      </c>
      <c r="D337" s="70" t="s">
        <v>98</v>
      </c>
      <c r="E337" s="72" t="s">
        <v>19</v>
      </c>
      <c r="F337" s="70">
        <v>1000</v>
      </c>
      <c r="G337" s="70"/>
      <c r="H337" s="70"/>
      <c r="I337" s="70"/>
      <c r="J337" s="76">
        <f t="shared" si="4"/>
        <v>1000</v>
      </c>
      <c r="K337" s="154" t="s">
        <v>84</v>
      </c>
      <c r="L337" s="63"/>
      <c r="M337" s="65">
        <v>1000</v>
      </c>
      <c r="N337" s="158"/>
      <c r="O337" s="95"/>
      <c r="P337" s="18">
        <v>0.01</v>
      </c>
      <c r="Q337" s="18">
        <v>5.33E-2</v>
      </c>
      <c r="R337" s="18">
        <v>0.15329999999999999</v>
      </c>
      <c r="S337" s="18"/>
      <c r="T337" s="26"/>
    </row>
    <row r="338" spans="1:20" x14ac:dyDescent="0.25">
      <c r="A338" s="81" t="s">
        <v>196</v>
      </c>
      <c r="B338" s="118" t="s">
        <v>168</v>
      </c>
      <c r="C338" s="45" t="s">
        <v>195</v>
      </c>
      <c r="D338" s="70" t="s">
        <v>98</v>
      </c>
      <c r="E338" s="72" t="s">
        <v>19</v>
      </c>
      <c r="F338" s="70">
        <v>1000</v>
      </c>
      <c r="G338" s="70"/>
      <c r="H338" s="70"/>
      <c r="I338" s="70"/>
      <c r="J338" s="76">
        <f t="shared" si="4"/>
        <v>1000</v>
      </c>
      <c r="K338" s="154" t="s">
        <v>85</v>
      </c>
      <c r="L338" s="63"/>
      <c r="M338" s="65">
        <v>1000</v>
      </c>
      <c r="N338" s="158"/>
      <c r="O338" s="95"/>
      <c r="P338" s="18">
        <v>5.0000000000000001E-3</v>
      </c>
      <c r="Q338" s="18">
        <v>7.3300000000000004E-2</v>
      </c>
      <c r="R338" s="18">
        <v>0.15659999999999999</v>
      </c>
      <c r="S338" s="18"/>
      <c r="T338" s="26"/>
    </row>
    <row r="339" spans="1:20" x14ac:dyDescent="0.25">
      <c r="A339" s="81" t="s">
        <v>196</v>
      </c>
      <c r="B339" s="118" t="s">
        <v>168</v>
      </c>
      <c r="C339" s="45" t="s">
        <v>195</v>
      </c>
      <c r="D339" s="70" t="s">
        <v>98</v>
      </c>
      <c r="E339" s="72" t="s">
        <v>19</v>
      </c>
      <c r="F339" s="70">
        <v>1000</v>
      </c>
      <c r="G339" s="70"/>
      <c r="H339" s="70"/>
      <c r="I339" s="70"/>
      <c r="J339" s="76">
        <f t="shared" si="4"/>
        <v>1000</v>
      </c>
      <c r="K339" s="154" t="s">
        <v>86</v>
      </c>
      <c r="L339" s="63"/>
      <c r="M339" s="65">
        <v>1000</v>
      </c>
      <c r="N339" s="158"/>
      <c r="O339" s="95"/>
      <c r="P339" s="18">
        <v>0.01</v>
      </c>
      <c r="Q339" s="18">
        <v>6.6600000000000006E-2</v>
      </c>
      <c r="R339" s="18">
        <v>0.13</v>
      </c>
      <c r="S339" s="18"/>
      <c r="T339" s="26"/>
    </row>
    <row r="340" spans="1:20" x14ac:dyDescent="0.25">
      <c r="A340" s="81" t="s">
        <v>196</v>
      </c>
      <c r="B340" s="118" t="s">
        <v>168</v>
      </c>
      <c r="C340" s="45" t="s">
        <v>195</v>
      </c>
      <c r="D340" s="70" t="s">
        <v>98</v>
      </c>
      <c r="E340" s="72" t="s">
        <v>19</v>
      </c>
      <c r="F340" s="70">
        <v>1000</v>
      </c>
      <c r="G340" s="70"/>
      <c r="H340" s="70"/>
      <c r="I340" s="70"/>
      <c r="J340" s="76">
        <f t="shared" si="4"/>
        <v>1000</v>
      </c>
      <c r="K340" s="154" t="s">
        <v>87</v>
      </c>
      <c r="L340" s="63"/>
      <c r="M340" s="65">
        <v>1000</v>
      </c>
      <c r="N340" s="158"/>
      <c r="O340" s="95"/>
      <c r="P340" s="18">
        <v>8.9999999999999993E-3</v>
      </c>
      <c r="Q340" s="18">
        <v>7.3300000000000004E-2</v>
      </c>
      <c r="R340" s="18">
        <v>0.15</v>
      </c>
      <c r="S340" s="18"/>
      <c r="T340" s="26"/>
    </row>
    <row r="341" spans="1:20" x14ac:dyDescent="0.25">
      <c r="A341" s="81" t="s">
        <v>213</v>
      </c>
      <c r="B341" s="118" t="s">
        <v>168</v>
      </c>
      <c r="C341" s="45" t="s">
        <v>195</v>
      </c>
      <c r="D341" s="70" t="s">
        <v>98</v>
      </c>
      <c r="E341" s="72" t="s">
        <v>19</v>
      </c>
      <c r="F341" s="70">
        <v>1000</v>
      </c>
      <c r="G341" s="70"/>
      <c r="H341" s="70"/>
      <c r="I341" s="70"/>
      <c r="J341" s="76">
        <f>F341-G341</f>
        <v>1000</v>
      </c>
      <c r="K341" s="154" t="s">
        <v>88</v>
      </c>
      <c r="L341" s="63"/>
      <c r="M341" s="65">
        <v>1000</v>
      </c>
      <c r="N341" s="158"/>
      <c r="O341" s="95"/>
      <c r="P341" s="18">
        <v>1.7000000000000001E-2</v>
      </c>
      <c r="Q341" s="18">
        <v>6.6600000000000006E-2</v>
      </c>
      <c r="R341" s="18">
        <v>0.1966</v>
      </c>
      <c r="S341" s="18"/>
      <c r="T341" s="26"/>
    </row>
    <row r="342" spans="1:20" x14ac:dyDescent="0.25">
      <c r="A342" s="81" t="s">
        <v>213</v>
      </c>
      <c r="B342" s="118" t="s">
        <v>168</v>
      </c>
      <c r="C342" s="45" t="s">
        <v>195</v>
      </c>
      <c r="D342" s="70" t="s">
        <v>98</v>
      </c>
      <c r="E342" s="72" t="s">
        <v>19</v>
      </c>
      <c r="F342" s="70">
        <v>1000</v>
      </c>
      <c r="G342" s="70"/>
      <c r="H342" s="70"/>
      <c r="I342" s="70"/>
      <c r="J342" s="76">
        <f t="shared" ref="J342:J359" si="7">F342-G342</f>
        <v>1000</v>
      </c>
      <c r="K342" s="154" t="s">
        <v>214</v>
      </c>
      <c r="L342" s="63"/>
      <c r="M342" s="65">
        <v>1000</v>
      </c>
      <c r="N342" s="158"/>
      <c r="O342" s="95"/>
      <c r="P342" s="18">
        <v>1.0999999999999999E-2</v>
      </c>
      <c r="Q342" s="18">
        <v>7.0000000000000007E-2</v>
      </c>
      <c r="R342" s="18">
        <v>0.1333</v>
      </c>
      <c r="S342" s="18"/>
      <c r="T342" s="26"/>
    </row>
    <row r="343" spans="1:20" x14ac:dyDescent="0.25">
      <c r="A343" s="81" t="s">
        <v>213</v>
      </c>
      <c r="B343" s="118" t="s">
        <v>168</v>
      </c>
      <c r="C343" s="45" t="s">
        <v>195</v>
      </c>
      <c r="D343" s="70" t="s">
        <v>98</v>
      </c>
      <c r="E343" s="72" t="s">
        <v>19</v>
      </c>
      <c r="F343" s="70">
        <v>1000</v>
      </c>
      <c r="G343" s="70"/>
      <c r="H343" s="70"/>
      <c r="I343" s="70"/>
      <c r="J343" s="76">
        <f t="shared" si="7"/>
        <v>1000</v>
      </c>
      <c r="K343" s="154" t="s">
        <v>89</v>
      </c>
      <c r="L343" s="63"/>
      <c r="M343" s="65">
        <v>1000</v>
      </c>
      <c r="N343" s="158"/>
      <c r="O343" s="95"/>
      <c r="P343" s="18">
        <v>1.2E-2</v>
      </c>
      <c r="Q343" s="18">
        <v>7.3300000000000004E-2</v>
      </c>
      <c r="R343" s="18">
        <v>8.6599999999999996E-2</v>
      </c>
      <c r="S343" s="18"/>
      <c r="T343" s="26"/>
    </row>
    <row r="344" spans="1:20" x14ac:dyDescent="0.25">
      <c r="A344" s="81" t="s">
        <v>213</v>
      </c>
      <c r="B344" s="118" t="s">
        <v>168</v>
      </c>
      <c r="C344" s="45" t="s">
        <v>195</v>
      </c>
      <c r="D344" s="70" t="s">
        <v>98</v>
      </c>
      <c r="E344" s="72" t="s">
        <v>19</v>
      </c>
      <c r="F344" s="70">
        <v>1000</v>
      </c>
      <c r="G344" s="70"/>
      <c r="H344" s="70"/>
      <c r="I344" s="70"/>
      <c r="J344" s="76">
        <f t="shared" si="7"/>
        <v>1000</v>
      </c>
      <c r="K344" s="154" t="s">
        <v>90</v>
      </c>
      <c r="L344" s="63"/>
      <c r="M344" s="65">
        <v>1000</v>
      </c>
      <c r="N344" s="158"/>
      <c r="O344" s="95"/>
      <c r="P344" s="18">
        <v>1.4999999999999999E-2</v>
      </c>
      <c r="Q344" s="18">
        <v>0.08</v>
      </c>
      <c r="R344" s="18">
        <v>7.3300000000000004E-2</v>
      </c>
      <c r="S344" s="18"/>
      <c r="T344" s="26"/>
    </row>
    <row r="345" spans="1:20" x14ac:dyDescent="0.25">
      <c r="A345" s="81" t="s">
        <v>213</v>
      </c>
      <c r="B345" s="118" t="s">
        <v>168</v>
      </c>
      <c r="C345" s="45" t="s">
        <v>195</v>
      </c>
      <c r="D345" s="70" t="s">
        <v>98</v>
      </c>
      <c r="E345" s="72" t="s">
        <v>19</v>
      </c>
      <c r="F345" s="70">
        <v>1000</v>
      </c>
      <c r="G345" s="70"/>
      <c r="H345" s="70"/>
      <c r="I345" s="70"/>
      <c r="J345" s="76">
        <f t="shared" si="7"/>
        <v>1000</v>
      </c>
      <c r="K345" s="154" t="s">
        <v>91</v>
      </c>
      <c r="L345" s="63"/>
      <c r="M345" s="65">
        <v>1000</v>
      </c>
      <c r="N345" s="158"/>
      <c r="O345" s="95"/>
      <c r="P345" s="18">
        <v>1.2999999999999999E-2</v>
      </c>
      <c r="Q345" s="18">
        <v>6.6600000000000006E-2</v>
      </c>
      <c r="R345" s="18">
        <v>8.3299999999999999E-2</v>
      </c>
      <c r="S345" s="18"/>
      <c r="T345" s="26"/>
    </row>
    <row r="346" spans="1:20" x14ac:dyDescent="0.25">
      <c r="A346" s="81" t="s">
        <v>213</v>
      </c>
      <c r="B346" s="118" t="s">
        <v>168</v>
      </c>
      <c r="C346" s="45" t="s">
        <v>195</v>
      </c>
      <c r="D346" s="70" t="s">
        <v>98</v>
      </c>
      <c r="E346" s="72" t="s">
        <v>19</v>
      </c>
      <c r="F346" s="70">
        <v>1000</v>
      </c>
      <c r="G346" s="70"/>
      <c r="H346" s="70"/>
      <c r="I346" s="70"/>
      <c r="J346" s="76">
        <f t="shared" si="7"/>
        <v>1000</v>
      </c>
      <c r="K346" s="154" t="s">
        <v>107</v>
      </c>
      <c r="L346" s="63"/>
      <c r="M346" s="65">
        <v>1000</v>
      </c>
      <c r="N346" s="158"/>
      <c r="O346" s="95"/>
      <c r="P346" s="18">
        <v>8.9999999999999993E-3</v>
      </c>
      <c r="Q346" s="18">
        <v>4.6600000000000003E-2</v>
      </c>
      <c r="R346" s="18">
        <v>0.15329999999999999</v>
      </c>
      <c r="S346" s="18"/>
      <c r="T346" s="26"/>
    </row>
    <row r="347" spans="1:20" x14ac:dyDescent="0.25">
      <c r="A347" s="81" t="s">
        <v>213</v>
      </c>
      <c r="B347" s="118" t="s">
        <v>168</v>
      </c>
      <c r="C347" s="45" t="s">
        <v>195</v>
      </c>
      <c r="D347" s="70" t="s">
        <v>98</v>
      </c>
      <c r="E347" s="72" t="s">
        <v>19</v>
      </c>
      <c r="F347" s="70">
        <v>1000</v>
      </c>
      <c r="G347" s="70"/>
      <c r="H347" s="70"/>
      <c r="I347" s="70"/>
      <c r="J347" s="76">
        <f t="shared" si="7"/>
        <v>1000</v>
      </c>
      <c r="K347" s="154" t="s">
        <v>108</v>
      </c>
      <c r="L347" s="63"/>
      <c r="M347" s="65">
        <v>1000</v>
      </c>
      <c r="N347" s="158"/>
      <c r="O347" s="95"/>
      <c r="P347" s="18">
        <v>6.0000000000000001E-3</v>
      </c>
      <c r="Q347" s="18">
        <v>5.6599999999999998E-2</v>
      </c>
      <c r="R347" s="18">
        <v>0.1133</v>
      </c>
      <c r="S347" s="18"/>
      <c r="T347" s="26"/>
    </row>
    <row r="348" spans="1:20" x14ac:dyDescent="0.25">
      <c r="A348" s="81" t="s">
        <v>213</v>
      </c>
      <c r="B348" s="118" t="s">
        <v>168</v>
      </c>
      <c r="C348" s="45" t="s">
        <v>195</v>
      </c>
      <c r="D348" s="70" t="s">
        <v>98</v>
      </c>
      <c r="E348" s="72" t="s">
        <v>19</v>
      </c>
      <c r="F348" s="70">
        <v>1000</v>
      </c>
      <c r="G348" s="70"/>
      <c r="H348" s="70"/>
      <c r="I348" s="70"/>
      <c r="J348" s="76">
        <f t="shared" si="7"/>
        <v>1000</v>
      </c>
      <c r="K348" s="154" t="s">
        <v>215</v>
      </c>
      <c r="L348" s="63"/>
      <c r="M348" s="65">
        <v>1000</v>
      </c>
      <c r="N348" s="158"/>
      <c r="O348" s="95"/>
      <c r="P348" s="18">
        <v>4.0000000000000001E-3</v>
      </c>
      <c r="Q348" s="18">
        <v>3.6600000000000001E-2</v>
      </c>
      <c r="R348" s="18">
        <v>9.6600000000000005E-2</v>
      </c>
      <c r="S348" s="18"/>
      <c r="T348" s="26"/>
    </row>
    <row r="349" spans="1:20" x14ac:dyDescent="0.25">
      <c r="A349" s="81" t="s">
        <v>213</v>
      </c>
      <c r="B349" s="118" t="s">
        <v>168</v>
      </c>
      <c r="C349" s="45" t="s">
        <v>195</v>
      </c>
      <c r="D349" s="70" t="s">
        <v>98</v>
      </c>
      <c r="E349" s="72" t="s">
        <v>19</v>
      </c>
      <c r="F349" s="70">
        <v>1000</v>
      </c>
      <c r="G349" s="70"/>
      <c r="H349" s="70"/>
      <c r="I349" s="70"/>
      <c r="J349" s="76">
        <f t="shared" si="7"/>
        <v>1000</v>
      </c>
      <c r="K349" s="154" t="s">
        <v>109</v>
      </c>
      <c r="L349" s="63"/>
      <c r="M349" s="65">
        <v>1000</v>
      </c>
      <c r="N349" s="158"/>
      <c r="O349" s="95"/>
      <c r="P349" s="18">
        <v>8.9999999999999993E-3</v>
      </c>
      <c r="Q349" s="18">
        <v>6.3299999999999995E-2</v>
      </c>
      <c r="R349" s="18">
        <v>8.6599999999999996E-2</v>
      </c>
      <c r="S349" s="18"/>
      <c r="T349" s="26"/>
    </row>
    <row r="350" spans="1:20" x14ac:dyDescent="0.25">
      <c r="A350" s="81" t="s">
        <v>216</v>
      </c>
      <c r="B350" s="118" t="s">
        <v>168</v>
      </c>
      <c r="C350" s="45" t="s">
        <v>195</v>
      </c>
      <c r="D350" s="70" t="s">
        <v>98</v>
      </c>
      <c r="E350" s="72" t="s">
        <v>19</v>
      </c>
      <c r="F350" s="70">
        <v>1000</v>
      </c>
      <c r="G350" s="70"/>
      <c r="H350" s="70"/>
      <c r="I350" s="70"/>
      <c r="J350" s="76">
        <f t="shared" si="7"/>
        <v>1000</v>
      </c>
      <c r="K350" s="154" t="s">
        <v>110</v>
      </c>
      <c r="L350" s="63"/>
      <c r="M350" s="65">
        <v>1000</v>
      </c>
      <c r="N350" s="158"/>
      <c r="O350" s="95"/>
      <c r="P350" s="18">
        <v>0.01</v>
      </c>
      <c r="Q350" s="18">
        <v>5.6599999999999998E-2</v>
      </c>
      <c r="R350" s="18">
        <v>0.09</v>
      </c>
      <c r="S350" s="18"/>
      <c r="T350" s="26"/>
    </row>
    <row r="351" spans="1:20" x14ac:dyDescent="0.25">
      <c r="A351" s="81" t="s">
        <v>216</v>
      </c>
      <c r="B351" s="118" t="s">
        <v>168</v>
      </c>
      <c r="C351" s="45" t="s">
        <v>195</v>
      </c>
      <c r="D351" s="70" t="s">
        <v>98</v>
      </c>
      <c r="E351" s="72" t="s">
        <v>19</v>
      </c>
      <c r="F351" s="70">
        <v>1000</v>
      </c>
      <c r="G351" s="70"/>
      <c r="H351" s="70"/>
      <c r="I351" s="70"/>
      <c r="J351" s="76">
        <f t="shared" si="7"/>
        <v>1000</v>
      </c>
      <c r="K351" s="154" t="s">
        <v>156</v>
      </c>
      <c r="L351" s="63"/>
      <c r="M351" s="65">
        <v>1000</v>
      </c>
      <c r="N351" s="158"/>
      <c r="O351" s="95"/>
      <c r="P351" s="18">
        <v>8.0000000000000002E-3</v>
      </c>
      <c r="Q351" s="18">
        <v>6.6600000000000006E-2</v>
      </c>
      <c r="R351" s="18">
        <v>8.6599999999999996E-2</v>
      </c>
      <c r="S351" s="18"/>
      <c r="T351" s="26"/>
    </row>
    <row r="352" spans="1:20" x14ac:dyDescent="0.25">
      <c r="A352" s="81" t="s">
        <v>216</v>
      </c>
      <c r="B352" s="118" t="s">
        <v>168</v>
      </c>
      <c r="C352" s="45" t="s">
        <v>195</v>
      </c>
      <c r="D352" s="70" t="s">
        <v>98</v>
      </c>
      <c r="E352" s="72" t="s">
        <v>19</v>
      </c>
      <c r="F352" s="70">
        <v>1000</v>
      </c>
      <c r="G352" s="70"/>
      <c r="H352" s="70"/>
      <c r="I352" s="70"/>
      <c r="J352" s="76">
        <f t="shared" si="7"/>
        <v>1000</v>
      </c>
      <c r="K352" s="154" t="s">
        <v>111</v>
      </c>
      <c r="L352" s="63"/>
      <c r="M352" s="65">
        <v>1000</v>
      </c>
      <c r="N352" s="158"/>
      <c r="O352" s="95"/>
      <c r="P352" s="18">
        <v>8.0000000000000002E-3</v>
      </c>
      <c r="Q352" s="18">
        <v>5.6599999999999998E-2</v>
      </c>
      <c r="R352" s="18">
        <v>0.1133</v>
      </c>
      <c r="S352" s="18"/>
      <c r="T352" s="26"/>
    </row>
    <row r="353" spans="1:20" x14ac:dyDescent="0.25">
      <c r="A353" s="81" t="s">
        <v>216</v>
      </c>
      <c r="B353" s="118" t="s">
        <v>168</v>
      </c>
      <c r="C353" s="45" t="s">
        <v>195</v>
      </c>
      <c r="D353" s="70" t="s">
        <v>98</v>
      </c>
      <c r="E353" s="72" t="s">
        <v>19</v>
      </c>
      <c r="F353" s="70">
        <v>1000</v>
      </c>
      <c r="G353" s="70"/>
      <c r="H353" s="70"/>
      <c r="I353" s="70"/>
      <c r="J353" s="76">
        <f t="shared" si="7"/>
        <v>1000</v>
      </c>
      <c r="K353" s="154" t="s">
        <v>112</v>
      </c>
      <c r="L353" s="63"/>
      <c r="M353" s="65">
        <v>1000</v>
      </c>
      <c r="N353" s="158"/>
      <c r="O353" s="95"/>
      <c r="P353" s="18">
        <v>7.0000000000000001E-3</v>
      </c>
      <c r="Q353" s="18">
        <v>5.33E-2</v>
      </c>
      <c r="R353" s="18">
        <v>0.12330000000000001</v>
      </c>
      <c r="S353" s="18"/>
      <c r="T353" s="26"/>
    </row>
    <row r="354" spans="1:20" x14ac:dyDescent="0.25">
      <c r="A354" s="81" t="s">
        <v>216</v>
      </c>
      <c r="B354" s="118" t="s">
        <v>168</v>
      </c>
      <c r="C354" s="45" t="s">
        <v>195</v>
      </c>
      <c r="D354" s="70" t="s">
        <v>98</v>
      </c>
      <c r="E354" s="72" t="s">
        <v>19</v>
      </c>
      <c r="F354" s="70">
        <v>1000</v>
      </c>
      <c r="G354" s="70"/>
      <c r="H354" s="70"/>
      <c r="I354" s="70"/>
      <c r="J354" s="76">
        <f t="shared" si="7"/>
        <v>1000</v>
      </c>
      <c r="K354" s="154" t="s">
        <v>191</v>
      </c>
      <c r="L354" s="63"/>
      <c r="M354" s="65">
        <v>1000</v>
      </c>
      <c r="N354" s="158"/>
      <c r="O354" s="95"/>
      <c r="P354" s="18">
        <v>1.6E-2</v>
      </c>
      <c r="Q354" s="18">
        <v>0.08</v>
      </c>
      <c r="R354" s="18">
        <v>0.17330000000000001</v>
      </c>
      <c r="S354" s="18"/>
      <c r="T354" s="26"/>
    </row>
    <row r="355" spans="1:20" x14ac:dyDescent="0.25">
      <c r="A355" s="81" t="s">
        <v>216</v>
      </c>
      <c r="B355" s="118" t="s">
        <v>168</v>
      </c>
      <c r="C355" s="45" t="s">
        <v>195</v>
      </c>
      <c r="D355" s="70" t="s">
        <v>98</v>
      </c>
      <c r="E355" s="72" t="s">
        <v>19</v>
      </c>
      <c r="F355" s="70">
        <v>1000</v>
      </c>
      <c r="G355" s="70"/>
      <c r="H355" s="70"/>
      <c r="I355" s="70"/>
      <c r="J355" s="76">
        <f t="shared" si="7"/>
        <v>1000</v>
      </c>
      <c r="K355" s="154" t="s">
        <v>192</v>
      </c>
      <c r="L355" s="63"/>
      <c r="M355" s="65">
        <v>1000</v>
      </c>
      <c r="N355" s="158"/>
      <c r="O355" s="95"/>
      <c r="P355" s="18">
        <v>1.4E-2</v>
      </c>
      <c r="Q355" s="18">
        <v>6.6600000000000006E-2</v>
      </c>
      <c r="R355" s="18">
        <v>0.1366</v>
      </c>
      <c r="S355" s="18"/>
      <c r="T355" s="26"/>
    </row>
    <row r="356" spans="1:20" x14ac:dyDescent="0.25">
      <c r="A356" s="81" t="s">
        <v>216</v>
      </c>
      <c r="B356" s="118" t="s">
        <v>168</v>
      </c>
      <c r="C356" s="45" t="s">
        <v>195</v>
      </c>
      <c r="D356" s="70" t="s">
        <v>98</v>
      </c>
      <c r="E356" s="72" t="s">
        <v>19</v>
      </c>
      <c r="F356" s="70">
        <v>1000</v>
      </c>
      <c r="G356" s="70"/>
      <c r="H356" s="70"/>
      <c r="I356" s="70"/>
      <c r="J356" s="76">
        <f t="shared" si="7"/>
        <v>1000</v>
      </c>
      <c r="K356" s="154" t="s">
        <v>122</v>
      </c>
      <c r="L356" s="63"/>
      <c r="M356" s="65">
        <v>1000</v>
      </c>
      <c r="N356" s="158"/>
      <c r="O356" s="95"/>
      <c r="P356" s="18">
        <v>1.2E-2</v>
      </c>
      <c r="Q356" s="18">
        <v>0.08</v>
      </c>
      <c r="R356" s="18">
        <v>0.15659999999999999</v>
      </c>
      <c r="S356" s="18"/>
      <c r="T356" s="26"/>
    </row>
    <row r="357" spans="1:20" x14ac:dyDescent="0.25">
      <c r="A357" s="81" t="s">
        <v>216</v>
      </c>
      <c r="B357" s="118" t="s">
        <v>168</v>
      </c>
      <c r="C357" s="45" t="s">
        <v>195</v>
      </c>
      <c r="D357" s="70" t="s">
        <v>98</v>
      </c>
      <c r="E357" s="72" t="s">
        <v>19</v>
      </c>
      <c r="F357" s="70">
        <v>1000</v>
      </c>
      <c r="G357" s="70"/>
      <c r="H357" s="70"/>
      <c r="I357" s="70"/>
      <c r="J357" s="76">
        <f t="shared" si="7"/>
        <v>1000</v>
      </c>
      <c r="K357" s="154" t="s">
        <v>193</v>
      </c>
      <c r="L357" s="63"/>
      <c r="M357" s="65">
        <v>1000</v>
      </c>
      <c r="N357" s="158"/>
      <c r="O357" s="95"/>
      <c r="P357" s="18">
        <v>0.01</v>
      </c>
      <c r="Q357" s="18">
        <v>7.3300000000000004E-2</v>
      </c>
      <c r="R357" s="18">
        <v>0.12330000000000001</v>
      </c>
      <c r="S357" s="18"/>
      <c r="T357" s="26"/>
    </row>
    <row r="358" spans="1:20" x14ac:dyDescent="0.25">
      <c r="A358" s="81" t="s">
        <v>216</v>
      </c>
      <c r="B358" s="118" t="s">
        <v>168</v>
      </c>
      <c r="C358" s="45" t="s">
        <v>195</v>
      </c>
      <c r="D358" s="70" t="s">
        <v>98</v>
      </c>
      <c r="E358" s="72" t="s">
        <v>19</v>
      </c>
      <c r="F358" s="70">
        <v>1000</v>
      </c>
      <c r="G358" s="70"/>
      <c r="H358" s="70"/>
      <c r="I358" s="70"/>
      <c r="J358" s="76">
        <f t="shared" si="7"/>
        <v>1000</v>
      </c>
      <c r="K358" s="154" t="s">
        <v>201</v>
      </c>
      <c r="L358" s="63"/>
      <c r="M358" s="65">
        <v>1000</v>
      </c>
      <c r="N358" s="158"/>
      <c r="O358" s="95"/>
      <c r="P358" s="18">
        <v>1.0999999999999999E-2</v>
      </c>
      <c r="Q358" s="18">
        <v>7.6689999999999994E-2</v>
      </c>
      <c r="R358" s="18">
        <v>0.1366</v>
      </c>
      <c r="S358" s="18"/>
      <c r="T358" s="26"/>
    </row>
    <row r="359" spans="1:20" x14ac:dyDescent="0.25">
      <c r="A359" s="81" t="s">
        <v>216</v>
      </c>
      <c r="B359" s="118" t="s">
        <v>168</v>
      </c>
      <c r="C359" s="45" t="s">
        <v>195</v>
      </c>
      <c r="D359" s="70" t="s">
        <v>98</v>
      </c>
      <c r="E359" s="72" t="s">
        <v>19</v>
      </c>
      <c r="F359" s="70">
        <v>1000</v>
      </c>
      <c r="G359" s="70"/>
      <c r="H359" s="70"/>
      <c r="I359" s="70"/>
      <c r="J359" s="76">
        <f t="shared" si="7"/>
        <v>1000</v>
      </c>
      <c r="K359" s="154" t="s">
        <v>202</v>
      </c>
      <c r="L359" s="63"/>
      <c r="M359" s="65">
        <v>1000</v>
      </c>
      <c r="N359" s="158"/>
      <c r="O359" s="95"/>
      <c r="P359" s="18">
        <v>1.2E-2</v>
      </c>
      <c r="Q359" s="18">
        <v>7.3300000000000004E-2</v>
      </c>
      <c r="R359" s="18">
        <v>0.1166</v>
      </c>
      <c r="S359" s="18"/>
      <c r="T359" s="26"/>
    </row>
    <row r="360" spans="1:20" x14ac:dyDescent="0.25">
      <c r="A360" s="81" t="s">
        <v>216</v>
      </c>
      <c r="B360" s="118" t="s">
        <v>168</v>
      </c>
      <c r="C360" s="45" t="s">
        <v>195</v>
      </c>
      <c r="D360" s="70" t="s">
        <v>98</v>
      </c>
      <c r="E360" s="72" t="s">
        <v>19</v>
      </c>
      <c r="F360" s="70">
        <v>704</v>
      </c>
      <c r="G360" s="70"/>
      <c r="H360" s="70"/>
      <c r="I360" s="70"/>
      <c r="J360" s="76">
        <f t="shared" si="4"/>
        <v>704</v>
      </c>
      <c r="K360" s="154" t="s">
        <v>139</v>
      </c>
      <c r="L360" s="63"/>
      <c r="M360" s="65">
        <v>704</v>
      </c>
      <c r="N360" s="158"/>
      <c r="O360" s="95"/>
      <c r="P360" s="18">
        <v>1.2E-2</v>
      </c>
      <c r="Q360" s="18">
        <v>7.3300000000000004E-2</v>
      </c>
      <c r="R360" s="18">
        <v>0.1166</v>
      </c>
      <c r="S360" s="18"/>
      <c r="T360" s="26"/>
    </row>
    <row r="361" spans="1:20" x14ac:dyDescent="0.25">
      <c r="A361" s="81"/>
      <c r="B361" s="118"/>
      <c r="C361" s="45"/>
      <c r="D361" s="70"/>
      <c r="E361" s="72"/>
      <c r="F361" s="70"/>
      <c r="G361" s="70"/>
      <c r="H361" s="70"/>
      <c r="I361" s="70"/>
      <c r="J361" s="76"/>
      <c r="K361" s="154"/>
      <c r="L361" s="63"/>
      <c r="M361" s="65"/>
      <c r="N361" s="158"/>
      <c r="O361" s="95"/>
      <c r="P361" s="18"/>
      <c r="Q361" s="18"/>
      <c r="R361" s="18"/>
      <c r="S361" s="18"/>
      <c r="T361" s="26"/>
    </row>
    <row r="362" spans="1:20" x14ac:dyDescent="0.25">
      <c r="A362" s="34"/>
      <c r="B362" s="35"/>
      <c r="C362" s="35"/>
      <c r="D362" s="36" t="s">
        <v>41</v>
      </c>
      <c r="E362" s="37"/>
      <c r="F362" s="147"/>
      <c r="G362" s="147"/>
      <c r="H362" s="147"/>
      <c r="I362" s="147"/>
      <c r="J362" s="106"/>
      <c r="K362" s="38"/>
      <c r="L362" s="63"/>
      <c r="M362" s="65"/>
      <c r="N362" s="66"/>
      <c r="O362" s="95"/>
      <c r="P362" s="18"/>
      <c r="Q362" s="18"/>
      <c r="R362" s="18"/>
      <c r="S362" s="18"/>
      <c r="T362" s="26"/>
    </row>
    <row r="363" spans="1:20" x14ac:dyDescent="0.25">
      <c r="A363" s="34"/>
      <c r="B363" s="35"/>
      <c r="C363" s="35"/>
      <c r="D363" s="36" t="s">
        <v>102</v>
      </c>
      <c r="E363" s="37"/>
      <c r="F363" s="147"/>
      <c r="G363" s="147"/>
      <c r="H363" s="147" t="s">
        <v>294</v>
      </c>
      <c r="I363" s="147"/>
      <c r="J363" s="106"/>
      <c r="K363" s="38"/>
      <c r="L363" s="27"/>
      <c r="M363" s="28"/>
      <c r="N363" s="103"/>
      <c r="O363" s="95"/>
      <c r="P363" s="18"/>
      <c r="Q363" s="29"/>
      <c r="R363" s="29"/>
      <c r="S363" s="29"/>
      <c r="T363" s="26"/>
    </row>
    <row r="364" spans="1:20" x14ac:dyDescent="0.25">
      <c r="A364" s="34"/>
      <c r="B364" s="35"/>
      <c r="C364" s="35"/>
      <c r="D364" s="36" t="s">
        <v>102</v>
      </c>
      <c r="E364" s="37"/>
      <c r="F364" s="147"/>
      <c r="G364" s="147"/>
      <c r="H364" s="147"/>
      <c r="I364" s="147"/>
      <c r="J364" s="106"/>
      <c r="K364" s="38"/>
      <c r="L364" s="27"/>
      <c r="M364" s="28"/>
      <c r="N364" s="103"/>
      <c r="O364" s="95"/>
      <c r="P364" s="18"/>
      <c r="Q364" s="29"/>
      <c r="R364" s="29"/>
      <c r="S364" s="29"/>
      <c r="T364" s="26"/>
    </row>
    <row r="365" spans="1:20" x14ac:dyDescent="0.25">
      <c r="A365" s="34"/>
      <c r="B365" s="35"/>
      <c r="C365" s="35"/>
      <c r="D365" s="36" t="s">
        <v>103</v>
      </c>
      <c r="E365" s="37"/>
      <c r="F365" s="147"/>
      <c r="G365" s="147"/>
      <c r="H365" s="147"/>
      <c r="I365" s="147"/>
      <c r="J365" s="106"/>
      <c r="K365" s="38"/>
      <c r="L365" s="27"/>
      <c r="M365" s="28"/>
      <c r="N365" s="103"/>
      <c r="O365" s="95"/>
      <c r="P365" s="18"/>
      <c r="Q365" s="29"/>
      <c r="R365" s="29"/>
      <c r="S365" s="29"/>
      <c r="T365" s="26"/>
    </row>
    <row r="366" spans="1:20" x14ac:dyDescent="0.25">
      <c r="A366" s="34"/>
      <c r="B366" s="35"/>
      <c r="C366" s="35"/>
      <c r="D366" s="36" t="s">
        <v>102</v>
      </c>
      <c r="E366" s="37"/>
      <c r="F366" s="147"/>
      <c r="G366" s="147"/>
      <c r="H366" s="147" t="s">
        <v>113</v>
      </c>
      <c r="I366" s="147"/>
      <c r="J366" s="106"/>
      <c r="K366" s="38"/>
      <c r="L366" s="27"/>
      <c r="M366" s="28"/>
      <c r="N366" s="103"/>
      <c r="O366" s="95"/>
      <c r="P366" s="18"/>
      <c r="Q366" s="29"/>
      <c r="R366" s="29"/>
      <c r="S366" s="29"/>
      <c r="T366" s="26"/>
    </row>
    <row r="367" spans="1:20" x14ac:dyDescent="0.25">
      <c r="A367" s="34"/>
      <c r="B367" s="35"/>
      <c r="C367" s="35"/>
      <c r="D367" s="36" t="s">
        <v>117</v>
      </c>
      <c r="E367" s="37"/>
      <c r="F367" s="147"/>
      <c r="G367" s="147"/>
      <c r="H367" s="147" t="s">
        <v>158</v>
      </c>
      <c r="I367" s="147"/>
      <c r="J367" s="106"/>
      <c r="K367" s="38"/>
      <c r="L367" s="27"/>
      <c r="M367" s="28"/>
      <c r="N367" s="103"/>
      <c r="O367" s="95"/>
      <c r="P367" s="18"/>
      <c r="Q367" s="29"/>
      <c r="R367" s="29"/>
      <c r="S367" s="29"/>
      <c r="T367" s="26"/>
    </row>
    <row r="368" spans="1:20" x14ac:dyDescent="0.25">
      <c r="A368" s="34"/>
      <c r="B368" s="35"/>
      <c r="C368" s="35"/>
      <c r="D368" s="36"/>
      <c r="E368" s="37"/>
      <c r="F368" s="147"/>
      <c r="G368" s="147"/>
      <c r="H368" s="147"/>
      <c r="I368" s="147"/>
      <c r="J368" s="106"/>
      <c r="K368" s="38"/>
      <c r="L368" s="27"/>
      <c r="M368" s="28"/>
      <c r="N368" s="103"/>
      <c r="O368" s="95"/>
      <c r="P368" s="18"/>
      <c r="Q368" s="29"/>
      <c r="R368" s="29"/>
      <c r="S368" s="29"/>
      <c r="T368" s="26"/>
    </row>
    <row r="369" spans="1:20" x14ac:dyDescent="0.25">
      <c r="A369" s="70"/>
      <c r="B369" s="131"/>
      <c r="C369" s="70"/>
      <c r="D369" s="23" t="s">
        <v>15</v>
      </c>
      <c r="E369" s="24" t="s">
        <v>19</v>
      </c>
      <c r="F369" s="23">
        <f>SUM(F171:F360)</f>
        <v>178066</v>
      </c>
      <c r="G369" s="23">
        <f>SUM(G171:G368)</f>
        <v>0</v>
      </c>
      <c r="H369" s="23"/>
      <c r="I369" s="23"/>
      <c r="J369" s="23">
        <f>F369-G369</f>
        <v>178066</v>
      </c>
      <c r="K369" s="24" t="s">
        <v>16</v>
      </c>
      <c r="L369" s="25">
        <f>SUM(L171:L368)</f>
        <v>0</v>
      </c>
      <c r="M369" s="25">
        <f>SUM(M171:M368)</f>
        <v>130066</v>
      </c>
      <c r="N369" s="25">
        <f>SUM(N171:N368)</f>
        <v>48000</v>
      </c>
      <c r="O369" s="25">
        <f>SUM(O171:O368)</f>
        <v>0</v>
      </c>
      <c r="P369" s="26"/>
      <c r="Q369" s="26"/>
      <c r="R369" s="26"/>
      <c r="S369" s="26"/>
      <c r="T369" s="26"/>
    </row>
    <row r="370" spans="1:20" x14ac:dyDescent="0.25">
      <c r="A370" s="81"/>
      <c r="B370" s="118"/>
      <c r="C370" s="45"/>
      <c r="D370" s="70"/>
      <c r="E370" s="68"/>
      <c r="F370" s="58"/>
      <c r="G370" s="47"/>
      <c r="H370" s="76"/>
      <c r="I370" s="47"/>
      <c r="J370" s="76">
        <f t="shared" ref="J370:J436" si="8">F370-G370</f>
        <v>0</v>
      </c>
      <c r="K370" s="68"/>
      <c r="L370" s="63"/>
      <c r="M370" s="65"/>
      <c r="N370" s="66"/>
      <c r="O370" s="137"/>
      <c r="P370" s="18"/>
      <c r="Q370" s="18"/>
      <c r="R370" s="18"/>
      <c r="S370" s="18"/>
      <c r="T370" s="94"/>
    </row>
    <row r="371" spans="1:20" x14ac:dyDescent="0.25">
      <c r="A371" s="81"/>
      <c r="B371" s="118"/>
      <c r="C371" s="45"/>
      <c r="D371" s="70"/>
      <c r="E371" s="68"/>
      <c r="F371" s="58"/>
      <c r="G371" s="47"/>
      <c r="H371" s="76"/>
      <c r="I371" s="47"/>
      <c r="J371" s="76">
        <f t="shared" si="8"/>
        <v>0</v>
      </c>
      <c r="K371" s="68"/>
      <c r="L371" s="63"/>
      <c r="M371" s="65"/>
      <c r="N371" s="66"/>
      <c r="O371" s="137"/>
      <c r="P371" s="18"/>
      <c r="Q371" s="18"/>
      <c r="R371" s="18"/>
      <c r="S371" s="18"/>
      <c r="T371" s="94"/>
    </row>
    <row r="372" spans="1:20" x14ac:dyDescent="0.25">
      <c r="A372" s="81"/>
      <c r="B372" s="118"/>
      <c r="C372" s="45"/>
      <c r="D372" s="70"/>
      <c r="E372" s="68"/>
      <c r="F372" s="58"/>
      <c r="G372" s="47"/>
      <c r="H372" s="76"/>
      <c r="I372" s="47"/>
      <c r="J372" s="76">
        <f t="shared" si="8"/>
        <v>0</v>
      </c>
      <c r="K372" s="68"/>
      <c r="L372" s="63"/>
      <c r="M372" s="65"/>
      <c r="N372" s="66"/>
      <c r="O372" s="137"/>
      <c r="P372" s="18"/>
      <c r="Q372" s="18"/>
      <c r="R372" s="18"/>
      <c r="S372" s="18"/>
      <c r="T372" s="94"/>
    </row>
    <row r="373" spans="1:20" x14ac:dyDescent="0.25">
      <c r="A373" s="81" t="s">
        <v>164</v>
      </c>
      <c r="B373" s="118" t="s">
        <v>97</v>
      </c>
      <c r="C373" s="45" t="s">
        <v>114</v>
      </c>
      <c r="D373" s="70" t="s">
        <v>163</v>
      </c>
      <c r="E373" s="68" t="s">
        <v>22</v>
      </c>
      <c r="F373" s="58">
        <v>1000</v>
      </c>
      <c r="G373" s="47"/>
      <c r="H373" s="76"/>
      <c r="I373" s="47"/>
      <c r="J373" s="76">
        <f t="shared" si="8"/>
        <v>1000</v>
      </c>
      <c r="K373" s="68" t="s">
        <v>63</v>
      </c>
      <c r="L373" s="63"/>
      <c r="M373" s="65">
        <v>1000</v>
      </c>
      <c r="N373" s="66"/>
      <c r="O373" s="137"/>
      <c r="P373" s="18">
        <v>0.05</v>
      </c>
      <c r="Q373" s="18">
        <v>0</v>
      </c>
      <c r="R373" s="18">
        <v>0</v>
      </c>
      <c r="S373" s="18">
        <v>0</v>
      </c>
      <c r="T373" s="94">
        <v>0.01</v>
      </c>
    </row>
    <row r="374" spans="1:20" x14ac:dyDescent="0.25">
      <c r="A374" s="81" t="s">
        <v>164</v>
      </c>
      <c r="B374" s="118" t="s">
        <v>97</v>
      </c>
      <c r="C374" s="45" t="s">
        <v>114</v>
      </c>
      <c r="D374" s="70" t="s">
        <v>163</v>
      </c>
      <c r="E374" s="68" t="s">
        <v>22</v>
      </c>
      <c r="F374" s="58">
        <v>1000</v>
      </c>
      <c r="G374" s="47"/>
      <c r="H374" s="76"/>
      <c r="I374" s="47"/>
      <c r="J374" s="76">
        <f t="shared" si="8"/>
        <v>1000</v>
      </c>
      <c r="K374" s="68" t="s">
        <v>64</v>
      </c>
      <c r="L374" s="63"/>
      <c r="M374" s="65">
        <v>1000</v>
      </c>
      <c r="N374" s="66"/>
      <c r="O374" s="137"/>
      <c r="P374" s="18">
        <v>5.2999999999999999E-2</v>
      </c>
      <c r="Q374" s="18">
        <v>0</v>
      </c>
      <c r="R374" s="18">
        <v>0</v>
      </c>
      <c r="S374" s="18">
        <v>0</v>
      </c>
      <c r="T374" s="94">
        <v>7.0000000000000001E-3</v>
      </c>
    </row>
    <row r="375" spans="1:20" x14ac:dyDescent="0.25">
      <c r="A375" s="81" t="s">
        <v>164</v>
      </c>
      <c r="B375" s="118" t="s">
        <v>97</v>
      </c>
      <c r="C375" s="45" t="s">
        <v>114</v>
      </c>
      <c r="D375" s="70" t="s">
        <v>163</v>
      </c>
      <c r="E375" s="68" t="s">
        <v>22</v>
      </c>
      <c r="F375" s="58">
        <v>567</v>
      </c>
      <c r="G375" s="47"/>
      <c r="H375" s="76"/>
      <c r="I375" s="47"/>
      <c r="J375" s="76">
        <f t="shared" si="8"/>
        <v>567</v>
      </c>
      <c r="K375" s="68" t="s">
        <v>68</v>
      </c>
      <c r="L375" s="63"/>
      <c r="M375" s="65">
        <v>567</v>
      </c>
      <c r="N375" s="66"/>
      <c r="O375" s="137"/>
      <c r="P375" s="18">
        <v>3.4000000000000002E-2</v>
      </c>
      <c r="Q375" s="18">
        <v>0</v>
      </c>
      <c r="R375" s="18">
        <v>0</v>
      </c>
      <c r="S375" s="18">
        <v>0</v>
      </c>
      <c r="T375" s="94">
        <v>5.0000000000000001E-3</v>
      </c>
    </row>
    <row r="376" spans="1:20" x14ac:dyDescent="0.25">
      <c r="A376" s="81" t="s">
        <v>161</v>
      </c>
      <c r="B376" s="118" t="s">
        <v>97</v>
      </c>
      <c r="C376" s="45" t="s">
        <v>162</v>
      </c>
      <c r="D376" s="70" t="s">
        <v>182</v>
      </c>
      <c r="E376" s="68" t="s">
        <v>22</v>
      </c>
      <c r="F376" s="58">
        <v>333</v>
      </c>
      <c r="G376" s="47"/>
      <c r="H376" s="187"/>
      <c r="I376" s="157"/>
      <c r="J376" s="76">
        <f t="shared" si="8"/>
        <v>333</v>
      </c>
      <c r="K376" s="68" t="s">
        <v>85</v>
      </c>
      <c r="L376" s="63"/>
      <c r="M376" s="65">
        <v>333</v>
      </c>
      <c r="N376" s="66"/>
      <c r="O376" s="137"/>
      <c r="P376" s="18">
        <v>0.34799999999999998</v>
      </c>
      <c r="Q376" s="18"/>
      <c r="R376" s="18"/>
      <c r="S376" s="18"/>
      <c r="T376" s="94">
        <v>6.0000000000000001E-3</v>
      </c>
    </row>
    <row r="377" spans="1:20" x14ac:dyDescent="0.25">
      <c r="A377" s="81" t="s">
        <v>284</v>
      </c>
      <c r="B377" s="118"/>
      <c r="C377" s="45" t="s">
        <v>301</v>
      </c>
      <c r="D377" s="70" t="s">
        <v>163</v>
      </c>
      <c r="E377" s="68" t="s">
        <v>22</v>
      </c>
      <c r="F377" s="58">
        <v>1000</v>
      </c>
      <c r="G377" s="47"/>
      <c r="H377" s="187"/>
      <c r="I377" s="157"/>
      <c r="J377" s="76">
        <f t="shared" si="8"/>
        <v>1000</v>
      </c>
      <c r="K377" s="68" t="s">
        <v>78</v>
      </c>
      <c r="L377" s="63"/>
      <c r="M377" s="65">
        <v>1000</v>
      </c>
      <c r="N377" s="66"/>
      <c r="O377" s="137"/>
      <c r="P377" s="18"/>
      <c r="Q377" s="18"/>
      <c r="R377" s="18"/>
      <c r="S377" s="18"/>
      <c r="T377" s="94"/>
    </row>
    <row r="378" spans="1:20" x14ac:dyDescent="0.25">
      <c r="A378" s="81" t="s">
        <v>284</v>
      </c>
      <c r="B378" s="118"/>
      <c r="C378" s="45" t="s">
        <v>301</v>
      </c>
      <c r="D378" s="70" t="s">
        <v>163</v>
      </c>
      <c r="E378" s="68" t="s">
        <v>22</v>
      </c>
      <c r="F378" s="58">
        <v>1000</v>
      </c>
      <c r="G378" s="47"/>
      <c r="H378" s="187"/>
      <c r="I378" s="157"/>
      <c r="J378" s="76">
        <f t="shared" si="8"/>
        <v>1000</v>
      </c>
      <c r="K378" s="68" t="s">
        <v>78</v>
      </c>
      <c r="L378" s="63"/>
      <c r="M378" s="65">
        <v>1000</v>
      </c>
      <c r="N378" s="66"/>
      <c r="O378" s="137"/>
      <c r="P378" s="18"/>
      <c r="Q378" s="18"/>
      <c r="R378" s="18"/>
      <c r="S378" s="18"/>
      <c r="T378" s="94"/>
    </row>
    <row r="379" spans="1:20" x14ac:dyDescent="0.25">
      <c r="A379" s="81" t="s">
        <v>284</v>
      </c>
      <c r="B379" s="118"/>
      <c r="C379" s="45" t="s">
        <v>302</v>
      </c>
      <c r="D379" s="70" t="s">
        <v>163</v>
      </c>
      <c r="E379" s="68" t="s">
        <v>22</v>
      </c>
      <c r="F379" s="58">
        <v>1000</v>
      </c>
      <c r="G379" s="47"/>
      <c r="H379" s="187"/>
      <c r="I379" s="157"/>
      <c r="J379" s="76">
        <f t="shared" si="8"/>
        <v>1000</v>
      </c>
      <c r="K379" s="68" t="s">
        <v>78</v>
      </c>
      <c r="L379" s="63"/>
      <c r="M379" s="65">
        <v>1000</v>
      </c>
      <c r="N379" s="66"/>
      <c r="O379" s="137"/>
      <c r="P379" s="18"/>
      <c r="Q379" s="18"/>
      <c r="R379" s="18"/>
      <c r="S379" s="18"/>
      <c r="T379" s="94"/>
    </row>
    <row r="380" spans="1:20" x14ac:dyDescent="0.25">
      <c r="A380" s="81" t="s">
        <v>284</v>
      </c>
      <c r="B380" s="118"/>
      <c r="C380" s="45" t="s">
        <v>302</v>
      </c>
      <c r="D380" s="70" t="s">
        <v>163</v>
      </c>
      <c r="E380" s="68" t="s">
        <v>22</v>
      </c>
      <c r="F380" s="58">
        <v>1000</v>
      </c>
      <c r="G380" s="47"/>
      <c r="H380" s="187"/>
      <c r="I380" s="157"/>
      <c r="J380" s="76">
        <f t="shared" si="8"/>
        <v>1000</v>
      </c>
      <c r="K380" s="68" t="s">
        <v>78</v>
      </c>
      <c r="L380" s="63"/>
      <c r="M380" s="65">
        <v>1000</v>
      </c>
      <c r="N380" s="66"/>
      <c r="O380" s="137"/>
      <c r="P380" s="18"/>
      <c r="Q380" s="18"/>
      <c r="R380" s="18"/>
      <c r="S380" s="18"/>
      <c r="T380" s="94"/>
    </row>
    <row r="381" spans="1:20" x14ac:dyDescent="0.25">
      <c r="A381" s="81" t="s">
        <v>284</v>
      </c>
      <c r="B381" s="118"/>
      <c r="C381" s="45" t="s">
        <v>302</v>
      </c>
      <c r="D381" s="70" t="s">
        <v>163</v>
      </c>
      <c r="E381" s="68" t="s">
        <v>22</v>
      </c>
      <c r="F381" s="58">
        <v>1000</v>
      </c>
      <c r="G381" s="47"/>
      <c r="H381" s="187"/>
      <c r="I381" s="157"/>
      <c r="J381" s="76">
        <f t="shared" si="8"/>
        <v>1000</v>
      </c>
      <c r="K381" s="68" t="s">
        <v>78</v>
      </c>
      <c r="L381" s="63"/>
      <c r="M381" s="65">
        <v>1000</v>
      </c>
      <c r="N381" s="66"/>
      <c r="O381" s="137"/>
      <c r="P381" s="18"/>
      <c r="Q381" s="18"/>
      <c r="R381" s="18"/>
      <c r="S381" s="18"/>
      <c r="T381" s="94"/>
    </row>
    <row r="382" spans="1:20" x14ac:dyDescent="0.25">
      <c r="A382" s="81" t="s">
        <v>284</v>
      </c>
      <c r="B382" s="118"/>
      <c r="C382" s="45" t="s">
        <v>302</v>
      </c>
      <c r="D382" s="70" t="s">
        <v>163</v>
      </c>
      <c r="E382" s="68" t="s">
        <v>22</v>
      </c>
      <c r="F382" s="58">
        <v>1000</v>
      </c>
      <c r="G382" s="47"/>
      <c r="H382" s="187"/>
      <c r="I382" s="157"/>
      <c r="J382" s="76">
        <f t="shared" si="8"/>
        <v>1000</v>
      </c>
      <c r="K382" s="68" t="s">
        <v>78</v>
      </c>
      <c r="L382" s="63"/>
      <c r="M382" s="65">
        <v>1000</v>
      </c>
      <c r="N382" s="66"/>
      <c r="O382" s="137"/>
      <c r="P382" s="18"/>
      <c r="Q382" s="18"/>
      <c r="R382" s="18"/>
      <c r="S382" s="18"/>
      <c r="T382" s="94"/>
    </row>
    <row r="383" spans="1:20" x14ac:dyDescent="0.25">
      <c r="A383" s="81" t="s">
        <v>284</v>
      </c>
      <c r="B383" s="118"/>
      <c r="C383" s="45" t="s">
        <v>302</v>
      </c>
      <c r="D383" s="70" t="s">
        <v>163</v>
      </c>
      <c r="E383" s="68" t="s">
        <v>22</v>
      </c>
      <c r="F383" s="58">
        <v>1000</v>
      </c>
      <c r="G383" s="47"/>
      <c r="H383" s="187"/>
      <c r="I383" s="157"/>
      <c r="J383" s="76">
        <f t="shared" si="8"/>
        <v>1000</v>
      </c>
      <c r="K383" s="68" t="s">
        <v>78</v>
      </c>
      <c r="L383" s="63"/>
      <c r="M383" s="65"/>
      <c r="N383" s="66">
        <v>1000</v>
      </c>
      <c r="O383" s="137"/>
      <c r="P383" s="18"/>
      <c r="Q383" s="18"/>
      <c r="R383" s="18"/>
      <c r="S383" s="18"/>
      <c r="T383" s="94"/>
    </row>
    <row r="384" spans="1:20" x14ac:dyDescent="0.25">
      <c r="A384" s="81" t="s">
        <v>284</v>
      </c>
      <c r="B384" s="118"/>
      <c r="C384" s="45" t="s">
        <v>302</v>
      </c>
      <c r="D384" s="70" t="s">
        <v>163</v>
      </c>
      <c r="E384" s="68" t="s">
        <v>22</v>
      </c>
      <c r="F384" s="58">
        <v>452</v>
      </c>
      <c r="G384" s="47"/>
      <c r="H384" s="187"/>
      <c r="I384" s="157"/>
      <c r="J384" s="76">
        <f t="shared" si="8"/>
        <v>452</v>
      </c>
      <c r="K384" s="68" t="s">
        <v>78</v>
      </c>
      <c r="L384" s="63"/>
      <c r="M384" s="65"/>
      <c r="N384" s="66">
        <v>452</v>
      </c>
      <c r="O384" s="137"/>
      <c r="P384" s="18"/>
      <c r="Q384" s="18"/>
      <c r="R384" s="18"/>
      <c r="S384" s="18"/>
      <c r="T384" s="94"/>
    </row>
    <row r="385" spans="1:20" x14ac:dyDescent="0.25">
      <c r="A385" s="81"/>
      <c r="B385" s="118"/>
      <c r="C385" s="45"/>
      <c r="D385" s="70"/>
      <c r="E385" s="68"/>
      <c r="F385" s="58"/>
      <c r="G385" s="47"/>
      <c r="H385" s="187"/>
      <c r="I385" s="157"/>
      <c r="J385" s="76"/>
      <c r="K385" s="68"/>
      <c r="L385" s="63"/>
      <c r="M385" s="65"/>
      <c r="N385" s="66"/>
      <c r="O385" s="137"/>
      <c r="P385" s="18"/>
      <c r="Q385" s="18"/>
      <c r="R385" s="18"/>
      <c r="S385" s="18"/>
      <c r="T385" s="94"/>
    </row>
    <row r="386" spans="1:20" x14ac:dyDescent="0.25">
      <c r="A386" s="81"/>
      <c r="B386" s="118"/>
      <c r="C386" s="45"/>
      <c r="D386" s="70"/>
      <c r="E386" s="68"/>
      <c r="F386" s="58"/>
      <c r="G386" s="47"/>
      <c r="H386" s="187"/>
      <c r="I386" s="157"/>
      <c r="J386" s="76"/>
      <c r="K386" s="68"/>
      <c r="L386" s="63"/>
      <c r="M386" s="65"/>
      <c r="N386" s="66"/>
      <c r="O386" s="137"/>
      <c r="P386" s="18"/>
      <c r="Q386" s="18"/>
      <c r="R386" s="18"/>
      <c r="S386" s="18"/>
      <c r="T386" s="94"/>
    </row>
    <row r="387" spans="1:20" x14ac:dyDescent="0.25">
      <c r="A387" s="81" t="s">
        <v>194</v>
      </c>
      <c r="B387" s="118" t="s">
        <v>168</v>
      </c>
      <c r="C387" s="45" t="s">
        <v>189</v>
      </c>
      <c r="D387" s="70" t="s">
        <v>190</v>
      </c>
      <c r="E387" s="68" t="s">
        <v>22</v>
      </c>
      <c r="F387" s="58">
        <v>994</v>
      </c>
      <c r="G387" s="47"/>
      <c r="H387" s="187"/>
      <c r="I387" s="157"/>
      <c r="J387" s="76">
        <f t="shared" si="8"/>
        <v>994</v>
      </c>
      <c r="K387" s="68" t="s">
        <v>186</v>
      </c>
      <c r="L387" s="63"/>
      <c r="M387" s="65">
        <v>994</v>
      </c>
      <c r="N387" s="66"/>
      <c r="O387" s="137"/>
      <c r="P387" s="18"/>
      <c r="Q387" s="18"/>
      <c r="R387" s="18"/>
      <c r="S387" s="18"/>
      <c r="T387" s="94"/>
    </row>
    <row r="388" spans="1:20" x14ac:dyDescent="0.25">
      <c r="A388" s="81" t="s">
        <v>194</v>
      </c>
      <c r="B388" s="118" t="s">
        <v>168</v>
      </c>
      <c r="C388" s="45" t="s">
        <v>189</v>
      </c>
      <c r="D388" s="70" t="s">
        <v>190</v>
      </c>
      <c r="E388" s="68" t="s">
        <v>22</v>
      </c>
      <c r="F388" s="58">
        <v>829</v>
      </c>
      <c r="G388" s="47"/>
      <c r="H388" s="187"/>
      <c r="I388" s="157"/>
      <c r="J388" s="76">
        <f t="shared" si="8"/>
        <v>829</v>
      </c>
      <c r="K388" s="68" t="s">
        <v>187</v>
      </c>
      <c r="L388" s="63"/>
      <c r="M388" s="65">
        <v>829</v>
      </c>
      <c r="N388" s="66"/>
      <c r="O388" s="137"/>
      <c r="P388" s="18"/>
      <c r="Q388" s="18"/>
      <c r="R388" s="18"/>
      <c r="S388" s="18"/>
      <c r="T388" s="94"/>
    </row>
    <row r="389" spans="1:20" x14ac:dyDescent="0.25">
      <c r="A389" s="81" t="s">
        <v>194</v>
      </c>
      <c r="B389" s="118" t="s">
        <v>168</v>
      </c>
      <c r="C389" s="45" t="s">
        <v>189</v>
      </c>
      <c r="D389" s="70" t="s">
        <v>190</v>
      </c>
      <c r="E389" s="68" t="s">
        <v>22</v>
      </c>
      <c r="F389" s="58">
        <v>802</v>
      </c>
      <c r="G389" s="47"/>
      <c r="H389" s="187"/>
      <c r="I389" s="157"/>
      <c r="J389" s="76">
        <f t="shared" si="8"/>
        <v>802</v>
      </c>
      <c r="K389" s="68" t="s">
        <v>83</v>
      </c>
      <c r="L389" s="63"/>
      <c r="M389" s="65">
        <v>802</v>
      </c>
      <c r="N389" s="66"/>
      <c r="O389" s="137"/>
      <c r="P389" s="18"/>
      <c r="Q389" s="18"/>
      <c r="R389" s="18"/>
      <c r="S389" s="18"/>
      <c r="T389" s="94"/>
    </row>
    <row r="390" spans="1:20" x14ac:dyDescent="0.25">
      <c r="A390" s="81" t="s">
        <v>230</v>
      </c>
      <c r="B390" s="118" t="s">
        <v>168</v>
      </c>
      <c r="C390" s="45" t="s">
        <v>240</v>
      </c>
      <c r="D390" s="70" t="s">
        <v>190</v>
      </c>
      <c r="E390" s="68" t="s">
        <v>22</v>
      </c>
      <c r="F390" s="58">
        <v>958</v>
      </c>
      <c r="G390" s="47"/>
      <c r="H390" s="187"/>
      <c r="I390" s="157"/>
      <c r="J390" s="76">
        <f t="shared" si="8"/>
        <v>958</v>
      </c>
      <c r="K390" s="68" t="s">
        <v>186</v>
      </c>
      <c r="L390" s="63"/>
      <c r="M390" s="65"/>
      <c r="N390" s="66">
        <v>958</v>
      </c>
      <c r="O390" s="137"/>
      <c r="P390" s="18">
        <v>0.32600000000000001</v>
      </c>
      <c r="Q390" s="18">
        <v>0</v>
      </c>
      <c r="R390" s="18">
        <v>0</v>
      </c>
      <c r="S390" s="18">
        <v>0</v>
      </c>
      <c r="T390" s="94">
        <v>0.156</v>
      </c>
    </row>
    <row r="391" spans="1:20" x14ac:dyDescent="0.25">
      <c r="A391" s="81" t="s">
        <v>230</v>
      </c>
      <c r="B391" s="118" t="s">
        <v>168</v>
      </c>
      <c r="C391" s="45" t="s">
        <v>240</v>
      </c>
      <c r="D391" s="70" t="s">
        <v>190</v>
      </c>
      <c r="E391" s="68" t="s">
        <v>22</v>
      </c>
      <c r="F391" s="58">
        <v>924</v>
      </c>
      <c r="G391" s="47"/>
      <c r="H391" s="187"/>
      <c r="I391" s="157"/>
      <c r="J391" s="76">
        <f t="shared" si="8"/>
        <v>924</v>
      </c>
      <c r="K391" s="68" t="s">
        <v>187</v>
      </c>
      <c r="L391" s="63"/>
      <c r="M391" s="65"/>
      <c r="N391" s="66">
        <v>924</v>
      </c>
      <c r="O391" s="137"/>
      <c r="P391" s="18">
        <v>0.32600000000000001</v>
      </c>
      <c r="Q391" s="18">
        <v>0</v>
      </c>
      <c r="R391" s="18">
        <v>0</v>
      </c>
      <c r="S391" s="18">
        <v>0</v>
      </c>
      <c r="T391" s="94">
        <v>0.156</v>
      </c>
    </row>
    <row r="392" spans="1:20" x14ac:dyDescent="0.25">
      <c r="A392" s="81" t="s">
        <v>241</v>
      </c>
      <c r="B392" s="118" t="s">
        <v>168</v>
      </c>
      <c r="C392" s="45" t="s">
        <v>242</v>
      </c>
      <c r="D392" s="70" t="s">
        <v>190</v>
      </c>
      <c r="E392" s="68" t="s">
        <v>22</v>
      </c>
      <c r="F392" s="58">
        <v>961</v>
      </c>
      <c r="G392" s="47"/>
      <c r="H392" s="187"/>
      <c r="I392" s="157"/>
      <c r="J392" s="76">
        <f t="shared" si="8"/>
        <v>961</v>
      </c>
      <c r="K392" s="68" t="s">
        <v>186</v>
      </c>
      <c r="L392" s="63"/>
      <c r="M392" s="65"/>
      <c r="N392" s="66">
        <v>961</v>
      </c>
      <c r="O392" s="137"/>
      <c r="P392" s="18">
        <v>0.42299999999999999</v>
      </c>
      <c r="Q392" s="18">
        <v>0</v>
      </c>
      <c r="R392" s="18">
        <v>0</v>
      </c>
      <c r="S392" s="18">
        <v>0</v>
      </c>
      <c r="T392" s="94">
        <v>0.11899999999999999</v>
      </c>
    </row>
    <row r="393" spans="1:20" x14ac:dyDescent="0.25">
      <c r="A393" s="81" t="s">
        <v>241</v>
      </c>
      <c r="B393" s="118" t="s">
        <v>168</v>
      </c>
      <c r="C393" s="45" t="s">
        <v>242</v>
      </c>
      <c r="D393" s="70" t="s">
        <v>190</v>
      </c>
      <c r="E393" s="68" t="s">
        <v>22</v>
      </c>
      <c r="F393" s="58">
        <v>885</v>
      </c>
      <c r="G393" s="47"/>
      <c r="H393" s="187"/>
      <c r="I393" s="157"/>
      <c r="J393" s="76">
        <f t="shared" si="8"/>
        <v>885</v>
      </c>
      <c r="K393" s="68" t="s">
        <v>187</v>
      </c>
      <c r="L393" s="63"/>
      <c r="M393" s="65"/>
      <c r="N393" s="66">
        <v>885</v>
      </c>
      <c r="O393" s="137"/>
      <c r="P393" s="18">
        <v>0.39300000000000002</v>
      </c>
      <c r="Q393" s="18">
        <v>0</v>
      </c>
      <c r="R393" s="18">
        <v>0</v>
      </c>
      <c r="S393" s="18">
        <v>0</v>
      </c>
      <c r="T393" s="94">
        <v>0.13900000000000001</v>
      </c>
    </row>
    <row r="394" spans="1:20" x14ac:dyDescent="0.25">
      <c r="A394" s="81" t="s">
        <v>241</v>
      </c>
      <c r="B394" s="118" t="s">
        <v>168</v>
      </c>
      <c r="C394" s="45" t="s">
        <v>242</v>
      </c>
      <c r="D394" s="70" t="s">
        <v>190</v>
      </c>
      <c r="E394" s="68" t="s">
        <v>22</v>
      </c>
      <c r="F394" s="58">
        <v>968</v>
      </c>
      <c r="G394" s="47"/>
      <c r="H394" s="187"/>
      <c r="I394" s="157"/>
      <c r="J394" s="76">
        <f t="shared" si="8"/>
        <v>968</v>
      </c>
      <c r="K394" s="68" t="s">
        <v>83</v>
      </c>
      <c r="L394" s="63"/>
      <c r="M394" s="65"/>
      <c r="N394" s="66">
        <v>968</v>
      </c>
      <c r="O394" s="137"/>
      <c r="P394" s="18">
        <v>0.378</v>
      </c>
      <c r="Q394" s="18">
        <v>0</v>
      </c>
      <c r="R394" s="18">
        <v>0</v>
      </c>
      <c r="S394" s="18">
        <v>0</v>
      </c>
      <c r="T394" s="94">
        <v>0.215</v>
      </c>
    </row>
    <row r="395" spans="1:20" x14ac:dyDescent="0.25">
      <c r="A395" s="81" t="s">
        <v>241</v>
      </c>
      <c r="B395" s="118" t="s">
        <v>168</v>
      </c>
      <c r="C395" s="45" t="s">
        <v>242</v>
      </c>
      <c r="D395" s="70" t="s">
        <v>190</v>
      </c>
      <c r="E395" s="68" t="s">
        <v>22</v>
      </c>
      <c r="F395" s="58">
        <v>918</v>
      </c>
      <c r="G395" s="47"/>
      <c r="H395" s="187"/>
      <c r="I395" s="157"/>
      <c r="J395" s="76">
        <f t="shared" si="8"/>
        <v>918</v>
      </c>
      <c r="K395" s="68" t="s">
        <v>188</v>
      </c>
      <c r="L395" s="63"/>
      <c r="M395" s="65"/>
      <c r="N395" s="66">
        <v>918</v>
      </c>
      <c r="O395" s="137"/>
      <c r="P395" s="18">
        <v>0.29799999999999999</v>
      </c>
      <c r="Q395" s="18">
        <v>0</v>
      </c>
      <c r="R395" s="18">
        <v>0</v>
      </c>
      <c r="S395" s="18">
        <v>0</v>
      </c>
      <c r="T395" s="94">
        <v>0.23899999999999999</v>
      </c>
    </row>
    <row r="396" spans="1:20" x14ac:dyDescent="0.25">
      <c r="A396" s="81" t="s">
        <v>241</v>
      </c>
      <c r="B396" s="118" t="s">
        <v>168</v>
      </c>
      <c r="C396" s="45" t="s">
        <v>242</v>
      </c>
      <c r="D396" s="70" t="s">
        <v>190</v>
      </c>
      <c r="E396" s="68" t="s">
        <v>22</v>
      </c>
      <c r="F396" s="58">
        <v>1040</v>
      </c>
      <c r="G396" s="47"/>
      <c r="H396" s="187"/>
      <c r="I396" s="157"/>
      <c r="J396" s="76">
        <f t="shared" si="8"/>
        <v>1040</v>
      </c>
      <c r="K396" s="68" t="s">
        <v>84</v>
      </c>
      <c r="L396" s="63"/>
      <c r="M396" s="65"/>
      <c r="N396" s="66">
        <v>1040</v>
      </c>
      <c r="O396" s="137"/>
      <c r="P396" s="18">
        <v>0.109</v>
      </c>
      <c r="Q396" s="18">
        <v>0</v>
      </c>
      <c r="R396" s="18">
        <v>0</v>
      </c>
      <c r="S396" s="18">
        <v>0</v>
      </c>
      <c r="T396" s="94">
        <v>2E-3</v>
      </c>
    </row>
    <row r="397" spans="1:20" x14ac:dyDescent="0.25">
      <c r="A397" s="81" t="s">
        <v>241</v>
      </c>
      <c r="B397" s="118" t="s">
        <v>168</v>
      </c>
      <c r="C397" s="45" t="s">
        <v>242</v>
      </c>
      <c r="D397" s="70" t="s">
        <v>190</v>
      </c>
      <c r="E397" s="68" t="s">
        <v>22</v>
      </c>
      <c r="F397" s="58">
        <v>1038</v>
      </c>
      <c r="G397" s="47"/>
      <c r="H397" s="187"/>
      <c r="I397" s="157"/>
      <c r="J397" s="76">
        <f t="shared" si="8"/>
        <v>1038</v>
      </c>
      <c r="K397" s="68" t="s">
        <v>85</v>
      </c>
      <c r="L397" s="63"/>
      <c r="M397" s="65"/>
      <c r="N397" s="66">
        <v>1038</v>
      </c>
      <c r="O397" s="137"/>
      <c r="P397" s="18">
        <v>0.36299999999999999</v>
      </c>
      <c r="Q397" s="18">
        <v>0</v>
      </c>
      <c r="R397" s="18">
        <v>0</v>
      </c>
      <c r="S397" s="18">
        <v>0</v>
      </c>
      <c r="T397" s="94">
        <v>0.10299999999999999</v>
      </c>
    </row>
    <row r="398" spans="1:20" x14ac:dyDescent="0.25">
      <c r="A398" s="81" t="s">
        <v>241</v>
      </c>
      <c r="B398" s="118" t="s">
        <v>168</v>
      </c>
      <c r="C398" s="45" t="s">
        <v>242</v>
      </c>
      <c r="D398" s="70" t="s">
        <v>190</v>
      </c>
      <c r="E398" s="68" t="s">
        <v>22</v>
      </c>
      <c r="F398" s="58">
        <v>920</v>
      </c>
      <c r="G398" s="47"/>
      <c r="H398" s="187"/>
      <c r="I398" s="157"/>
      <c r="J398" s="76">
        <f t="shared" si="8"/>
        <v>920</v>
      </c>
      <c r="K398" s="68" t="s">
        <v>86</v>
      </c>
      <c r="L398" s="63"/>
      <c r="M398" s="65"/>
      <c r="N398" s="66">
        <v>920</v>
      </c>
      <c r="O398" s="137"/>
      <c r="P398" s="18">
        <v>0.33800000000000002</v>
      </c>
      <c r="Q398" s="18">
        <v>0</v>
      </c>
      <c r="R398" s="18">
        <v>0</v>
      </c>
      <c r="S398" s="18">
        <v>0</v>
      </c>
      <c r="T398" s="94">
        <v>9.5000000000000001E-2</v>
      </c>
    </row>
    <row r="399" spans="1:20" x14ac:dyDescent="0.25">
      <c r="A399" s="81" t="s">
        <v>241</v>
      </c>
      <c r="B399" s="118" t="s">
        <v>168</v>
      </c>
      <c r="C399" s="45" t="s">
        <v>242</v>
      </c>
      <c r="D399" s="70" t="s">
        <v>190</v>
      </c>
      <c r="E399" s="68" t="s">
        <v>22</v>
      </c>
      <c r="F399" s="58">
        <v>894</v>
      </c>
      <c r="G399" s="47"/>
      <c r="H399" s="187"/>
      <c r="I399" s="157"/>
      <c r="J399" s="76">
        <f t="shared" si="8"/>
        <v>894</v>
      </c>
      <c r="K399" s="68" t="s">
        <v>87</v>
      </c>
      <c r="L399" s="63"/>
      <c r="M399" s="65"/>
      <c r="N399" s="66">
        <v>894</v>
      </c>
      <c r="O399" s="137"/>
      <c r="P399" s="18">
        <v>0.316</v>
      </c>
      <c r="Q399" s="18">
        <v>0</v>
      </c>
      <c r="R399" s="18">
        <v>0</v>
      </c>
      <c r="S399" s="18">
        <v>0</v>
      </c>
      <c r="T399" s="94">
        <v>0.115</v>
      </c>
    </row>
    <row r="400" spans="1:20" x14ac:dyDescent="0.25">
      <c r="A400" s="81" t="s">
        <v>241</v>
      </c>
      <c r="B400" s="118" t="s">
        <v>168</v>
      </c>
      <c r="C400" s="45" t="s">
        <v>242</v>
      </c>
      <c r="D400" s="70" t="s">
        <v>190</v>
      </c>
      <c r="E400" s="68" t="s">
        <v>22</v>
      </c>
      <c r="F400" s="58">
        <v>858</v>
      </c>
      <c r="G400" s="47"/>
      <c r="H400" s="187"/>
      <c r="I400" s="157"/>
      <c r="J400" s="76">
        <f t="shared" si="8"/>
        <v>858</v>
      </c>
      <c r="K400" s="68" t="s">
        <v>88</v>
      </c>
      <c r="L400" s="63"/>
      <c r="M400" s="65"/>
      <c r="N400" s="66">
        <v>858</v>
      </c>
      <c r="O400" s="137"/>
      <c r="P400" s="18">
        <v>0.28599999999999998</v>
      </c>
      <c r="Q400" s="18">
        <v>0</v>
      </c>
      <c r="R400" s="18">
        <v>0</v>
      </c>
      <c r="S400" s="18">
        <v>0</v>
      </c>
      <c r="T400" s="94">
        <v>9.6000000000000002E-2</v>
      </c>
    </row>
    <row r="401" spans="1:20" x14ac:dyDescent="0.25">
      <c r="A401" s="81" t="s">
        <v>292</v>
      </c>
      <c r="B401" s="118" t="s">
        <v>291</v>
      </c>
      <c r="C401" s="45" t="s">
        <v>283</v>
      </c>
      <c r="D401" s="70" t="s">
        <v>190</v>
      </c>
      <c r="E401" s="68" t="s">
        <v>22</v>
      </c>
      <c r="F401" s="58">
        <v>960</v>
      </c>
      <c r="G401" s="47"/>
      <c r="H401" s="187"/>
      <c r="I401" s="157"/>
      <c r="J401" s="76">
        <f t="shared" si="8"/>
        <v>960</v>
      </c>
      <c r="K401" s="68" t="s">
        <v>186</v>
      </c>
      <c r="L401" s="63"/>
      <c r="M401" s="65"/>
      <c r="N401" s="66">
        <v>960</v>
      </c>
      <c r="O401" s="137"/>
      <c r="P401" s="18">
        <v>0.29099999999999998</v>
      </c>
      <c r="Q401" s="18">
        <v>0</v>
      </c>
      <c r="R401" s="18">
        <v>0</v>
      </c>
      <c r="S401" s="18">
        <v>0</v>
      </c>
      <c r="T401" s="94">
        <v>9.1999999999999998E-2</v>
      </c>
    </row>
    <row r="402" spans="1:20" x14ac:dyDescent="0.25">
      <c r="A402" s="81" t="s">
        <v>292</v>
      </c>
      <c r="B402" s="118" t="s">
        <v>291</v>
      </c>
      <c r="C402" s="45" t="s">
        <v>283</v>
      </c>
      <c r="D402" s="70" t="s">
        <v>190</v>
      </c>
      <c r="E402" s="68" t="s">
        <v>22</v>
      </c>
      <c r="F402" s="58">
        <v>1044</v>
      </c>
      <c r="G402" s="47"/>
      <c r="H402" s="187"/>
      <c r="I402" s="157"/>
      <c r="J402" s="76">
        <f t="shared" si="8"/>
        <v>1044</v>
      </c>
      <c r="K402" s="68" t="s">
        <v>187</v>
      </c>
      <c r="L402" s="63"/>
      <c r="M402" s="65"/>
      <c r="N402" s="66">
        <v>1044</v>
      </c>
      <c r="O402" s="137"/>
      <c r="P402" s="18">
        <v>0.32900000000000001</v>
      </c>
      <c r="Q402" s="18">
        <v>0</v>
      </c>
      <c r="R402" s="18">
        <v>0</v>
      </c>
      <c r="S402" s="18">
        <v>0</v>
      </c>
      <c r="T402" s="94">
        <v>0.105</v>
      </c>
    </row>
    <row r="403" spans="1:20" x14ac:dyDescent="0.25">
      <c r="A403" s="81" t="s">
        <v>292</v>
      </c>
      <c r="B403" s="118" t="s">
        <v>291</v>
      </c>
      <c r="C403" s="45" t="s">
        <v>283</v>
      </c>
      <c r="D403" s="70" t="s">
        <v>190</v>
      </c>
      <c r="E403" s="68" t="s">
        <v>22</v>
      </c>
      <c r="F403" s="58">
        <v>760</v>
      </c>
      <c r="G403" s="47"/>
      <c r="H403" s="187"/>
      <c r="I403" s="157"/>
      <c r="J403" s="76">
        <f t="shared" si="8"/>
        <v>760</v>
      </c>
      <c r="K403" s="68" t="s">
        <v>83</v>
      </c>
      <c r="L403" s="63"/>
      <c r="M403" s="65"/>
      <c r="N403" s="66">
        <v>760</v>
      </c>
      <c r="O403" s="137"/>
      <c r="P403" s="18">
        <v>0.21299999999999999</v>
      </c>
      <c r="Q403" s="18">
        <v>0</v>
      </c>
      <c r="R403" s="18">
        <v>0</v>
      </c>
      <c r="S403" s="18">
        <v>0</v>
      </c>
      <c r="T403" s="94">
        <v>1E-3</v>
      </c>
    </row>
    <row r="404" spans="1:20" x14ac:dyDescent="0.25">
      <c r="A404" s="81" t="s">
        <v>292</v>
      </c>
      <c r="B404" s="118" t="s">
        <v>291</v>
      </c>
      <c r="C404" s="45" t="s">
        <v>283</v>
      </c>
      <c r="D404" s="70" t="s">
        <v>190</v>
      </c>
      <c r="E404" s="68" t="s">
        <v>22</v>
      </c>
      <c r="F404" s="58">
        <v>725</v>
      </c>
      <c r="G404" s="47"/>
      <c r="H404" s="187"/>
      <c r="I404" s="157"/>
      <c r="J404" s="76">
        <f t="shared" si="8"/>
        <v>725</v>
      </c>
      <c r="K404" s="68" t="s">
        <v>188</v>
      </c>
      <c r="L404" s="63"/>
      <c r="M404" s="65"/>
      <c r="N404" s="66">
        <v>725</v>
      </c>
      <c r="O404" s="137"/>
      <c r="P404" s="18">
        <v>0.34599999999999997</v>
      </c>
      <c r="Q404" s="18">
        <v>0</v>
      </c>
      <c r="R404" s="18">
        <v>0</v>
      </c>
      <c r="S404" s="18">
        <v>0</v>
      </c>
      <c r="T404" s="94">
        <v>8.5999999999999993E-2</v>
      </c>
    </row>
    <row r="405" spans="1:20" x14ac:dyDescent="0.25">
      <c r="A405" s="81" t="s">
        <v>292</v>
      </c>
      <c r="B405" s="118" t="s">
        <v>291</v>
      </c>
      <c r="C405" s="45" t="s">
        <v>283</v>
      </c>
      <c r="D405" s="70" t="s">
        <v>190</v>
      </c>
      <c r="E405" s="68" t="s">
        <v>22</v>
      </c>
      <c r="F405" s="58">
        <v>977</v>
      </c>
      <c r="G405" s="47"/>
      <c r="H405" s="187"/>
      <c r="I405" s="157"/>
      <c r="J405" s="76">
        <f t="shared" si="8"/>
        <v>977</v>
      </c>
      <c r="K405" s="68" t="s">
        <v>84</v>
      </c>
      <c r="L405" s="63"/>
      <c r="M405" s="65"/>
      <c r="N405" s="66">
        <v>977</v>
      </c>
      <c r="O405" s="137"/>
      <c r="P405" s="18">
        <v>0.19500000000000001</v>
      </c>
      <c r="Q405" s="18">
        <v>0</v>
      </c>
      <c r="R405" s="18">
        <v>0</v>
      </c>
      <c r="S405" s="18">
        <v>0</v>
      </c>
      <c r="T405" s="94">
        <v>2E-3</v>
      </c>
    </row>
    <row r="406" spans="1:20" x14ac:dyDescent="0.25">
      <c r="A406" s="81"/>
      <c r="B406" s="118"/>
      <c r="C406" s="45"/>
      <c r="D406" s="70"/>
      <c r="E406" s="68"/>
      <c r="F406" s="58"/>
      <c r="G406" s="47"/>
      <c r="H406" s="187"/>
      <c r="I406" s="157"/>
      <c r="J406" s="76">
        <f t="shared" si="8"/>
        <v>0</v>
      </c>
      <c r="K406" s="68"/>
      <c r="L406" s="63"/>
      <c r="M406" s="65"/>
      <c r="N406" s="66"/>
      <c r="O406" s="137"/>
      <c r="P406" s="18"/>
      <c r="Q406" s="18"/>
      <c r="R406" s="18"/>
      <c r="S406" s="18"/>
      <c r="T406" s="94"/>
    </row>
    <row r="407" spans="1:20" x14ac:dyDescent="0.25">
      <c r="A407" s="81" t="s">
        <v>196</v>
      </c>
      <c r="B407" s="118" t="s">
        <v>168</v>
      </c>
      <c r="C407" s="45" t="s">
        <v>195</v>
      </c>
      <c r="D407" s="70" t="s">
        <v>190</v>
      </c>
      <c r="E407" s="68" t="s">
        <v>22</v>
      </c>
      <c r="F407" s="58">
        <v>954</v>
      </c>
      <c r="G407" s="47"/>
      <c r="H407" s="187"/>
      <c r="I407" s="157"/>
      <c r="J407" s="76">
        <f t="shared" si="8"/>
        <v>954</v>
      </c>
      <c r="K407" s="68" t="s">
        <v>186</v>
      </c>
      <c r="L407" s="63"/>
      <c r="M407" s="65">
        <v>954</v>
      </c>
      <c r="N407" s="66"/>
      <c r="O407" s="137"/>
      <c r="P407" s="18">
        <v>0.253</v>
      </c>
      <c r="Q407" s="18">
        <v>0</v>
      </c>
      <c r="R407" s="18">
        <v>0</v>
      </c>
      <c r="S407" s="18">
        <v>0</v>
      </c>
      <c r="T407" s="94">
        <v>0.16900000000000001</v>
      </c>
    </row>
    <row r="408" spans="1:20" x14ac:dyDescent="0.25">
      <c r="A408" s="81" t="s">
        <v>213</v>
      </c>
      <c r="B408" s="118" t="s">
        <v>168</v>
      </c>
      <c r="C408" s="45" t="s">
        <v>195</v>
      </c>
      <c r="D408" s="70" t="s">
        <v>190</v>
      </c>
      <c r="E408" s="68" t="s">
        <v>22</v>
      </c>
      <c r="F408" s="58">
        <v>943</v>
      </c>
      <c r="G408" s="47"/>
      <c r="H408" s="187"/>
      <c r="I408" s="157"/>
      <c r="J408" s="76">
        <f t="shared" si="8"/>
        <v>943</v>
      </c>
      <c r="K408" s="68" t="s">
        <v>187</v>
      </c>
      <c r="L408" s="63"/>
      <c r="M408" s="65">
        <v>943</v>
      </c>
      <c r="N408" s="66"/>
      <c r="O408" s="137"/>
      <c r="P408" s="18">
        <v>0.253</v>
      </c>
      <c r="Q408" s="18">
        <v>0</v>
      </c>
      <c r="R408" s="18">
        <v>0</v>
      </c>
      <c r="S408" s="18">
        <v>0</v>
      </c>
      <c r="T408" s="94">
        <v>0.16900000000000001</v>
      </c>
    </row>
    <row r="409" spans="1:20" x14ac:dyDescent="0.25">
      <c r="A409" s="81" t="s">
        <v>213</v>
      </c>
      <c r="B409" s="118" t="s">
        <v>168</v>
      </c>
      <c r="C409" s="45" t="s">
        <v>195</v>
      </c>
      <c r="D409" s="70" t="s">
        <v>190</v>
      </c>
      <c r="E409" s="68" t="s">
        <v>22</v>
      </c>
      <c r="F409" s="58">
        <v>906</v>
      </c>
      <c r="G409" s="47"/>
      <c r="H409" s="187"/>
      <c r="I409" s="157"/>
      <c r="J409" s="76">
        <f t="shared" si="8"/>
        <v>906</v>
      </c>
      <c r="K409" s="68" t="s">
        <v>83</v>
      </c>
      <c r="L409" s="63"/>
      <c r="M409" s="65">
        <v>906</v>
      </c>
      <c r="N409" s="66"/>
      <c r="O409" s="137"/>
      <c r="P409" s="18">
        <v>0.253</v>
      </c>
      <c r="Q409" s="18">
        <v>0</v>
      </c>
      <c r="R409" s="18">
        <v>0</v>
      </c>
      <c r="S409" s="18">
        <v>0</v>
      </c>
      <c r="T409" s="94">
        <v>0.16900000000000001</v>
      </c>
    </row>
    <row r="410" spans="1:20" x14ac:dyDescent="0.25">
      <c r="A410" s="81" t="s">
        <v>213</v>
      </c>
      <c r="B410" s="118" t="s">
        <v>168</v>
      </c>
      <c r="C410" s="45" t="s">
        <v>195</v>
      </c>
      <c r="D410" s="70" t="s">
        <v>190</v>
      </c>
      <c r="E410" s="68" t="s">
        <v>22</v>
      </c>
      <c r="F410" s="58">
        <v>900</v>
      </c>
      <c r="G410" s="47"/>
      <c r="H410" s="187"/>
      <c r="I410" s="157"/>
      <c r="J410" s="76">
        <f t="shared" si="8"/>
        <v>900</v>
      </c>
      <c r="K410" s="68" t="s">
        <v>188</v>
      </c>
      <c r="L410" s="63"/>
      <c r="M410" s="65">
        <v>900</v>
      </c>
      <c r="N410" s="66"/>
      <c r="O410" s="137"/>
      <c r="P410" s="18">
        <v>0.28599999999999998</v>
      </c>
      <c r="Q410" s="18">
        <v>0</v>
      </c>
      <c r="R410" s="18">
        <v>0</v>
      </c>
      <c r="S410" s="18">
        <v>0</v>
      </c>
      <c r="T410" s="94">
        <v>0.23100000000000001</v>
      </c>
    </row>
    <row r="411" spans="1:20" x14ac:dyDescent="0.25">
      <c r="A411" s="81" t="s">
        <v>216</v>
      </c>
      <c r="B411" s="118" t="s">
        <v>168</v>
      </c>
      <c r="C411" s="45" t="s">
        <v>195</v>
      </c>
      <c r="D411" s="70" t="s">
        <v>190</v>
      </c>
      <c r="E411" s="68" t="s">
        <v>22</v>
      </c>
      <c r="F411" s="58">
        <v>939</v>
      </c>
      <c r="G411" s="47"/>
      <c r="H411" s="187"/>
      <c r="I411" s="157"/>
      <c r="J411" s="76">
        <f t="shared" si="8"/>
        <v>939</v>
      </c>
      <c r="K411" s="68" t="s">
        <v>84</v>
      </c>
      <c r="L411" s="63"/>
      <c r="M411" s="65">
        <v>939</v>
      </c>
      <c r="N411" s="66"/>
      <c r="O411" s="137"/>
      <c r="P411" s="18">
        <v>0.33500000000000002</v>
      </c>
      <c r="Q411" s="18">
        <v>0</v>
      </c>
      <c r="R411" s="18">
        <v>0</v>
      </c>
      <c r="S411" s="18">
        <v>0</v>
      </c>
      <c r="T411" s="94">
        <v>0.192</v>
      </c>
    </row>
    <row r="412" spans="1:20" x14ac:dyDescent="0.25">
      <c r="A412" s="81" t="s">
        <v>216</v>
      </c>
      <c r="B412" s="118" t="s">
        <v>168</v>
      </c>
      <c r="C412" s="45" t="s">
        <v>195</v>
      </c>
      <c r="D412" s="70" t="s">
        <v>190</v>
      </c>
      <c r="E412" s="68" t="s">
        <v>22</v>
      </c>
      <c r="F412" s="58">
        <v>900</v>
      </c>
      <c r="G412" s="47"/>
      <c r="H412" s="187"/>
      <c r="I412" s="157"/>
      <c r="J412" s="76">
        <f t="shared" si="8"/>
        <v>900</v>
      </c>
      <c r="K412" s="68" t="s">
        <v>85</v>
      </c>
      <c r="L412" s="63"/>
      <c r="M412" s="65">
        <v>900</v>
      </c>
      <c r="N412" s="66"/>
      <c r="O412" s="137"/>
      <c r="P412" s="18">
        <v>0.29599999999999999</v>
      </c>
      <c r="Q412" s="18">
        <v>0</v>
      </c>
      <c r="R412" s="18">
        <v>0</v>
      </c>
      <c r="S412" s="18">
        <v>0</v>
      </c>
      <c r="T412" s="94">
        <v>7.5999999999999998E-2</v>
      </c>
    </row>
    <row r="413" spans="1:20" x14ac:dyDescent="0.25">
      <c r="A413" s="81" t="s">
        <v>216</v>
      </c>
      <c r="B413" s="118" t="s">
        <v>168</v>
      </c>
      <c r="C413" s="45" t="s">
        <v>195</v>
      </c>
      <c r="D413" s="70" t="s">
        <v>190</v>
      </c>
      <c r="E413" s="68" t="s">
        <v>22</v>
      </c>
      <c r="F413" s="58">
        <v>561</v>
      </c>
      <c r="G413" s="47"/>
      <c r="H413" s="187"/>
      <c r="I413" s="157"/>
      <c r="J413" s="76">
        <f t="shared" si="8"/>
        <v>561</v>
      </c>
      <c r="K413" s="68" t="s">
        <v>86</v>
      </c>
      <c r="L413" s="63"/>
      <c r="M413" s="65">
        <v>561</v>
      </c>
      <c r="N413" s="66"/>
      <c r="O413" s="137"/>
      <c r="P413" s="18">
        <v>0.30599999999999999</v>
      </c>
      <c r="Q413" s="18">
        <v>0</v>
      </c>
      <c r="R413" s="18">
        <v>0</v>
      </c>
      <c r="S413" s="18">
        <v>0</v>
      </c>
      <c r="T413" s="94">
        <v>1.2999999999999999E-2</v>
      </c>
    </row>
    <row r="414" spans="1:20" x14ac:dyDescent="0.25">
      <c r="A414" s="81"/>
      <c r="B414" s="118"/>
      <c r="C414" s="45"/>
      <c r="D414" s="70"/>
      <c r="E414" s="68"/>
      <c r="F414" s="58"/>
      <c r="G414" s="47"/>
      <c r="H414" s="187"/>
      <c r="I414" s="157"/>
      <c r="J414" s="76"/>
      <c r="K414" s="68"/>
      <c r="L414" s="63"/>
      <c r="M414" s="65"/>
      <c r="N414" s="66"/>
      <c r="O414" s="137"/>
      <c r="P414" s="18"/>
      <c r="Q414" s="18"/>
      <c r="R414" s="18"/>
      <c r="S414" s="18"/>
      <c r="T414" s="94"/>
    </row>
    <row r="415" spans="1:20" x14ac:dyDescent="0.25">
      <c r="A415" s="81"/>
      <c r="B415" s="118"/>
      <c r="C415" s="45" t="s">
        <v>80</v>
      </c>
      <c r="D415" s="70" t="s">
        <v>198</v>
      </c>
      <c r="E415" s="68" t="s">
        <v>199</v>
      </c>
      <c r="F415" s="58">
        <v>1062</v>
      </c>
      <c r="G415" s="47"/>
      <c r="H415" s="187"/>
      <c r="I415" s="157"/>
      <c r="J415" s="76">
        <f t="shared" si="8"/>
        <v>1062</v>
      </c>
      <c r="K415" s="68"/>
      <c r="L415" s="63"/>
      <c r="M415" s="65">
        <v>1062</v>
      </c>
      <c r="N415" s="66"/>
      <c r="O415" s="137"/>
      <c r="P415" s="18">
        <v>0.43</v>
      </c>
      <c r="Q415" s="18"/>
      <c r="R415" s="18"/>
      <c r="S415" s="18">
        <v>0.54800000000000004</v>
      </c>
      <c r="T415" s="94">
        <v>2.3E-2</v>
      </c>
    </row>
    <row r="416" spans="1:20" x14ac:dyDescent="0.25">
      <c r="A416" s="81"/>
      <c r="B416" s="118"/>
      <c r="C416" s="45" t="s">
        <v>105</v>
      </c>
      <c r="D416" s="70" t="s">
        <v>198</v>
      </c>
      <c r="E416" s="68" t="s">
        <v>199</v>
      </c>
      <c r="F416" s="58">
        <v>1012</v>
      </c>
      <c r="G416" s="47"/>
      <c r="H416" s="187"/>
      <c r="I416" s="157"/>
      <c r="J416" s="76">
        <f t="shared" si="8"/>
        <v>1012</v>
      </c>
      <c r="K416" s="68"/>
      <c r="L416" s="63"/>
      <c r="M416" s="65">
        <v>1012</v>
      </c>
      <c r="N416" s="66"/>
      <c r="O416" s="137"/>
      <c r="P416" s="18">
        <v>0.254</v>
      </c>
      <c r="Q416" s="18"/>
      <c r="R416" s="18"/>
      <c r="S416" s="18">
        <v>0.72</v>
      </c>
      <c r="T416" s="94">
        <v>0.02</v>
      </c>
    </row>
    <row r="417" spans="1:20" x14ac:dyDescent="0.25">
      <c r="A417" s="81"/>
      <c r="B417" s="118"/>
      <c r="C417" s="45" t="s">
        <v>105</v>
      </c>
      <c r="D417" s="70" t="s">
        <v>198</v>
      </c>
      <c r="E417" s="68" t="s">
        <v>199</v>
      </c>
      <c r="F417" s="58">
        <v>1043</v>
      </c>
      <c r="G417" s="47"/>
      <c r="H417" s="187"/>
      <c r="I417" s="157"/>
      <c r="J417" s="76">
        <f t="shared" si="8"/>
        <v>1043</v>
      </c>
      <c r="K417" s="68"/>
      <c r="L417" s="63"/>
      <c r="M417" s="65">
        <v>1043</v>
      </c>
      <c r="N417" s="66"/>
      <c r="O417" s="137"/>
      <c r="P417" s="18">
        <v>0.19700000000000001</v>
      </c>
      <c r="Q417" s="18"/>
      <c r="R417" s="18"/>
      <c r="S417" s="18">
        <v>0.79500000000000004</v>
      </c>
      <c r="T417" s="94">
        <v>8.0000000000000002E-3</v>
      </c>
    </row>
    <row r="418" spans="1:20" x14ac:dyDescent="0.25">
      <c r="A418" s="81" t="s">
        <v>196</v>
      </c>
      <c r="B418" s="118"/>
      <c r="C418" s="45" t="s">
        <v>184</v>
      </c>
      <c r="D418" s="70" t="s">
        <v>198</v>
      </c>
      <c r="E418" s="68" t="s">
        <v>199</v>
      </c>
      <c r="F418" s="58">
        <v>887</v>
      </c>
      <c r="G418" s="47"/>
      <c r="H418" s="187"/>
      <c r="I418" s="157"/>
      <c r="J418" s="76">
        <f t="shared" si="8"/>
        <v>887</v>
      </c>
      <c r="K418" s="68"/>
      <c r="L418" s="63"/>
      <c r="M418" s="65">
        <v>887</v>
      </c>
      <c r="N418" s="66"/>
      <c r="O418" s="137"/>
      <c r="P418" s="18">
        <v>0.19500000000000001</v>
      </c>
      <c r="Q418" s="18"/>
      <c r="R418" s="18"/>
      <c r="S418" s="18">
        <v>0.71799999999999997</v>
      </c>
      <c r="T418" s="94">
        <v>8.6999999999999994E-2</v>
      </c>
    </row>
    <row r="419" spans="1:20" x14ac:dyDescent="0.25">
      <c r="A419" s="81" t="s">
        <v>196</v>
      </c>
      <c r="B419" s="118"/>
      <c r="C419" s="45" t="s">
        <v>184</v>
      </c>
      <c r="D419" s="70" t="s">
        <v>198</v>
      </c>
      <c r="E419" s="68" t="s">
        <v>199</v>
      </c>
      <c r="F419" s="58">
        <v>720</v>
      </c>
      <c r="G419" s="47"/>
      <c r="H419" s="187"/>
      <c r="I419" s="157"/>
      <c r="J419" s="76">
        <f t="shared" si="8"/>
        <v>720</v>
      </c>
      <c r="K419" s="68"/>
      <c r="L419" s="63"/>
      <c r="M419" s="65">
        <v>720</v>
      </c>
      <c r="N419" s="66"/>
      <c r="O419" s="137"/>
      <c r="P419" s="18">
        <v>0.193</v>
      </c>
      <c r="Q419" s="18"/>
      <c r="R419" s="18"/>
      <c r="S419" s="18">
        <v>0.78500000000000003</v>
      </c>
      <c r="T419" s="94">
        <v>2.1999999999999999E-2</v>
      </c>
    </row>
    <row r="420" spans="1:20" x14ac:dyDescent="0.25">
      <c r="A420" s="81" t="s">
        <v>230</v>
      </c>
      <c r="B420" s="118"/>
      <c r="C420" s="45" t="s">
        <v>217</v>
      </c>
      <c r="D420" s="70" t="s">
        <v>198</v>
      </c>
      <c r="E420" s="68" t="s">
        <v>199</v>
      </c>
      <c r="F420" s="58">
        <v>896</v>
      </c>
      <c r="G420" s="47"/>
      <c r="H420" s="187"/>
      <c r="I420" s="157"/>
      <c r="J420" s="76">
        <f t="shared" si="8"/>
        <v>896</v>
      </c>
      <c r="K420" s="68"/>
      <c r="L420" s="63"/>
      <c r="M420" s="65">
        <v>896</v>
      </c>
      <c r="N420" s="66"/>
      <c r="O420" s="137"/>
      <c r="P420" s="18">
        <v>0.22500000000000001</v>
      </c>
      <c r="Q420" s="18"/>
      <c r="R420" s="18"/>
      <c r="S420" s="18">
        <v>0.747</v>
      </c>
      <c r="T420" s="94">
        <v>2.9000000000000001E-2</v>
      </c>
    </row>
    <row r="421" spans="1:20" x14ac:dyDescent="0.25">
      <c r="A421" s="81" t="s">
        <v>244</v>
      </c>
      <c r="B421" s="118"/>
      <c r="C421" s="45" t="s">
        <v>245</v>
      </c>
      <c r="D421" s="70" t="s">
        <v>198</v>
      </c>
      <c r="E421" s="68" t="s">
        <v>199</v>
      </c>
      <c r="F421" s="58">
        <v>968</v>
      </c>
      <c r="G421" s="47"/>
      <c r="H421" s="187"/>
      <c r="I421" s="157"/>
      <c r="J421" s="76">
        <f t="shared" si="8"/>
        <v>968</v>
      </c>
      <c r="K421" s="68"/>
      <c r="L421" s="63"/>
      <c r="M421" s="65">
        <v>968</v>
      </c>
      <c r="N421" s="66"/>
      <c r="O421" s="137"/>
      <c r="P421" s="18">
        <v>0.29299999999999998</v>
      </c>
      <c r="Q421" s="18"/>
      <c r="R421" s="18"/>
      <c r="S421" s="18">
        <v>0.68600000000000005</v>
      </c>
      <c r="T421" s="94">
        <v>1.9E-2</v>
      </c>
    </row>
    <row r="422" spans="1:20" x14ac:dyDescent="0.25">
      <c r="A422" s="81" t="s">
        <v>244</v>
      </c>
      <c r="B422" s="118"/>
      <c r="C422" s="45" t="s">
        <v>245</v>
      </c>
      <c r="D422" s="70" t="s">
        <v>198</v>
      </c>
      <c r="E422" s="68" t="s">
        <v>199</v>
      </c>
      <c r="F422" s="58">
        <v>876</v>
      </c>
      <c r="G422" s="47"/>
      <c r="H422" s="187"/>
      <c r="I422" s="157"/>
      <c r="J422" s="76">
        <f t="shared" si="8"/>
        <v>876</v>
      </c>
      <c r="K422" s="68"/>
      <c r="L422" s="63"/>
      <c r="M422" s="65">
        <v>876</v>
      </c>
      <c r="N422" s="66"/>
      <c r="O422" s="137"/>
      <c r="P422" s="18">
        <v>0.25</v>
      </c>
      <c r="Q422" s="18"/>
      <c r="R422" s="18"/>
      <c r="S422" s="18">
        <v>0.626</v>
      </c>
      <c r="T422" s="94">
        <v>5.1999999999999998E-2</v>
      </c>
    </row>
    <row r="423" spans="1:20" x14ac:dyDescent="0.25">
      <c r="A423" s="81"/>
      <c r="B423" s="118"/>
      <c r="C423" s="45" t="s">
        <v>80</v>
      </c>
      <c r="D423" s="70" t="s">
        <v>200</v>
      </c>
      <c r="E423" s="68" t="s">
        <v>199</v>
      </c>
      <c r="F423" s="58">
        <v>669</v>
      </c>
      <c r="G423" s="47"/>
      <c r="H423" s="187"/>
      <c r="I423" s="157"/>
      <c r="J423" s="76">
        <f t="shared" si="8"/>
        <v>669</v>
      </c>
      <c r="K423" s="68"/>
      <c r="L423" s="63"/>
      <c r="M423" s="65">
        <v>669</v>
      </c>
      <c r="N423" s="66"/>
      <c r="O423" s="137"/>
      <c r="P423" s="18">
        <v>0.433</v>
      </c>
      <c r="Q423" s="18"/>
      <c r="R423" s="18"/>
      <c r="S423" s="18">
        <v>0.50900000000000001</v>
      </c>
      <c r="T423" s="94">
        <v>5.1999999999999998E-2</v>
      </c>
    </row>
    <row r="424" spans="1:20" x14ac:dyDescent="0.25">
      <c r="A424" s="81"/>
      <c r="B424" s="118"/>
      <c r="C424" s="45" t="s">
        <v>105</v>
      </c>
      <c r="D424" s="70" t="s">
        <v>200</v>
      </c>
      <c r="E424" s="68" t="s">
        <v>199</v>
      </c>
      <c r="F424" s="58">
        <v>1000</v>
      </c>
      <c r="G424" s="47"/>
      <c r="H424" s="187"/>
      <c r="I424" s="157"/>
      <c r="J424" s="76">
        <f t="shared" si="8"/>
        <v>1000</v>
      </c>
      <c r="K424" s="68"/>
      <c r="L424" s="63"/>
      <c r="M424" s="65">
        <v>1000</v>
      </c>
      <c r="N424" s="66"/>
      <c r="O424" s="137"/>
      <c r="P424" s="18">
        <v>0.32600000000000001</v>
      </c>
      <c r="Q424" s="18"/>
      <c r="R424" s="18"/>
      <c r="S424" s="18">
        <v>0.56899999999999995</v>
      </c>
      <c r="T424" s="94">
        <v>0.104</v>
      </c>
    </row>
    <row r="425" spans="1:20" x14ac:dyDescent="0.25">
      <c r="A425" s="81" t="s">
        <v>196</v>
      </c>
      <c r="B425" s="118"/>
      <c r="C425" s="45" t="s">
        <v>184</v>
      </c>
      <c r="D425" s="70" t="s">
        <v>200</v>
      </c>
      <c r="E425" s="68" t="s">
        <v>199</v>
      </c>
      <c r="F425" s="58">
        <v>928</v>
      </c>
      <c r="G425" s="47"/>
      <c r="H425" s="187"/>
      <c r="I425" s="157"/>
      <c r="J425" s="76">
        <f t="shared" si="8"/>
        <v>928</v>
      </c>
      <c r="K425" s="68"/>
      <c r="L425" s="63"/>
      <c r="M425" s="65">
        <v>928</v>
      </c>
      <c r="N425" s="66"/>
      <c r="O425" s="137"/>
      <c r="P425" s="18">
        <v>0.30199999999999999</v>
      </c>
      <c r="Q425" s="18"/>
      <c r="R425" s="18"/>
      <c r="S425" s="18">
        <v>0.68600000000000005</v>
      </c>
      <c r="T425" s="94">
        <v>1.2E-2</v>
      </c>
    </row>
    <row r="426" spans="1:20" x14ac:dyDescent="0.25">
      <c r="A426" s="81" t="s">
        <v>244</v>
      </c>
      <c r="B426" s="118"/>
      <c r="C426" s="45" t="s">
        <v>245</v>
      </c>
      <c r="D426" s="70" t="s">
        <v>200</v>
      </c>
      <c r="E426" s="68" t="s">
        <v>199</v>
      </c>
      <c r="F426" s="58">
        <v>850</v>
      </c>
      <c r="G426" s="47"/>
      <c r="H426" s="187"/>
      <c r="I426" s="157"/>
      <c r="J426" s="76">
        <f t="shared" si="8"/>
        <v>850</v>
      </c>
      <c r="K426" s="68"/>
      <c r="L426" s="63"/>
      <c r="M426" s="65">
        <v>850</v>
      </c>
      <c r="N426" s="66"/>
      <c r="O426" s="137"/>
      <c r="P426" s="18">
        <v>0.36</v>
      </c>
      <c r="Q426" s="18"/>
      <c r="R426" s="18"/>
      <c r="S426" s="18">
        <v>0.624</v>
      </c>
      <c r="T426" s="94">
        <v>1.6E-2</v>
      </c>
    </row>
    <row r="427" spans="1:20" x14ac:dyDescent="0.25">
      <c r="A427" s="81" t="s">
        <v>244</v>
      </c>
      <c r="B427" s="118"/>
      <c r="C427" s="45" t="s">
        <v>245</v>
      </c>
      <c r="D427" s="70" t="s">
        <v>285</v>
      </c>
      <c r="E427" s="68" t="s">
        <v>199</v>
      </c>
      <c r="F427" s="58">
        <v>954</v>
      </c>
      <c r="G427" s="47"/>
      <c r="H427" s="187"/>
      <c r="I427" s="157"/>
      <c r="J427" s="76">
        <f t="shared" si="8"/>
        <v>954</v>
      </c>
      <c r="K427" s="68"/>
      <c r="L427" s="63"/>
      <c r="M427" s="65">
        <v>954</v>
      </c>
      <c r="N427" s="66"/>
      <c r="O427" s="137"/>
      <c r="P427" s="18">
        <v>0.14000000000000001</v>
      </c>
      <c r="Q427" s="18"/>
      <c r="R427" s="18"/>
      <c r="S427" s="18">
        <v>0.752</v>
      </c>
      <c r="T427" s="94">
        <v>0.108</v>
      </c>
    </row>
    <row r="428" spans="1:20" x14ac:dyDescent="0.25">
      <c r="A428" s="81" t="s">
        <v>244</v>
      </c>
      <c r="B428" s="118"/>
      <c r="C428" s="45" t="s">
        <v>245</v>
      </c>
      <c r="D428" s="70" t="s">
        <v>285</v>
      </c>
      <c r="E428" s="68" t="s">
        <v>199</v>
      </c>
      <c r="F428" s="58">
        <v>900</v>
      </c>
      <c r="G428" s="47"/>
      <c r="H428" s="187"/>
      <c r="I428" s="157"/>
      <c r="J428" s="76">
        <f t="shared" si="8"/>
        <v>900</v>
      </c>
      <c r="K428" s="68"/>
      <c r="L428" s="63"/>
      <c r="M428" s="65">
        <v>900</v>
      </c>
      <c r="N428" s="66"/>
      <c r="O428" s="137"/>
      <c r="P428" s="18">
        <v>4.2000000000000003E-2</v>
      </c>
      <c r="Q428" s="18"/>
      <c r="R428" s="18"/>
      <c r="S428" s="18">
        <v>0.60799999999999998</v>
      </c>
      <c r="T428" s="94">
        <v>0.35</v>
      </c>
    </row>
    <row r="429" spans="1:20" x14ac:dyDescent="0.25">
      <c r="A429" s="81" t="s">
        <v>244</v>
      </c>
      <c r="B429" s="118"/>
      <c r="C429" s="45" t="s">
        <v>245</v>
      </c>
      <c r="D429" s="70" t="s">
        <v>285</v>
      </c>
      <c r="E429" s="68" t="s">
        <v>199</v>
      </c>
      <c r="F429" s="58">
        <v>959</v>
      </c>
      <c r="G429" s="47"/>
      <c r="H429" s="187"/>
      <c r="I429" s="157"/>
      <c r="J429" s="76">
        <f t="shared" si="8"/>
        <v>959</v>
      </c>
      <c r="K429" s="68"/>
      <c r="L429" s="63"/>
      <c r="M429" s="65">
        <v>959</v>
      </c>
      <c r="N429" s="66"/>
      <c r="O429" s="137"/>
      <c r="P429" s="18">
        <v>0.158</v>
      </c>
      <c r="Q429" s="18"/>
      <c r="R429" s="18"/>
      <c r="S429" s="18">
        <v>0.75800000000000001</v>
      </c>
      <c r="T429" s="94">
        <v>8.4000000000000005E-2</v>
      </c>
    </row>
    <row r="430" spans="1:20" x14ac:dyDescent="0.25">
      <c r="A430" s="81" t="s">
        <v>244</v>
      </c>
      <c r="B430" s="118"/>
      <c r="C430" s="45" t="s">
        <v>245</v>
      </c>
      <c r="D430" s="70" t="s">
        <v>285</v>
      </c>
      <c r="E430" s="68" t="s">
        <v>199</v>
      </c>
      <c r="F430" s="58">
        <v>880</v>
      </c>
      <c r="G430" s="47"/>
      <c r="H430" s="187"/>
      <c r="I430" s="157"/>
      <c r="J430" s="76">
        <f t="shared" si="8"/>
        <v>880</v>
      </c>
      <c r="K430" s="68"/>
      <c r="L430" s="63"/>
      <c r="M430" s="65">
        <v>880</v>
      </c>
      <c r="N430" s="66"/>
      <c r="O430" s="137"/>
      <c r="P430" s="18">
        <v>0.13800000000000001</v>
      </c>
      <c r="Q430" s="18"/>
      <c r="R430" s="18"/>
      <c r="S430" s="18">
        <v>0.71199999999999997</v>
      </c>
      <c r="T430" s="94">
        <v>0.15</v>
      </c>
    </row>
    <row r="431" spans="1:20" x14ac:dyDescent="0.25">
      <c r="A431" s="81" t="s">
        <v>244</v>
      </c>
      <c r="B431" s="118"/>
      <c r="C431" s="45" t="s">
        <v>245</v>
      </c>
      <c r="D431" s="70" t="s">
        <v>285</v>
      </c>
      <c r="E431" s="68" t="s">
        <v>199</v>
      </c>
      <c r="F431" s="58">
        <v>861</v>
      </c>
      <c r="G431" s="47"/>
      <c r="H431" s="187"/>
      <c r="I431" s="157"/>
      <c r="J431" s="76">
        <f t="shared" si="8"/>
        <v>861</v>
      </c>
      <c r="K431" s="68"/>
      <c r="L431" s="63"/>
      <c r="M431" s="65">
        <v>861</v>
      </c>
      <c r="N431" s="66"/>
      <c r="O431" s="137"/>
      <c r="P431" s="18">
        <v>0.112</v>
      </c>
      <c r="Q431" s="18"/>
      <c r="R431" s="18"/>
      <c r="S431" s="18">
        <v>0.49199999999999999</v>
      </c>
      <c r="T431" s="94">
        <v>0.39600000000000002</v>
      </c>
    </row>
    <row r="432" spans="1:20" x14ac:dyDescent="0.25">
      <c r="A432" s="81" t="s">
        <v>244</v>
      </c>
      <c r="B432" s="118"/>
      <c r="C432" s="45" t="s">
        <v>245</v>
      </c>
      <c r="D432" s="70" t="s">
        <v>285</v>
      </c>
      <c r="E432" s="68" t="s">
        <v>199</v>
      </c>
      <c r="F432" s="58">
        <v>863</v>
      </c>
      <c r="G432" s="47"/>
      <c r="H432" s="187"/>
      <c r="I432" s="157"/>
      <c r="J432" s="76">
        <f t="shared" si="8"/>
        <v>863</v>
      </c>
      <c r="K432" s="68"/>
      <c r="L432" s="63"/>
      <c r="M432" s="65">
        <v>863</v>
      </c>
      <c r="N432" s="66"/>
      <c r="O432" s="137"/>
      <c r="P432" s="18">
        <v>0.104</v>
      </c>
      <c r="Q432" s="18"/>
      <c r="R432" s="18"/>
      <c r="S432" s="18">
        <v>0.44600000000000001</v>
      </c>
      <c r="T432" s="94">
        <v>0.45</v>
      </c>
    </row>
    <row r="433" spans="1:20" x14ac:dyDescent="0.25">
      <c r="A433" s="81" t="s">
        <v>284</v>
      </c>
      <c r="B433" s="118"/>
      <c r="C433" s="45" t="s">
        <v>286</v>
      </c>
      <c r="D433" s="70" t="s">
        <v>285</v>
      </c>
      <c r="E433" s="68" t="s">
        <v>199</v>
      </c>
      <c r="F433" s="58">
        <v>670</v>
      </c>
      <c r="G433" s="47"/>
      <c r="H433" s="187"/>
      <c r="I433" s="157"/>
      <c r="J433" s="76">
        <f t="shared" si="8"/>
        <v>670</v>
      </c>
      <c r="K433" s="68"/>
      <c r="L433" s="63"/>
      <c r="M433" s="65"/>
      <c r="N433" s="66">
        <v>670</v>
      </c>
      <c r="O433" s="137"/>
      <c r="P433" s="18">
        <v>0.16200000000000001</v>
      </c>
      <c r="Q433" s="18"/>
      <c r="R433" s="18"/>
      <c r="S433" s="18">
        <v>0.70599999999999996</v>
      </c>
      <c r="T433" s="94">
        <v>0.13200000000000001</v>
      </c>
    </row>
    <row r="434" spans="1:20" x14ac:dyDescent="0.25">
      <c r="A434" s="81" t="s">
        <v>284</v>
      </c>
      <c r="B434" s="118"/>
      <c r="C434" s="45" t="s">
        <v>286</v>
      </c>
      <c r="D434" s="70" t="s">
        <v>285</v>
      </c>
      <c r="E434" s="68" t="s">
        <v>199</v>
      </c>
      <c r="F434" s="58">
        <v>570</v>
      </c>
      <c r="G434" s="47"/>
      <c r="H434" s="187"/>
      <c r="I434" s="157"/>
      <c r="J434" s="76">
        <f t="shared" si="8"/>
        <v>570</v>
      </c>
      <c r="K434" s="68"/>
      <c r="L434" s="63"/>
      <c r="M434" s="65"/>
      <c r="N434" s="66">
        <v>570</v>
      </c>
      <c r="O434" s="137"/>
      <c r="P434" s="18">
        <v>0.11</v>
      </c>
      <c r="Q434" s="18"/>
      <c r="R434" s="18"/>
      <c r="S434" s="18">
        <v>0.52200000000000002</v>
      </c>
      <c r="T434" s="94">
        <v>0.36799999999999999</v>
      </c>
    </row>
    <row r="435" spans="1:20" x14ac:dyDescent="0.25">
      <c r="A435" s="81" t="s">
        <v>284</v>
      </c>
      <c r="B435" s="118"/>
      <c r="C435" s="45" t="s">
        <v>286</v>
      </c>
      <c r="D435" s="70" t="s">
        <v>285</v>
      </c>
      <c r="E435" s="68" t="s">
        <v>199</v>
      </c>
      <c r="F435" s="58">
        <v>730</v>
      </c>
      <c r="G435" s="47"/>
      <c r="H435" s="187"/>
      <c r="I435" s="157"/>
      <c r="J435" s="76">
        <f t="shared" si="8"/>
        <v>730</v>
      </c>
      <c r="K435" s="68"/>
      <c r="L435" s="63"/>
      <c r="M435" s="65"/>
      <c r="N435" s="66">
        <v>730</v>
      </c>
      <c r="O435" s="137"/>
      <c r="P435" s="18">
        <v>0.183</v>
      </c>
      <c r="Q435" s="18"/>
      <c r="R435" s="18"/>
      <c r="S435" s="18">
        <v>0.751</v>
      </c>
      <c r="T435" s="94">
        <v>6.6000000000000003E-2</v>
      </c>
    </row>
    <row r="436" spans="1:20" x14ac:dyDescent="0.25">
      <c r="A436" s="81" t="s">
        <v>244</v>
      </c>
      <c r="B436" s="118"/>
      <c r="C436" s="45" t="s">
        <v>245</v>
      </c>
      <c r="D436" s="70" t="s">
        <v>287</v>
      </c>
      <c r="E436" s="68" t="s">
        <v>199</v>
      </c>
      <c r="F436" s="58">
        <v>845</v>
      </c>
      <c r="G436" s="47"/>
      <c r="H436" s="47"/>
      <c r="I436" s="47"/>
      <c r="J436" s="76">
        <f t="shared" si="8"/>
        <v>845</v>
      </c>
      <c r="K436" s="68"/>
      <c r="L436" s="63"/>
      <c r="M436" s="65">
        <v>845</v>
      </c>
      <c r="N436" s="66"/>
      <c r="O436" s="137"/>
      <c r="P436" s="18">
        <v>0.34599999999999997</v>
      </c>
      <c r="Q436" s="18"/>
      <c r="R436" s="18"/>
      <c r="S436" s="18">
        <v>0.65</v>
      </c>
      <c r="T436" s="94">
        <v>4.0000000000000001E-3</v>
      </c>
    </row>
    <row r="437" spans="1:20" x14ac:dyDescent="0.25">
      <c r="A437" s="124"/>
      <c r="B437" s="133"/>
      <c r="C437" s="125"/>
      <c r="D437" s="126"/>
      <c r="E437" s="87"/>
      <c r="F437" s="88"/>
      <c r="G437" s="89"/>
      <c r="H437" s="89"/>
      <c r="I437" s="89"/>
      <c r="J437" s="127"/>
      <c r="K437" s="90"/>
      <c r="L437" s="63"/>
      <c r="M437" s="64"/>
      <c r="N437" s="107"/>
      <c r="O437" s="115"/>
      <c r="P437" s="18"/>
      <c r="Q437" s="18"/>
      <c r="R437" s="18"/>
      <c r="S437" s="18"/>
      <c r="T437" s="18"/>
    </row>
    <row r="438" spans="1:20" x14ac:dyDescent="0.25">
      <c r="A438" s="124"/>
      <c r="B438" s="133"/>
      <c r="C438" s="125"/>
      <c r="D438" s="126"/>
      <c r="E438" s="87"/>
      <c r="F438" s="88"/>
      <c r="G438" s="89"/>
      <c r="H438" s="89"/>
      <c r="I438" s="89"/>
      <c r="J438" s="127"/>
      <c r="K438" s="90"/>
      <c r="L438" s="63"/>
      <c r="M438" s="65"/>
      <c r="N438" s="107"/>
      <c r="O438" s="115"/>
      <c r="P438" s="18"/>
      <c r="Q438" s="18"/>
      <c r="R438" s="18"/>
      <c r="S438" s="18"/>
      <c r="T438" s="18"/>
    </row>
    <row r="439" spans="1:20" ht="15.75" x14ac:dyDescent="0.25">
      <c r="A439" s="124"/>
      <c r="B439" s="133"/>
      <c r="C439" s="125"/>
      <c r="D439" s="126"/>
      <c r="E439" s="184"/>
      <c r="F439" s="88"/>
      <c r="G439" s="89"/>
      <c r="H439" s="89"/>
      <c r="I439" s="89"/>
      <c r="J439" s="127"/>
      <c r="K439" s="168"/>
      <c r="L439" s="63"/>
      <c r="M439" s="65"/>
      <c r="N439" s="107"/>
      <c r="O439" s="115"/>
      <c r="P439" s="18"/>
      <c r="Q439" s="18"/>
      <c r="R439" s="18"/>
      <c r="S439" s="18"/>
      <c r="T439" s="18"/>
    </row>
    <row r="440" spans="1:20" ht="15.75" x14ac:dyDescent="0.25">
      <c r="A440" s="124"/>
      <c r="B440" s="133"/>
      <c r="C440" s="125"/>
      <c r="D440" s="126" t="s">
        <v>151</v>
      </c>
      <c r="E440" s="184" t="s">
        <v>152</v>
      </c>
      <c r="F440" s="88"/>
      <c r="G440" s="89"/>
      <c r="H440" s="89"/>
      <c r="I440" s="89" t="s">
        <v>300</v>
      </c>
      <c r="J440" s="127"/>
      <c r="K440" s="90"/>
      <c r="L440" s="63"/>
      <c r="M440" s="65"/>
      <c r="N440" s="107"/>
      <c r="O440" s="115"/>
      <c r="P440" s="18"/>
      <c r="Q440" s="18"/>
      <c r="R440" s="18"/>
      <c r="S440" s="18"/>
      <c r="T440" s="18"/>
    </row>
    <row r="441" spans="1:20" ht="15.75" x14ac:dyDescent="0.25">
      <c r="A441" s="124"/>
      <c r="B441" s="133"/>
      <c r="C441" s="125"/>
      <c r="D441" s="126" t="s">
        <v>151</v>
      </c>
      <c r="E441" s="184" t="s">
        <v>152</v>
      </c>
      <c r="F441" s="88"/>
      <c r="G441" s="89">
        <v>1235</v>
      </c>
      <c r="H441" s="89"/>
      <c r="I441" s="89" t="s">
        <v>294</v>
      </c>
      <c r="J441" s="127"/>
      <c r="K441" s="90"/>
      <c r="L441" s="63"/>
      <c r="M441" s="65"/>
      <c r="N441" s="107"/>
      <c r="O441" s="115"/>
      <c r="P441" s="18"/>
      <c r="Q441" s="18"/>
      <c r="R441" s="18"/>
      <c r="S441" s="18"/>
      <c r="T441" s="18"/>
    </row>
    <row r="442" spans="1:20" x14ac:dyDescent="0.25">
      <c r="A442" s="124"/>
      <c r="B442" s="133"/>
      <c r="C442" s="125"/>
      <c r="D442" s="127"/>
      <c r="E442" s="87"/>
      <c r="F442" s="88"/>
      <c r="G442" s="91"/>
      <c r="H442" s="91"/>
      <c r="I442" s="91"/>
      <c r="J442" s="127"/>
      <c r="K442" s="144"/>
      <c r="L442" s="63"/>
      <c r="M442" s="65"/>
      <c r="N442" s="107"/>
      <c r="O442" s="115"/>
      <c r="P442" s="18"/>
      <c r="Q442" s="18"/>
      <c r="R442" s="18"/>
      <c r="S442" s="18"/>
      <c r="T442" s="18"/>
    </row>
    <row r="443" spans="1:20" x14ac:dyDescent="0.25">
      <c r="A443" s="127"/>
      <c r="B443" s="134"/>
      <c r="C443" s="125"/>
      <c r="D443" s="127"/>
      <c r="E443" s="87"/>
      <c r="F443" s="88"/>
      <c r="G443" s="91"/>
      <c r="H443" s="91"/>
      <c r="I443" s="91"/>
      <c r="J443" s="127"/>
      <c r="K443" s="90"/>
      <c r="L443" s="56"/>
      <c r="M443" s="65"/>
      <c r="N443" s="107"/>
      <c r="O443" s="115"/>
      <c r="P443" s="18"/>
      <c r="Q443" s="18"/>
      <c r="R443" s="18"/>
      <c r="S443" s="18"/>
      <c r="T443" s="18"/>
    </row>
    <row r="444" spans="1:20" x14ac:dyDescent="0.25">
      <c r="A444" s="128"/>
      <c r="B444" s="135"/>
      <c r="C444" s="129"/>
      <c r="D444" s="23" t="s">
        <v>15</v>
      </c>
      <c r="E444" s="52" t="s">
        <v>22</v>
      </c>
      <c r="F444" s="23">
        <f>SUM(F370:F443)</f>
        <v>53053</v>
      </c>
      <c r="G444" s="23">
        <f>SUM(G370:G443)</f>
        <v>1235</v>
      </c>
      <c r="H444" s="23"/>
      <c r="I444" s="23"/>
      <c r="J444" s="23">
        <f>F444-G444</f>
        <v>51818</v>
      </c>
      <c r="K444" s="24" t="s">
        <v>16</v>
      </c>
      <c r="L444" s="25">
        <f>SUM(L370:L436)</f>
        <v>0</v>
      </c>
      <c r="M444" s="25">
        <f>SUM(M370:M436)</f>
        <v>34801</v>
      </c>
      <c r="N444" s="25">
        <f>SUM(N370:N443)</f>
        <v>18252</v>
      </c>
      <c r="O444" s="25">
        <f>SUM(O370:O443)</f>
        <v>0</v>
      </c>
      <c r="P444" s="18"/>
      <c r="Q444" s="18"/>
      <c r="R444" s="18"/>
      <c r="S444" s="18"/>
      <c r="T444" s="18"/>
    </row>
    <row r="445" spans="1:20" x14ac:dyDescent="0.25">
      <c r="A445" s="128" t="s">
        <v>196</v>
      </c>
      <c r="B445" s="135" t="s">
        <v>168</v>
      </c>
      <c r="C445" s="129" t="s">
        <v>195</v>
      </c>
      <c r="D445" s="69" t="s">
        <v>197</v>
      </c>
      <c r="E445" s="72" t="s">
        <v>17</v>
      </c>
      <c r="F445" s="69">
        <v>967</v>
      </c>
      <c r="G445" s="69"/>
      <c r="H445" s="69"/>
      <c r="I445" s="69"/>
      <c r="J445" s="76">
        <f t="shared" ref="J445:J458" si="9">F445-G445</f>
        <v>967</v>
      </c>
      <c r="K445" s="68"/>
      <c r="L445" s="56"/>
      <c r="M445" s="65">
        <v>967</v>
      </c>
      <c r="N445" s="107"/>
      <c r="O445" s="115"/>
      <c r="P445" s="18"/>
      <c r="Q445" s="18"/>
      <c r="R445" s="18"/>
      <c r="S445" s="18"/>
      <c r="T445" s="18"/>
    </row>
    <row r="446" spans="1:20" x14ac:dyDescent="0.25">
      <c r="A446" s="128" t="s">
        <v>196</v>
      </c>
      <c r="B446" s="135" t="s">
        <v>168</v>
      </c>
      <c r="C446" s="129" t="s">
        <v>195</v>
      </c>
      <c r="D446" s="69" t="s">
        <v>197</v>
      </c>
      <c r="E446" s="72" t="s">
        <v>19</v>
      </c>
      <c r="F446" s="69">
        <v>972</v>
      </c>
      <c r="G446" s="46"/>
      <c r="H446" s="46"/>
      <c r="I446" s="46"/>
      <c r="J446" s="76">
        <f t="shared" si="9"/>
        <v>972</v>
      </c>
      <c r="K446" s="145"/>
      <c r="L446" s="63"/>
      <c r="M446" s="65">
        <v>972</v>
      </c>
      <c r="N446" s="107"/>
      <c r="O446" s="115"/>
      <c r="P446" s="18"/>
      <c r="Q446" s="18"/>
      <c r="R446" s="18"/>
      <c r="S446" s="18"/>
      <c r="T446" s="18"/>
    </row>
    <row r="447" spans="1:20" x14ac:dyDescent="0.25">
      <c r="A447" s="128" t="s">
        <v>216</v>
      </c>
      <c r="B447" s="135" t="s">
        <v>168</v>
      </c>
      <c r="C447" s="129" t="s">
        <v>195</v>
      </c>
      <c r="D447" s="69" t="s">
        <v>225</v>
      </c>
      <c r="E447" s="72" t="s">
        <v>19</v>
      </c>
      <c r="F447" s="69">
        <v>920</v>
      </c>
      <c r="G447" s="46"/>
      <c r="H447" s="46"/>
      <c r="I447" s="46"/>
      <c r="J447" s="76">
        <f t="shared" si="9"/>
        <v>920</v>
      </c>
      <c r="K447" s="145"/>
      <c r="L447" s="63"/>
      <c r="M447" s="65"/>
      <c r="N447" s="107">
        <v>920</v>
      </c>
      <c r="O447" s="115"/>
      <c r="P447" s="18">
        <v>0.45800000000000002</v>
      </c>
      <c r="Q447" s="18">
        <v>0.20499999999999999</v>
      </c>
      <c r="R447" s="18">
        <v>0.315</v>
      </c>
      <c r="S447" s="18"/>
      <c r="T447" s="18">
        <v>2.9000000000000001E-2</v>
      </c>
    </row>
    <row r="448" spans="1:20" x14ac:dyDescent="0.25">
      <c r="A448" s="128" t="s">
        <v>216</v>
      </c>
      <c r="B448" s="135" t="s">
        <v>168</v>
      </c>
      <c r="C448" s="129" t="s">
        <v>195</v>
      </c>
      <c r="D448" s="69" t="s">
        <v>225</v>
      </c>
      <c r="E448" s="72" t="s">
        <v>17</v>
      </c>
      <c r="F448" s="69">
        <v>730</v>
      </c>
      <c r="G448" s="46"/>
      <c r="H448" s="46"/>
      <c r="I448" s="46"/>
      <c r="J448" s="76">
        <f t="shared" si="9"/>
        <v>730</v>
      </c>
      <c r="K448" s="145"/>
      <c r="L448" s="63"/>
      <c r="M448" s="65">
        <v>730</v>
      </c>
      <c r="N448" s="107"/>
      <c r="O448" s="115"/>
      <c r="P448" s="18">
        <v>0.50600000000000001</v>
      </c>
      <c r="Q448" s="18">
        <v>0.26</v>
      </c>
      <c r="R448" s="18">
        <v>0.22</v>
      </c>
      <c r="S448" s="18"/>
      <c r="T448" s="18">
        <v>3.0000000000000001E-3</v>
      </c>
    </row>
    <row r="449" spans="1:20" x14ac:dyDescent="0.25">
      <c r="A449" s="128"/>
      <c r="B449" s="135"/>
      <c r="C449" s="129" t="s">
        <v>105</v>
      </c>
      <c r="D449" s="69" t="s">
        <v>288</v>
      </c>
      <c r="E449" s="72" t="s">
        <v>289</v>
      </c>
      <c r="F449" s="69">
        <v>1036</v>
      </c>
      <c r="G449" s="46"/>
      <c r="H449" s="46"/>
      <c r="I449" s="46"/>
      <c r="J449" s="76">
        <f t="shared" si="9"/>
        <v>1036</v>
      </c>
      <c r="K449" s="145"/>
      <c r="L449" s="63"/>
      <c r="M449" s="65">
        <v>1036</v>
      </c>
      <c r="N449" s="107"/>
      <c r="O449" s="115"/>
      <c r="P449" s="18">
        <v>0.34599999999999997</v>
      </c>
      <c r="Q449" s="18">
        <v>9.3299999999999994E-2</v>
      </c>
      <c r="R449" s="18">
        <v>9.3299999999999994E-2</v>
      </c>
      <c r="S449" s="18"/>
      <c r="T449" s="18">
        <v>5.6000000000000001E-2</v>
      </c>
    </row>
    <row r="450" spans="1:20" x14ac:dyDescent="0.25">
      <c r="A450" s="128"/>
      <c r="B450" s="135"/>
      <c r="C450" s="129" t="s">
        <v>105</v>
      </c>
      <c r="D450" s="69" t="s">
        <v>288</v>
      </c>
      <c r="E450" s="72" t="s">
        <v>289</v>
      </c>
      <c r="F450" s="69">
        <v>995</v>
      </c>
      <c r="G450" s="46"/>
      <c r="H450" s="46"/>
      <c r="I450" s="46"/>
      <c r="J450" s="76">
        <f t="shared" si="9"/>
        <v>995</v>
      </c>
      <c r="K450" s="145"/>
      <c r="L450" s="63"/>
      <c r="M450" s="65">
        <v>995</v>
      </c>
      <c r="N450" s="107"/>
      <c r="O450" s="115"/>
      <c r="P450" s="18">
        <v>0.44700000000000001</v>
      </c>
      <c r="Q450" s="18">
        <v>7.6600000000000001E-2</v>
      </c>
      <c r="R450" s="18">
        <v>0.1066</v>
      </c>
      <c r="S450" s="18"/>
      <c r="T450" s="18">
        <v>2.7E-2</v>
      </c>
    </row>
    <row r="451" spans="1:20" x14ac:dyDescent="0.25">
      <c r="A451" s="128"/>
      <c r="B451" s="135"/>
      <c r="C451" s="129" t="s">
        <v>137</v>
      </c>
      <c r="D451" s="69" t="s">
        <v>288</v>
      </c>
      <c r="E451" s="72" t="s">
        <v>289</v>
      </c>
      <c r="F451" s="69">
        <v>975</v>
      </c>
      <c r="G451" s="46"/>
      <c r="H451" s="46"/>
      <c r="I451" s="46"/>
      <c r="J451" s="76">
        <f t="shared" si="9"/>
        <v>975</v>
      </c>
      <c r="K451" s="145"/>
      <c r="L451" s="63"/>
      <c r="M451" s="65">
        <v>975</v>
      </c>
      <c r="N451" s="107"/>
      <c r="O451" s="115"/>
      <c r="P451" s="18">
        <v>0.36</v>
      </c>
      <c r="Q451" s="18">
        <v>0.1366</v>
      </c>
      <c r="R451" s="18">
        <v>0.12</v>
      </c>
      <c r="S451" s="18"/>
      <c r="T451" s="18">
        <v>4.2999999999999997E-2</v>
      </c>
    </row>
    <row r="452" spans="1:20" x14ac:dyDescent="0.25">
      <c r="A452" s="128"/>
      <c r="B452" s="135"/>
      <c r="C452" s="129" t="s">
        <v>245</v>
      </c>
      <c r="D452" s="69" t="s">
        <v>288</v>
      </c>
      <c r="E452" s="72" t="s">
        <v>289</v>
      </c>
      <c r="F452" s="69">
        <v>950</v>
      </c>
      <c r="G452" s="46"/>
      <c r="H452" s="46"/>
      <c r="I452" s="46"/>
      <c r="J452" s="76">
        <f t="shared" si="9"/>
        <v>950</v>
      </c>
      <c r="K452" s="145"/>
      <c r="L452" s="63"/>
      <c r="M452" s="65">
        <v>950</v>
      </c>
      <c r="N452" s="107"/>
      <c r="O452" s="115"/>
      <c r="P452" s="18">
        <v>0.45200000000000001</v>
      </c>
      <c r="Q452" s="18">
        <v>7.0000000000000007E-2</v>
      </c>
      <c r="R452" s="18">
        <v>0.13</v>
      </c>
      <c r="S452" s="18"/>
      <c r="T452" s="18">
        <v>0.1</v>
      </c>
    </row>
    <row r="453" spans="1:20" x14ac:dyDescent="0.25">
      <c r="A453" s="128"/>
      <c r="B453" s="135"/>
      <c r="C453" s="129" t="s">
        <v>245</v>
      </c>
      <c r="D453" s="69" t="s">
        <v>288</v>
      </c>
      <c r="E453" s="72" t="s">
        <v>289</v>
      </c>
      <c r="F453" s="69">
        <v>950</v>
      </c>
      <c r="G453" s="46"/>
      <c r="H453" s="46"/>
      <c r="I453" s="46"/>
      <c r="J453" s="76">
        <f t="shared" si="9"/>
        <v>950</v>
      </c>
      <c r="K453" s="145"/>
      <c r="L453" s="63"/>
      <c r="M453" s="65">
        <v>950</v>
      </c>
      <c r="N453" s="107"/>
      <c r="O453" s="115"/>
      <c r="P453" s="18">
        <v>0.53700000000000003</v>
      </c>
      <c r="Q453" s="18">
        <v>0.155</v>
      </c>
      <c r="R453" s="18">
        <v>0.17</v>
      </c>
      <c r="S453" s="18"/>
      <c r="T453" s="18">
        <v>5.7000000000000002E-2</v>
      </c>
    </row>
    <row r="454" spans="1:20" x14ac:dyDescent="0.25">
      <c r="A454" s="128"/>
      <c r="B454" s="135"/>
      <c r="C454" s="129" t="s">
        <v>245</v>
      </c>
      <c r="D454" s="69" t="s">
        <v>288</v>
      </c>
      <c r="E454" s="72" t="s">
        <v>289</v>
      </c>
      <c r="F454" s="69">
        <v>420</v>
      </c>
      <c r="G454" s="46"/>
      <c r="H454" s="46"/>
      <c r="I454" s="46"/>
      <c r="J454" s="76">
        <f t="shared" si="9"/>
        <v>420</v>
      </c>
      <c r="K454" s="145"/>
      <c r="L454" s="63"/>
      <c r="M454" s="65">
        <v>420</v>
      </c>
      <c r="N454" s="107"/>
      <c r="O454" s="115"/>
      <c r="P454" s="18">
        <v>0.50600000000000001</v>
      </c>
      <c r="Q454" s="18">
        <v>0.08</v>
      </c>
      <c r="R454" s="18">
        <v>6.5000000000000002E-2</v>
      </c>
      <c r="S454" s="18"/>
      <c r="T454" s="18">
        <v>0.15</v>
      </c>
    </row>
    <row r="455" spans="1:20" x14ac:dyDescent="0.25">
      <c r="A455" s="128"/>
      <c r="B455" s="135"/>
      <c r="C455" s="129" t="s">
        <v>137</v>
      </c>
      <c r="D455" s="69" t="s">
        <v>290</v>
      </c>
      <c r="E455" s="72" t="s">
        <v>19</v>
      </c>
      <c r="F455" s="69">
        <v>1174</v>
      </c>
      <c r="G455" s="46"/>
      <c r="H455" s="46"/>
      <c r="I455" s="46"/>
      <c r="J455" s="76">
        <f t="shared" si="9"/>
        <v>1174</v>
      </c>
      <c r="K455" s="145"/>
      <c r="L455" s="63"/>
      <c r="M455" s="65">
        <v>1174</v>
      </c>
      <c r="N455" s="107"/>
      <c r="O455" s="115"/>
      <c r="P455" s="18">
        <v>0.29199999999999998</v>
      </c>
      <c r="Q455" s="18">
        <v>6.6600000000000006E-2</v>
      </c>
      <c r="R455" s="18">
        <v>9.6600000000000005E-2</v>
      </c>
      <c r="S455" s="18"/>
      <c r="T455" s="18">
        <v>5.0999999999999997E-2</v>
      </c>
    </row>
    <row r="456" spans="1:20" x14ac:dyDescent="0.25">
      <c r="A456" s="128"/>
      <c r="B456" s="135"/>
      <c r="C456" s="129" t="s">
        <v>217</v>
      </c>
      <c r="D456" s="69" t="s">
        <v>290</v>
      </c>
      <c r="E456" s="72" t="s">
        <v>17</v>
      </c>
      <c r="F456" s="69">
        <v>1009</v>
      </c>
      <c r="G456" s="46"/>
      <c r="H456" s="46"/>
      <c r="I456" s="46"/>
      <c r="J456" s="76">
        <f t="shared" si="9"/>
        <v>1009</v>
      </c>
      <c r="K456" s="145"/>
      <c r="L456" s="63"/>
      <c r="M456" s="65">
        <v>1009</v>
      </c>
      <c r="N456" s="107"/>
      <c r="O456" s="115"/>
      <c r="P456" s="18">
        <v>0.23599999999999999</v>
      </c>
      <c r="Q456" s="18">
        <v>8.5000000000000006E-2</v>
      </c>
      <c r="R456" s="18">
        <v>7.0000000000000007E-2</v>
      </c>
      <c r="S456" s="18"/>
      <c r="T456" s="18">
        <v>8.0000000000000002E-3</v>
      </c>
    </row>
    <row r="457" spans="1:20" x14ac:dyDescent="0.25">
      <c r="A457" s="128"/>
      <c r="B457" s="135"/>
      <c r="C457" s="129" t="s">
        <v>245</v>
      </c>
      <c r="D457" s="69" t="s">
        <v>290</v>
      </c>
      <c r="E457" s="72" t="s">
        <v>17</v>
      </c>
      <c r="F457" s="69">
        <v>490</v>
      </c>
      <c r="G457" s="46"/>
      <c r="H457" s="46"/>
      <c r="I457" s="46"/>
      <c r="J457" s="76">
        <f t="shared" si="9"/>
        <v>490</v>
      </c>
      <c r="K457" s="145"/>
      <c r="L457" s="63"/>
      <c r="M457" s="65">
        <v>490</v>
      </c>
      <c r="N457" s="107"/>
      <c r="O457" s="115"/>
      <c r="P457" s="18">
        <v>0.436</v>
      </c>
      <c r="Q457" s="18">
        <v>0.09</v>
      </c>
      <c r="R457" s="18">
        <v>7.0000000000000007E-2</v>
      </c>
      <c r="S457" s="18"/>
      <c r="T457" s="18">
        <v>4.0000000000000001E-3</v>
      </c>
    </row>
    <row r="458" spans="1:20" x14ac:dyDescent="0.25">
      <c r="A458" s="128"/>
      <c r="B458" s="135"/>
      <c r="C458" s="129" t="s">
        <v>245</v>
      </c>
      <c r="D458" s="69" t="s">
        <v>290</v>
      </c>
      <c r="E458" s="72" t="s">
        <v>19</v>
      </c>
      <c r="F458" s="69">
        <v>537</v>
      </c>
      <c r="G458" s="46"/>
      <c r="H458" s="46"/>
      <c r="I458" s="46"/>
      <c r="J458" s="76">
        <f t="shared" si="9"/>
        <v>537</v>
      </c>
      <c r="K458" s="145"/>
      <c r="L458" s="63"/>
      <c r="M458" s="65">
        <v>537</v>
      </c>
      <c r="N458" s="107"/>
      <c r="O458" s="115"/>
      <c r="P458" s="18">
        <v>0.38200000000000001</v>
      </c>
      <c r="Q458" s="18">
        <v>7.0000000000000007E-2</v>
      </c>
      <c r="R458" s="18">
        <v>0.04</v>
      </c>
      <c r="S458" s="18"/>
      <c r="T458" s="18">
        <v>0.16200000000000001</v>
      </c>
    </row>
    <row r="459" spans="1:20" x14ac:dyDescent="0.25">
      <c r="A459" s="128"/>
      <c r="B459" s="135"/>
      <c r="C459" s="129"/>
      <c r="D459" s="69"/>
      <c r="E459" s="72"/>
      <c r="F459" s="69"/>
      <c r="G459" s="46"/>
      <c r="H459" s="46"/>
      <c r="I459" s="46"/>
      <c r="J459" s="76"/>
      <c r="K459" s="145"/>
      <c r="L459" s="63"/>
      <c r="M459" s="65"/>
      <c r="N459" s="107"/>
      <c r="O459" s="115"/>
      <c r="P459" s="18"/>
      <c r="Q459" s="18"/>
      <c r="R459" s="18"/>
      <c r="S459" s="18"/>
      <c r="T459" s="18"/>
    </row>
    <row r="460" spans="1:20" x14ac:dyDescent="0.25">
      <c r="A460" s="128"/>
      <c r="B460" s="135"/>
      <c r="C460" s="129"/>
      <c r="D460" s="69"/>
      <c r="E460" s="72"/>
      <c r="F460" s="69"/>
      <c r="G460" s="46"/>
      <c r="H460" s="46"/>
      <c r="I460" s="46"/>
      <c r="J460" s="76"/>
      <c r="K460" s="145"/>
      <c r="L460" s="63"/>
      <c r="M460" s="65"/>
      <c r="N460" s="107"/>
      <c r="O460" s="115"/>
      <c r="P460" s="18"/>
      <c r="Q460" s="18"/>
      <c r="R460" s="18"/>
      <c r="S460" s="18"/>
      <c r="T460" s="18"/>
    </row>
    <row r="461" spans="1:20" x14ac:dyDescent="0.25">
      <c r="A461" s="128"/>
      <c r="B461" s="135"/>
      <c r="C461" s="129"/>
      <c r="D461" s="46"/>
      <c r="E461" s="146"/>
      <c r="F461" s="46"/>
      <c r="G461" s="46"/>
      <c r="H461" s="46"/>
      <c r="I461" s="46"/>
      <c r="J461" s="70">
        <f t="shared" ref="J461" si="10">F461-G461</f>
        <v>0</v>
      </c>
      <c r="K461" s="145"/>
      <c r="L461" s="63"/>
      <c r="M461" s="65"/>
      <c r="N461" s="107"/>
      <c r="O461" s="115"/>
      <c r="P461" s="18"/>
      <c r="Q461" s="18"/>
      <c r="R461" s="18"/>
      <c r="S461" s="18"/>
      <c r="T461" s="18"/>
    </row>
    <row r="462" spans="1:20" x14ac:dyDescent="0.25">
      <c r="A462" s="70"/>
      <c r="B462" s="131"/>
      <c r="C462" s="70"/>
      <c r="D462" s="23" t="s">
        <v>15</v>
      </c>
      <c r="E462" s="52" t="s">
        <v>39</v>
      </c>
      <c r="F462" s="25">
        <f>SUM(F445:F461)</f>
        <v>12125</v>
      </c>
      <c r="G462" s="25">
        <f>SUM(G461:G461)</f>
        <v>0</v>
      </c>
      <c r="H462" s="23"/>
      <c r="I462" s="23"/>
      <c r="J462" s="25">
        <f>F462-G462</f>
        <v>12125</v>
      </c>
      <c r="K462" s="24" t="s">
        <v>16</v>
      </c>
      <c r="L462" s="25">
        <f>SUM(L445:L461)</f>
        <v>0</v>
      </c>
      <c r="M462" s="25">
        <f>SUM(M445:M461)</f>
        <v>11205</v>
      </c>
      <c r="N462" s="25">
        <f>SUM(N445:N461)</f>
        <v>920</v>
      </c>
      <c r="O462" s="25">
        <f>SUM(O370:O461)</f>
        <v>0</v>
      </c>
      <c r="P462" s="26"/>
      <c r="Q462" s="26"/>
      <c r="R462" s="26"/>
      <c r="S462" s="26"/>
      <c r="T462" s="26"/>
    </row>
    <row r="463" spans="1:20" x14ac:dyDescent="0.25">
      <c r="A463" s="70"/>
      <c r="B463" s="131"/>
      <c r="C463" s="81"/>
      <c r="D463" s="70"/>
      <c r="E463" s="108"/>
      <c r="F463" s="70"/>
      <c r="G463" s="70"/>
      <c r="H463" s="70"/>
      <c r="I463" s="70"/>
      <c r="J463" s="70"/>
      <c r="K463" s="70"/>
      <c r="L463" s="101"/>
      <c r="M463" s="109"/>
      <c r="N463" s="107"/>
      <c r="O463" s="115"/>
      <c r="P463" s="26"/>
      <c r="Q463" s="26"/>
      <c r="R463" s="26"/>
      <c r="S463" s="26"/>
      <c r="T463" s="26"/>
    </row>
    <row r="464" spans="1:20" x14ac:dyDescent="0.25">
      <c r="A464" s="70"/>
      <c r="B464" s="131"/>
      <c r="C464" s="70"/>
      <c r="D464" s="70"/>
      <c r="E464" s="70"/>
      <c r="F464" s="70"/>
      <c r="G464" s="70"/>
      <c r="H464" s="70"/>
      <c r="I464" s="70"/>
      <c r="J464" s="70"/>
      <c r="K464" s="70"/>
      <c r="L464" s="101"/>
      <c r="M464" s="109"/>
      <c r="N464" s="107"/>
      <c r="O464" s="115"/>
      <c r="P464" s="26"/>
      <c r="Q464" s="26"/>
      <c r="R464" s="26"/>
      <c r="S464" s="26"/>
      <c r="T464" s="70"/>
    </row>
    <row r="465" spans="1:20" x14ac:dyDescent="0.25">
      <c r="A465" s="70"/>
      <c r="B465" s="131"/>
      <c r="C465" s="70"/>
      <c r="D465" s="204" t="s">
        <v>49</v>
      </c>
      <c r="E465" s="205"/>
      <c r="F465" s="39">
        <f>SUM(F34,F170,F369,F444,F462)</f>
        <v>378054</v>
      </c>
      <c r="G465" s="39">
        <f>SUM(G34,G170,G369,G444,G462)</f>
        <v>1235</v>
      </c>
      <c r="H465" s="39"/>
      <c r="I465" s="39"/>
      <c r="J465" s="39">
        <f>SUM(F465-G465)</f>
        <v>376819</v>
      </c>
      <c r="K465" s="40" t="s">
        <v>16</v>
      </c>
      <c r="L465" s="39">
        <f>SUM(L34,L170,L369,L444,L462)</f>
        <v>0</v>
      </c>
      <c r="M465" s="39">
        <f>SUM(M34,M170,M369,M444,M462)</f>
        <v>267882</v>
      </c>
      <c r="N465" s="39">
        <f>SUM(N34,N170,N369,N444,N462)</f>
        <v>110172</v>
      </c>
      <c r="O465" s="39">
        <f>SUM(O34,O170,O369,O444,O462)</f>
        <v>0</v>
      </c>
      <c r="P465" s="26"/>
      <c r="Q465" s="26"/>
      <c r="R465" s="26"/>
      <c r="S465" s="26"/>
      <c r="T465" s="70"/>
    </row>
    <row r="466" spans="1:20" x14ac:dyDescent="0.25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6"/>
      <c r="Q466" s="116"/>
      <c r="R466" s="116"/>
      <c r="S466" s="116"/>
      <c r="T466" s="111"/>
    </row>
    <row r="467" spans="1:20" ht="18" x14ac:dyDescent="0.25">
      <c r="A467" s="111"/>
      <c r="B467" s="111"/>
      <c r="C467" s="111"/>
      <c r="D467" s="41"/>
      <c r="E467" s="111"/>
      <c r="F467" s="111"/>
      <c r="G467" s="111"/>
      <c r="H467" s="111"/>
      <c r="I467" s="111"/>
      <c r="J467" s="111"/>
      <c r="K467" s="42" t="s">
        <v>20</v>
      </c>
      <c r="L467" s="42">
        <f>F465-L465-M465-N465-O465</f>
        <v>0</v>
      </c>
      <c r="M467" s="111"/>
      <c r="N467" s="111"/>
      <c r="O467" s="111"/>
      <c r="P467" s="111"/>
      <c r="Q467" s="111"/>
      <c r="R467" s="111"/>
      <c r="S467" s="111"/>
      <c r="T467" s="111"/>
    </row>
  </sheetData>
  <mergeCells count="4">
    <mergeCell ref="A1:C1"/>
    <mergeCell ref="G1:J1"/>
    <mergeCell ref="K1:L1"/>
    <mergeCell ref="D465:E465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0C82-34A3-4FB4-A98E-B79CCA462071}">
  <sheetPr codeName="Foglio5"/>
  <dimension ref="A1:U64"/>
  <sheetViews>
    <sheetView topLeftCell="A4" zoomScaleNormal="100" workbookViewId="0">
      <selection activeCell="D11" sqref="D11"/>
    </sheetView>
  </sheetViews>
  <sheetFormatPr defaultRowHeight="15" x14ac:dyDescent="0.25"/>
  <cols>
    <col min="1" max="1" width="9.7109375" customWidth="1"/>
    <col min="2" max="2" width="12.42578125" customWidth="1"/>
    <col min="3" max="3" width="16.42578125" customWidth="1"/>
    <col min="4" max="4" width="33" customWidth="1"/>
    <col min="5" max="5" width="16.5703125" customWidth="1"/>
    <col min="6" max="6" width="11.5703125" customWidth="1"/>
    <col min="7" max="8" width="14.42578125" customWidth="1"/>
    <col min="9" max="9" width="13.140625" customWidth="1"/>
    <col min="10" max="10" width="12.85546875" customWidth="1"/>
    <col min="11" max="11" width="17.7109375" customWidth="1"/>
    <col min="12" max="12" width="10" customWidth="1"/>
    <col min="13" max="13" width="10.42578125" customWidth="1"/>
    <col min="14" max="14" width="10.5703125" customWidth="1"/>
    <col min="15" max="15" width="9.85546875" customWidth="1"/>
  </cols>
  <sheetData>
    <row r="1" spans="1:21" ht="27" thickBot="1" x14ac:dyDescent="0.45">
      <c r="A1" s="203" t="s">
        <v>0</v>
      </c>
      <c r="B1" s="203"/>
      <c r="C1" s="203"/>
      <c r="D1" s="1">
        <v>46231</v>
      </c>
      <c r="E1" s="2"/>
      <c r="F1" s="3"/>
      <c r="G1" s="228" t="s">
        <v>131</v>
      </c>
      <c r="H1" s="229"/>
      <c r="I1" s="229"/>
      <c r="J1" s="229"/>
      <c r="K1" s="229"/>
      <c r="L1" s="229"/>
      <c r="M1" s="229"/>
      <c r="N1" s="229"/>
    </row>
    <row r="2" spans="1:21" ht="15.75" thickTop="1" x14ac:dyDescent="0.25">
      <c r="A2" s="4"/>
      <c r="B2" s="4"/>
      <c r="C2" s="4"/>
      <c r="D2" s="4"/>
      <c r="E2" s="5"/>
    </row>
    <row r="3" spans="1:21" ht="38.25" x14ac:dyDescent="0.25">
      <c r="A3" s="6" t="s">
        <v>2</v>
      </c>
      <c r="B3" s="73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52" t="s">
        <v>31</v>
      </c>
      <c r="N3" s="136" t="s">
        <v>32</v>
      </c>
      <c r="O3" s="54" t="s">
        <v>40</v>
      </c>
      <c r="P3" s="12" t="s">
        <v>10</v>
      </c>
      <c r="Q3" s="12" t="s">
        <v>11</v>
      </c>
      <c r="R3" s="12" t="s">
        <v>12</v>
      </c>
      <c r="S3" s="12" t="s">
        <v>13</v>
      </c>
      <c r="T3" s="67" t="s">
        <v>36</v>
      </c>
      <c r="U3" s="138"/>
    </row>
    <row r="4" spans="1:21" x14ac:dyDescent="0.25">
      <c r="A4" s="188" t="s">
        <v>170</v>
      </c>
      <c r="B4" s="92" t="s">
        <v>168</v>
      </c>
      <c r="C4" s="161" t="s">
        <v>57</v>
      </c>
      <c r="D4" s="72" t="s">
        <v>171</v>
      </c>
      <c r="E4" s="72" t="s">
        <v>14</v>
      </c>
      <c r="F4" s="163">
        <v>1000</v>
      </c>
      <c r="G4" s="76"/>
      <c r="H4" s="76"/>
      <c r="I4" s="76"/>
      <c r="J4" s="76">
        <f t="shared" ref="J4:J5" si="0">F4-G4</f>
        <v>1000</v>
      </c>
      <c r="K4" s="72" t="s">
        <v>60</v>
      </c>
      <c r="L4" s="63"/>
      <c r="M4" s="141"/>
      <c r="N4" s="165">
        <v>1000</v>
      </c>
      <c r="O4" s="142"/>
      <c r="P4" s="16">
        <v>0</v>
      </c>
      <c r="Q4" s="18">
        <v>1.3299999999999999E-2</v>
      </c>
      <c r="R4" s="18">
        <v>3.6600000000000001E-2</v>
      </c>
      <c r="S4" s="16">
        <v>0</v>
      </c>
      <c r="T4" s="13">
        <v>0</v>
      </c>
      <c r="U4" s="119"/>
    </row>
    <row r="5" spans="1:21" x14ac:dyDescent="0.25">
      <c r="A5" s="188" t="s">
        <v>170</v>
      </c>
      <c r="B5" s="92" t="s">
        <v>168</v>
      </c>
      <c r="C5" s="161" t="s">
        <v>57</v>
      </c>
      <c r="D5" s="72" t="s">
        <v>171</v>
      </c>
      <c r="E5" s="72" t="s">
        <v>14</v>
      </c>
      <c r="F5" s="163">
        <v>669</v>
      </c>
      <c r="G5" s="76"/>
      <c r="H5" s="76"/>
      <c r="I5" s="76"/>
      <c r="J5" s="76">
        <f t="shared" si="0"/>
        <v>669</v>
      </c>
      <c r="K5" s="72" t="s">
        <v>62</v>
      </c>
      <c r="L5" s="63"/>
      <c r="M5" s="141"/>
      <c r="N5" s="165">
        <v>669</v>
      </c>
      <c r="O5" s="142"/>
      <c r="P5" s="16">
        <v>1E-3</v>
      </c>
      <c r="Q5" s="18">
        <v>0.02</v>
      </c>
      <c r="R5" s="18">
        <v>0.05</v>
      </c>
      <c r="S5" s="16">
        <v>0</v>
      </c>
      <c r="T5" s="13">
        <v>0</v>
      </c>
      <c r="U5" s="119"/>
    </row>
    <row r="6" spans="1:21" x14ac:dyDescent="0.25">
      <c r="A6" s="19"/>
      <c r="B6" s="74"/>
      <c r="C6" s="96"/>
      <c r="D6" s="20"/>
      <c r="E6" s="97"/>
      <c r="F6" s="98"/>
      <c r="G6" s="98"/>
      <c r="H6" s="98"/>
      <c r="I6" s="98"/>
      <c r="J6" s="98"/>
      <c r="K6" s="21"/>
      <c r="L6" s="14"/>
      <c r="M6" s="143"/>
      <c r="N6" s="15"/>
      <c r="O6" s="53"/>
      <c r="P6" s="16"/>
      <c r="Q6" s="17"/>
      <c r="R6" s="17"/>
      <c r="S6" s="17"/>
      <c r="T6" s="13"/>
      <c r="U6" s="119"/>
    </row>
    <row r="7" spans="1:21" x14ac:dyDescent="0.25">
      <c r="A7" s="19"/>
      <c r="B7" s="74"/>
      <c r="C7" s="96"/>
      <c r="D7" s="20"/>
      <c r="E7" s="97"/>
      <c r="F7" s="98"/>
      <c r="G7" s="98"/>
      <c r="H7" s="98"/>
      <c r="I7" s="98"/>
      <c r="J7" s="98"/>
      <c r="K7" s="21"/>
      <c r="L7" s="14"/>
      <c r="M7" s="143"/>
      <c r="N7" s="15"/>
      <c r="O7" s="53"/>
      <c r="P7" s="16"/>
      <c r="Q7" s="17"/>
      <c r="R7" s="17"/>
      <c r="S7" s="17"/>
      <c r="T7" s="13"/>
      <c r="U7" s="119"/>
    </row>
    <row r="8" spans="1:21" x14ac:dyDescent="0.25">
      <c r="A8" s="112"/>
      <c r="B8" s="96"/>
      <c r="C8" s="99"/>
      <c r="D8" s="100"/>
      <c r="E8" s="120"/>
      <c r="F8" s="98"/>
      <c r="G8" s="98"/>
      <c r="H8" s="98"/>
      <c r="I8" s="98"/>
      <c r="J8" s="98"/>
      <c r="K8" s="21"/>
      <c r="L8" s="22"/>
      <c r="M8" s="143"/>
      <c r="N8" s="15"/>
      <c r="O8" s="53"/>
      <c r="P8" s="13"/>
      <c r="Q8" s="13"/>
      <c r="R8" s="13"/>
      <c r="S8" s="13"/>
      <c r="T8" s="13"/>
      <c r="U8" s="119"/>
    </row>
    <row r="9" spans="1:21" x14ac:dyDescent="0.25">
      <c r="A9" s="112"/>
      <c r="B9" s="112"/>
      <c r="C9" s="99"/>
      <c r="D9" s="100"/>
      <c r="E9" s="97"/>
      <c r="F9" s="98"/>
      <c r="G9" s="98"/>
      <c r="H9" s="98"/>
      <c r="I9" s="98"/>
      <c r="J9" s="98"/>
      <c r="K9" s="21"/>
      <c r="L9" s="22"/>
      <c r="M9" s="143"/>
      <c r="N9" s="15"/>
      <c r="O9" s="53"/>
      <c r="P9" s="13"/>
      <c r="Q9" s="13"/>
      <c r="R9" s="13"/>
      <c r="S9" s="13"/>
      <c r="T9" s="13"/>
      <c r="U9" s="119"/>
    </row>
    <row r="10" spans="1:21" x14ac:dyDescent="0.25">
      <c r="A10" s="112"/>
      <c r="B10" s="112"/>
      <c r="C10" s="99"/>
      <c r="D10" s="100"/>
      <c r="E10" s="97"/>
      <c r="F10" s="98"/>
      <c r="G10" s="98"/>
      <c r="H10" s="98"/>
      <c r="I10" s="98"/>
      <c r="J10" s="98"/>
      <c r="K10" s="21"/>
      <c r="L10" s="22"/>
      <c r="M10" s="143"/>
      <c r="N10" s="15"/>
      <c r="O10" s="53"/>
      <c r="P10" s="13"/>
      <c r="Q10" s="13"/>
      <c r="R10" s="13"/>
      <c r="S10" s="13"/>
      <c r="T10" s="13"/>
      <c r="U10" s="119"/>
    </row>
    <row r="11" spans="1:21" x14ac:dyDescent="0.25">
      <c r="A11" s="160"/>
      <c r="B11" s="116"/>
      <c r="C11" s="92"/>
      <c r="D11" s="23" t="s">
        <v>15</v>
      </c>
      <c r="E11" s="51" t="s">
        <v>14</v>
      </c>
      <c r="F11" s="23">
        <f>SUM(F4:F10)</f>
        <v>1669</v>
      </c>
      <c r="G11" s="23">
        <f>SUM(G4:G10)</f>
        <v>0</v>
      </c>
      <c r="H11" s="23"/>
      <c r="I11" s="23"/>
      <c r="J11" s="23">
        <f>F11-G11</f>
        <v>1669</v>
      </c>
      <c r="K11" s="24" t="s">
        <v>16</v>
      </c>
      <c r="L11" s="25">
        <f>SUM(L4:L5)</f>
        <v>0</v>
      </c>
      <c r="M11" s="25">
        <f>SUM(M4:M5)</f>
        <v>0</v>
      </c>
      <c r="N11" s="25">
        <f>SUM(N4:N8)</f>
        <v>1669</v>
      </c>
      <c r="O11" s="25">
        <f>SUM(O4:O5)</f>
        <v>0</v>
      </c>
      <c r="P11" s="26"/>
      <c r="Q11" s="26"/>
      <c r="R11" s="26"/>
      <c r="S11" s="26"/>
      <c r="T11" s="26"/>
      <c r="U11" s="119"/>
    </row>
    <row r="12" spans="1:21" x14ac:dyDescent="0.25">
      <c r="A12" s="188" t="s">
        <v>170</v>
      </c>
      <c r="B12" s="92" t="s">
        <v>168</v>
      </c>
      <c r="C12" s="161" t="s">
        <v>57</v>
      </c>
      <c r="D12" s="72" t="s">
        <v>171</v>
      </c>
      <c r="E12" s="72" t="s">
        <v>17</v>
      </c>
      <c r="F12" s="70">
        <v>1000</v>
      </c>
      <c r="G12" s="72"/>
      <c r="H12" s="72"/>
      <c r="I12" s="72"/>
      <c r="J12" s="76">
        <f t="shared" ref="J12:J13" si="1">F12-G12</f>
        <v>1000</v>
      </c>
      <c r="K12" s="72" t="s">
        <v>60</v>
      </c>
      <c r="L12" s="159"/>
      <c r="M12" s="143"/>
      <c r="N12" s="165">
        <v>1000</v>
      </c>
      <c r="O12" s="53"/>
      <c r="P12" s="18">
        <v>0</v>
      </c>
      <c r="Q12" s="18">
        <v>0.01</v>
      </c>
      <c r="R12" s="18">
        <v>0.04</v>
      </c>
      <c r="S12" s="18">
        <v>0</v>
      </c>
      <c r="T12" s="26">
        <v>0</v>
      </c>
      <c r="U12" s="119"/>
    </row>
    <row r="13" spans="1:21" x14ac:dyDescent="0.25">
      <c r="A13" s="188" t="s">
        <v>170</v>
      </c>
      <c r="B13" s="92" t="s">
        <v>168</v>
      </c>
      <c r="C13" s="161" t="s">
        <v>57</v>
      </c>
      <c r="D13" s="72" t="s">
        <v>171</v>
      </c>
      <c r="E13" s="72" t="s">
        <v>17</v>
      </c>
      <c r="F13" s="70">
        <v>1000</v>
      </c>
      <c r="G13" s="70"/>
      <c r="H13" s="70"/>
      <c r="I13" s="70"/>
      <c r="J13" s="76">
        <f t="shared" si="1"/>
        <v>1000</v>
      </c>
      <c r="K13" s="72" t="s">
        <v>62</v>
      </c>
      <c r="L13" s="159"/>
      <c r="M13" s="140"/>
      <c r="N13" s="165">
        <v>1000</v>
      </c>
      <c r="O13" s="95"/>
      <c r="P13" s="18">
        <v>0</v>
      </c>
      <c r="Q13" s="18">
        <v>0.01</v>
      </c>
      <c r="R13" s="18">
        <v>3.3300000000000003E-2</v>
      </c>
      <c r="S13" s="18">
        <v>0</v>
      </c>
      <c r="T13" s="26">
        <v>0</v>
      </c>
      <c r="U13" s="119"/>
    </row>
    <row r="14" spans="1:21" x14ac:dyDescent="0.25">
      <c r="A14" s="188" t="s">
        <v>170</v>
      </c>
      <c r="B14" s="92" t="s">
        <v>168</v>
      </c>
      <c r="C14" s="161" t="s">
        <v>57</v>
      </c>
      <c r="D14" s="72" t="s">
        <v>171</v>
      </c>
      <c r="E14" s="72" t="s">
        <v>17</v>
      </c>
      <c r="F14" s="70">
        <v>1000</v>
      </c>
      <c r="G14" s="70"/>
      <c r="H14" s="70"/>
      <c r="I14" s="70"/>
      <c r="J14" s="76">
        <f t="shared" ref="J14:J20" si="2">F14-G14</f>
        <v>1000</v>
      </c>
      <c r="K14" s="72" t="s">
        <v>65</v>
      </c>
      <c r="L14" s="159"/>
      <c r="M14" s="140"/>
      <c r="N14" s="165">
        <v>1000</v>
      </c>
      <c r="O14" s="95"/>
      <c r="P14" s="18">
        <v>0</v>
      </c>
      <c r="Q14" s="18">
        <v>1.3299999999999999E-2</v>
      </c>
      <c r="R14" s="18">
        <v>4.3299999999999998E-2</v>
      </c>
      <c r="S14" s="18">
        <v>0</v>
      </c>
      <c r="T14" s="26">
        <v>0</v>
      </c>
      <c r="U14" s="119"/>
    </row>
    <row r="15" spans="1:21" x14ac:dyDescent="0.25">
      <c r="A15" s="188" t="s">
        <v>170</v>
      </c>
      <c r="B15" s="92" t="s">
        <v>168</v>
      </c>
      <c r="C15" s="161" t="s">
        <v>57</v>
      </c>
      <c r="D15" s="72" t="s">
        <v>171</v>
      </c>
      <c r="E15" s="72" t="s">
        <v>17</v>
      </c>
      <c r="F15" s="70">
        <v>1000</v>
      </c>
      <c r="G15" s="70"/>
      <c r="H15" s="70"/>
      <c r="I15" s="70"/>
      <c r="J15" s="76">
        <f t="shared" si="2"/>
        <v>1000</v>
      </c>
      <c r="K15" s="72" t="s">
        <v>172</v>
      </c>
      <c r="L15" s="159"/>
      <c r="M15" s="140"/>
      <c r="N15" s="165">
        <v>1000</v>
      </c>
      <c r="O15" s="95"/>
      <c r="P15" s="18">
        <v>0</v>
      </c>
      <c r="Q15" s="18">
        <v>0.02</v>
      </c>
      <c r="R15" s="18">
        <v>4.3299999999999998E-2</v>
      </c>
      <c r="S15" s="18">
        <v>0</v>
      </c>
      <c r="T15" s="26">
        <v>0</v>
      </c>
      <c r="U15" s="119"/>
    </row>
    <row r="16" spans="1:21" x14ac:dyDescent="0.25">
      <c r="A16" s="188" t="s">
        <v>170</v>
      </c>
      <c r="B16" s="92" t="s">
        <v>168</v>
      </c>
      <c r="C16" s="161" t="s">
        <v>57</v>
      </c>
      <c r="D16" s="72" t="s">
        <v>171</v>
      </c>
      <c r="E16" s="72" t="s">
        <v>17</v>
      </c>
      <c r="F16" s="70">
        <v>1000</v>
      </c>
      <c r="G16" s="70"/>
      <c r="H16" s="70"/>
      <c r="I16" s="70"/>
      <c r="J16" s="76">
        <f t="shared" si="2"/>
        <v>1000</v>
      </c>
      <c r="K16" s="72" t="s">
        <v>67</v>
      </c>
      <c r="L16" s="159"/>
      <c r="M16" s="140"/>
      <c r="N16" s="165">
        <v>1000</v>
      </c>
      <c r="O16" s="95"/>
      <c r="P16" s="18">
        <v>0</v>
      </c>
      <c r="Q16" s="18">
        <v>0.01</v>
      </c>
      <c r="R16" s="18">
        <v>5.33E-2</v>
      </c>
      <c r="S16" s="18">
        <v>0</v>
      </c>
      <c r="T16" s="26">
        <v>0</v>
      </c>
      <c r="U16" s="119"/>
    </row>
    <row r="17" spans="1:21" x14ac:dyDescent="0.25">
      <c r="A17" s="188" t="s">
        <v>170</v>
      </c>
      <c r="B17" s="92" t="s">
        <v>168</v>
      </c>
      <c r="C17" s="161" t="s">
        <v>57</v>
      </c>
      <c r="D17" s="72" t="s">
        <v>171</v>
      </c>
      <c r="E17" s="72" t="s">
        <v>17</v>
      </c>
      <c r="F17" s="70">
        <v>1000</v>
      </c>
      <c r="G17" s="70"/>
      <c r="H17" s="70"/>
      <c r="I17" s="70"/>
      <c r="J17" s="76">
        <f t="shared" si="2"/>
        <v>1000</v>
      </c>
      <c r="K17" s="72" t="s">
        <v>173</v>
      </c>
      <c r="L17" s="159"/>
      <c r="M17" s="140"/>
      <c r="N17" s="165">
        <v>1000</v>
      </c>
      <c r="O17" s="95"/>
      <c r="P17" s="18">
        <v>0</v>
      </c>
      <c r="Q17" s="18">
        <v>3.3E-3</v>
      </c>
      <c r="R17" s="18">
        <v>0.06</v>
      </c>
      <c r="S17" s="18">
        <v>0</v>
      </c>
      <c r="T17" s="26">
        <v>0</v>
      </c>
      <c r="U17" s="119"/>
    </row>
    <row r="18" spans="1:21" x14ac:dyDescent="0.25">
      <c r="A18" s="188" t="s">
        <v>170</v>
      </c>
      <c r="B18" s="92" t="s">
        <v>168</v>
      </c>
      <c r="C18" s="161" t="s">
        <v>57</v>
      </c>
      <c r="D18" s="72" t="s">
        <v>171</v>
      </c>
      <c r="E18" s="72" t="s">
        <v>17</v>
      </c>
      <c r="F18" s="70">
        <v>1000</v>
      </c>
      <c r="G18" s="70"/>
      <c r="H18" s="70"/>
      <c r="I18" s="70"/>
      <c r="J18" s="76">
        <f t="shared" si="2"/>
        <v>1000</v>
      </c>
      <c r="K18" s="72" t="s">
        <v>174</v>
      </c>
      <c r="L18" s="159"/>
      <c r="M18" s="140"/>
      <c r="N18" s="165">
        <v>1000</v>
      </c>
      <c r="O18" s="95"/>
      <c r="P18" s="18">
        <v>0</v>
      </c>
      <c r="Q18" s="18">
        <v>3.3E-3</v>
      </c>
      <c r="R18" s="18">
        <v>3.3300000000000003E-2</v>
      </c>
      <c r="S18" s="18">
        <v>0</v>
      </c>
      <c r="T18" s="26">
        <v>0</v>
      </c>
      <c r="U18" s="119"/>
    </row>
    <row r="19" spans="1:21" x14ac:dyDescent="0.25">
      <c r="A19" s="188" t="s">
        <v>170</v>
      </c>
      <c r="B19" s="92" t="s">
        <v>168</v>
      </c>
      <c r="C19" s="161" t="s">
        <v>57</v>
      </c>
      <c r="D19" s="72" t="s">
        <v>171</v>
      </c>
      <c r="E19" s="72" t="s">
        <v>17</v>
      </c>
      <c r="F19" s="70">
        <v>1000</v>
      </c>
      <c r="G19" s="70"/>
      <c r="H19" s="70"/>
      <c r="I19" s="70"/>
      <c r="J19" s="76">
        <f t="shared" si="2"/>
        <v>1000</v>
      </c>
      <c r="K19" s="72" t="s">
        <v>175</v>
      </c>
      <c r="L19" s="159"/>
      <c r="M19" s="140"/>
      <c r="N19" s="165">
        <v>1000</v>
      </c>
      <c r="O19" s="95"/>
      <c r="P19" s="18">
        <v>0</v>
      </c>
      <c r="Q19" s="18">
        <v>1.66E-2</v>
      </c>
      <c r="R19" s="18">
        <v>0.06</v>
      </c>
      <c r="S19" s="18">
        <v>0</v>
      </c>
      <c r="T19" s="26">
        <v>0</v>
      </c>
      <c r="U19" s="119"/>
    </row>
    <row r="20" spans="1:21" x14ac:dyDescent="0.25">
      <c r="A20" s="188" t="s">
        <v>170</v>
      </c>
      <c r="B20" s="92" t="s">
        <v>168</v>
      </c>
      <c r="C20" s="161" t="s">
        <v>57</v>
      </c>
      <c r="D20" s="72" t="s">
        <v>171</v>
      </c>
      <c r="E20" s="72" t="s">
        <v>17</v>
      </c>
      <c r="F20" s="70">
        <v>653</v>
      </c>
      <c r="G20" s="70"/>
      <c r="H20" s="70"/>
      <c r="I20" s="70"/>
      <c r="J20" s="76">
        <f t="shared" si="2"/>
        <v>653</v>
      </c>
      <c r="K20" s="72" t="s">
        <v>176</v>
      </c>
      <c r="L20" s="159"/>
      <c r="M20" s="140"/>
      <c r="N20" s="165">
        <v>653</v>
      </c>
      <c r="O20" s="95"/>
      <c r="P20" s="18">
        <v>1E-3</v>
      </c>
      <c r="Q20" s="18">
        <v>2.3300000000000001E-2</v>
      </c>
      <c r="R20" s="18">
        <v>7.3300000000000004E-2</v>
      </c>
      <c r="S20" s="18">
        <v>0</v>
      </c>
      <c r="T20" s="26">
        <v>0</v>
      </c>
      <c r="U20" s="119"/>
    </row>
    <row r="21" spans="1:21" x14ac:dyDescent="0.25">
      <c r="A21" s="114"/>
      <c r="B21" s="78"/>
      <c r="C21" s="30"/>
      <c r="D21" s="31"/>
      <c r="E21" s="32"/>
      <c r="F21" s="104"/>
      <c r="G21" s="104"/>
      <c r="H21" s="104"/>
      <c r="I21" s="104"/>
      <c r="J21" s="104"/>
      <c r="K21" s="33"/>
      <c r="L21" s="27"/>
      <c r="M21" s="140"/>
      <c r="N21" s="103"/>
      <c r="O21" s="95"/>
      <c r="P21" s="18"/>
      <c r="Q21" s="18"/>
      <c r="R21" s="18"/>
      <c r="S21" s="18"/>
      <c r="T21" s="26"/>
      <c r="U21" s="119"/>
    </row>
    <row r="22" spans="1:21" x14ac:dyDescent="0.25">
      <c r="A22" s="114"/>
      <c r="B22" s="78"/>
      <c r="C22" s="78"/>
      <c r="D22" s="121"/>
      <c r="E22" s="83"/>
      <c r="F22" s="104"/>
      <c r="G22" s="104"/>
      <c r="H22" s="110"/>
      <c r="I22" s="105"/>
      <c r="J22" s="104"/>
      <c r="K22" s="33"/>
      <c r="L22" s="27"/>
      <c r="M22" s="140"/>
      <c r="N22" s="103"/>
      <c r="O22" s="95"/>
      <c r="P22" s="18"/>
      <c r="Q22" s="18"/>
      <c r="R22" s="18"/>
      <c r="S22" s="18"/>
      <c r="T22" s="26"/>
      <c r="U22" s="119"/>
    </row>
    <row r="23" spans="1:21" x14ac:dyDescent="0.25">
      <c r="A23" s="70"/>
      <c r="B23" s="79"/>
      <c r="C23" s="79"/>
      <c r="D23" s="23" t="s">
        <v>15</v>
      </c>
      <c r="E23" s="51" t="s">
        <v>17</v>
      </c>
      <c r="F23" s="23">
        <f>SUM(F12:F21)</f>
        <v>8653</v>
      </c>
      <c r="G23" s="23">
        <f>SUM(G13:G22)</f>
        <v>0</v>
      </c>
      <c r="H23" s="23"/>
      <c r="I23" s="23"/>
      <c r="J23" s="23">
        <f>F23-G23</f>
        <v>8653</v>
      </c>
      <c r="K23" s="24" t="s">
        <v>16</v>
      </c>
      <c r="L23" s="25">
        <f>SUM(L12:L20)</f>
        <v>0</v>
      </c>
      <c r="M23" s="25">
        <f>SUM(M13:M20)</f>
        <v>0</v>
      </c>
      <c r="N23" s="25">
        <f>SUM(N12:N20)</f>
        <v>8653</v>
      </c>
      <c r="O23" s="25">
        <f>SUM(O13:O20)</f>
        <v>0</v>
      </c>
      <c r="P23" s="26"/>
      <c r="Q23" s="26"/>
      <c r="R23" s="26"/>
      <c r="S23" s="26"/>
      <c r="T23" s="26"/>
      <c r="U23" s="119"/>
    </row>
    <row r="24" spans="1:21" x14ac:dyDescent="0.25">
      <c r="A24" s="188" t="s">
        <v>170</v>
      </c>
      <c r="B24" s="92" t="s">
        <v>168</v>
      </c>
      <c r="C24" s="161" t="s">
        <v>57</v>
      </c>
      <c r="D24" s="72" t="s">
        <v>171</v>
      </c>
      <c r="E24" s="72" t="s">
        <v>19</v>
      </c>
      <c r="F24" s="157">
        <v>1000</v>
      </c>
      <c r="G24" s="47"/>
      <c r="H24" s="47"/>
      <c r="I24" s="47"/>
      <c r="J24" s="70">
        <f t="shared" ref="J24" si="3">F24-G24</f>
        <v>1000</v>
      </c>
      <c r="K24" s="72" t="s">
        <v>60</v>
      </c>
      <c r="L24" s="166"/>
      <c r="M24" s="140"/>
      <c r="N24" s="164">
        <v>1000</v>
      </c>
      <c r="O24" s="95"/>
      <c r="P24" s="18">
        <v>0</v>
      </c>
      <c r="Q24" s="18">
        <v>3.3E-3</v>
      </c>
      <c r="R24" s="18">
        <v>3.6600000000000001E-2</v>
      </c>
      <c r="S24" s="18">
        <v>0</v>
      </c>
      <c r="T24" s="26">
        <v>0</v>
      </c>
      <c r="U24" s="119"/>
    </row>
    <row r="25" spans="1:21" x14ac:dyDescent="0.25">
      <c r="A25" s="188" t="s">
        <v>170</v>
      </c>
      <c r="B25" s="92" t="s">
        <v>168</v>
      </c>
      <c r="C25" s="161" t="s">
        <v>57</v>
      </c>
      <c r="D25" s="72" t="s">
        <v>171</v>
      </c>
      <c r="E25" s="72" t="s">
        <v>19</v>
      </c>
      <c r="F25" s="162">
        <v>1000</v>
      </c>
      <c r="G25" s="70"/>
      <c r="H25" s="70"/>
      <c r="I25" s="70"/>
      <c r="J25" s="70">
        <f t="shared" ref="J25:J33" si="4">F25-G25</f>
        <v>1000</v>
      </c>
      <c r="K25" s="72" t="s">
        <v>62</v>
      </c>
      <c r="L25" s="159"/>
      <c r="M25" s="28"/>
      <c r="N25" s="164">
        <v>1000</v>
      </c>
      <c r="O25" s="95"/>
      <c r="P25" s="18">
        <v>0</v>
      </c>
      <c r="Q25" s="18">
        <v>6.6E-3</v>
      </c>
      <c r="R25" s="18">
        <v>2.6599999999999999E-2</v>
      </c>
      <c r="S25" s="18">
        <v>0</v>
      </c>
      <c r="T25" s="26">
        <v>0</v>
      </c>
      <c r="U25" s="119"/>
    </row>
    <row r="26" spans="1:21" x14ac:dyDescent="0.25">
      <c r="A26" s="188" t="s">
        <v>170</v>
      </c>
      <c r="B26" s="92" t="s">
        <v>168</v>
      </c>
      <c r="C26" s="161" t="s">
        <v>57</v>
      </c>
      <c r="D26" s="72" t="s">
        <v>171</v>
      </c>
      <c r="E26" s="72" t="s">
        <v>19</v>
      </c>
      <c r="F26" s="157">
        <v>1000</v>
      </c>
      <c r="G26" s="70"/>
      <c r="H26" s="70"/>
      <c r="I26" s="70"/>
      <c r="J26" s="70">
        <f t="shared" si="4"/>
        <v>1000</v>
      </c>
      <c r="K26" s="72" t="s">
        <v>65</v>
      </c>
      <c r="L26" s="159"/>
      <c r="M26" s="65"/>
      <c r="N26" s="164">
        <v>1000</v>
      </c>
      <c r="O26" s="95"/>
      <c r="P26" s="18">
        <v>0</v>
      </c>
      <c r="Q26" s="18">
        <v>1.3299999999999999E-2</v>
      </c>
      <c r="R26" s="18">
        <v>5.6599999999999998E-2</v>
      </c>
      <c r="S26" s="18">
        <v>0</v>
      </c>
      <c r="T26" s="26">
        <v>0</v>
      </c>
      <c r="U26" s="119"/>
    </row>
    <row r="27" spans="1:21" x14ac:dyDescent="0.25">
      <c r="A27" s="188" t="s">
        <v>170</v>
      </c>
      <c r="B27" s="92" t="s">
        <v>168</v>
      </c>
      <c r="C27" s="161" t="s">
        <v>57</v>
      </c>
      <c r="D27" s="72" t="s">
        <v>171</v>
      </c>
      <c r="E27" s="72" t="s">
        <v>19</v>
      </c>
      <c r="F27" s="157">
        <v>1000</v>
      </c>
      <c r="G27" s="70"/>
      <c r="H27" s="70"/>
      <c r="I27" s="70"/>
      <c r="J27" s="70">
        <f t="shared" si="4"/>
        <v>1000</v>
      </c>
      <c r="K27" s="72" t="s">
        <v>172</v>
      </c>
      <c r="L27" s="159"/>
      <c r="M27" s="65"/>
      <c r="N27" s="164">
        <v>1000</v>
      </c>
      <c r="O27" s="95"/>
      <c r="P27" s="18">
        <v>1E-3</v>
      </c>
      <c r="Q27" s="18">
        <v>0.02</v>
      </c>
      <c r="R27" s="18">
        <v>0.06</v>
      </c>
      <c r="S27" s="18">
        <v>0</v>
      </c>
      <c r="T27" s="26">
        <v>0</v>
      </c>
      <c r="U27" s="119"/>
    </row>
    <row r="28" spans="1:21" x14ac:dyDescent="0.25">
      <c r="A28" s="188" t="s">
        <v>170</v>
      </c>
      <c r="B28" s="92" t="s">
        <v>168</v>
      </c>
      <c r="C28" s="161" t="s">
        <v>57</v>
      </c>
      <c r="D28" s="72" t="s">
        <v>171</v>
      </c>
      <c r="E28" s="72" t="s">
        <v>19</v>
      </c>
      <c r="F28" s="157">
        <v>1000</v>
      </c>
      <c r="G28" s="70"/>
      <c r="H28" s="70"/>
      <c r="I28" s="70"/>
      <c r="J28" s="70">
        <f t="shared" si="4"/>
        <v>1000</v>
      </c>
      <c r="K28" s="72" t="s">
        <v>67</v>
      </c>
      <c r="L28" s="159"/>
      <c r="M28" s="65"/>
      <c r="N28" s="164">
        <v>1000</v>
      </c>
      <c r="O28" s="95"/>
      <c r="P28" s="18">
        <v>0</v>
      </c>
      <c r="Q28" s="18">
        <v>0.01</v>
      </c>
      <c r="R28" s="18">
        <v>6.6600000000000006E-2</v>
      </c>
      <c r="S28" s="18">
        <v>0</v>
      </c>
      <c r="T28" s="26">
        <v>0</v>
      </c>
      <c r="U28" s="119"/>
    </row>
    <row r="29" spans="1:21" x14ac:dyDescent="0.25">
      <c r="A29" s="188" t="s">
        <v>170</v>
      </c>
      <c r="B29" s="92" t="s">
        <v>168</v>
      </c>
      <c r="C29" s="161" t="s">
        <v>57</v>
      </c>
      <c r="D29" s="72" t="s">
        <v>171</v>
      </c>
      <c r="E29" s="72" t="s">
        <v>19</v>
      </c>
      <c r="F29" s="157">
        <v>1000</v>
      </c>
      <c r="G29" s="70"/>
      <c r="H29" s="70"/>
      <c r="I29" s="70"/>
      <c r="J29" s="70">
        <f t="shared" si="4"/>
        <v>1000</v>
      </c>
      <c r="K29" s="72" t="s">
        <v>173</v>
      </c>
      <c r="L29" s="159"/>
      <c r="M29" s="65"/>
      <c r="N29" s="164">
        <v>1000</v>
      </c>
      <c r="O29" s="95"/>
      <c r="P29" s="18">
        <v>0</v>
      </c>
      <c r="Q29" s="18">
        <v>6.6E-3</v>
      </c>
      <c r="R29" s="18">
        <v>0.08</v>
      </c>
      <c r="S29" s="18">
        <v>0</v>
      </c>
      <c r="T29" s="26">
        <v>0</v>
      </c>
      <c r="U29" s="119"/>
    </row>
    <row r="30" spans="1:21" x14ac:dyDescent="0.25">
      <c r="A30" s="188" t="s">
        <v>170</v>
      </c>
      <c r="B30" s="92" t="s">
        <v>168</v>
      </c>
      <c r="C30" s="161" t="s">
        <v>57</v>
      </c>
      <c r="D30" s="72" t="s">
        <v>171</v>
      </c>
      <c r="E30" s="72" t="s">
        <v>19</v>
      </c>
      <c r="F30" s="157">
        <v>1000</v>
      </c>
      <c r="G30" s="70"/>
      <c r="H30" s="70"/>
      <c r="I30" s="70"/>
      <c r="J30" s="70">
        <f t="shared" si="4"/>
        <v>1000</v>
      </c>
      <c r="K30" s="72" t="s">
        <v>174</v>
      </c>
      <c r="L30" s="159"/>
      <c r="M30" s="65"/>
      <c r="N30" s="164">
        <v>1000</v>
      </c>
      <c r="O30" s="95"/>
      <c r="P30" s="18">
        <v>0</v>
      </c>
      <c r="Q30" s="18">
        <v>1.3299999999999999E-2</v>
      </c>
      <c r="R30" s="18">
        <v>7.6600000000000001E-2</v>
      </c>
      <c r="S30" s="18">
        <v>0</v>
      </c>
      <c r="T30" s="26">
        <v>0</v>
      </c>
      <c r="U30" s="119"/>
    </row>
    <row r="31" spans="1:21" x14ac:dyDescent="0.25">
      <c r="A31" s="188" t="s">
        <v>170</v>
      </c>
      <c r="B31" s="92" t="s">
        <v>168</v>
      </c>
      <c r="C31" s="161" t="s">
        <v>57</v>
      </c>
      <c r="D31" s="72" t="s">
        <v>171</v>
      </c>
      <c r="E31" s="72" t="s">
        <v>19</v>
      </c>
      <c r="F31" s="157">
        <v>1000</v>
      </c>
      <c r="G31" s="70"/>
      <c r="H31" s="70"/>
      <c r="I31" s="70"/>
      <c r="J31" s="70">
        <f t="shared" si="4"/>
        <v>1000</v>
      </c>
      <c r="K31" s="72" t="s">
        <v>175</v>
      </c>
      <c r="L31" s="159"/>
      <c r="M31" s="65"/>
      <c r="N31" s="164">
        <v>1000</v>
      </c>
      <c r="O31" s="95"/>
      <c r="P31" s="18">
        <v>0</v>
      </c>
      <c r="Q31" s="18">
        <v>0.01</v>
      </c>
      <c r="R31" s="18">
        <v>5.6599999999999998E-2</v>
      </c>
      <c r="S31" s="18">
        <v>0</v>
      </c>
      <c r="T31" s="26">
        <v>0</v>
      </c>
      <c r="U31" s="119"/>
    </row>
    <row r="32" spans="1:21" x14ac:dyDescent="0.25">
      <c r="A32" s="188" t="s">
        <v>170</v>
      </c>
      <c r="B32" s="92" t="s">
        <v>168</v>
      </c>
      <c r="C32" s="161" t="s">
        <v>57</v>
      </c>
      <c r="D32" s="72" t="s">
        <v>171</v>
      </c>
      <c r="E32" s="72" t="s">
        <v>19</v>
      </c>
      <c r="F32" s="157">
        <v>1000</v>
      </c>
      <c r="G32" s="70"/>
      <c r="H32" s="70"/>
      <c r="I32" s="70"/>
      <c r="J32" s="70">
        <f t="shared" si="4"/>
        <v>1000</v>
      </c>
      <c r="K32" s="72" t="s">
        <v>176</v>
      </c>
      <c r="L32" s="159"/>
      <c r="M32" s="65"/>
      <c r="N32" s="164">
        <v>1000</v>
      </c>
      <c r="O32" s="95"/>
      <c r="P32" s="18">
        <v>0</v>
      </c>
      <c r="Q32" s="18">
        <v>1.3299999999999999E-2</v>
      </c>
      <c r="R32" s="18">
        <v>7.3300000000000004E-2</v>
      </c>
      <c r="S32" s="18">
        <v>0</v>
      </c>
      <c r="T32" s="26">
        <v>0</v>
      </c>
      <c r="U32" s="119"/>
    </row>
    <row r="33" spans="1:21" x14ac:dyDescent="0.25">
      <c r="A33" s="188" t="s">
        <v>170</v>
      </c>
      <c r="B33" s="92" t="s">
        <v>168</v>
      </c>
      <c r="C33" s="161" t="s">
        <v>57</v>
      </c>
      <c r="D33" s="72" t="s">
        <v>171</v>
      </c>
      <c r="E33" s="72" t="s">
        <v>19</v>
      </c>
      <c r="F33" s="162">
        <v>1092</v>
      </c>
      <c r="G33" s="70"/>
      <c r="H33" s="70"/>
      <c r="I33" s="70"/>
      <c r="J33" s="70">
        <f t="shared" si="4"/>
        <v>1092</v>
      </c>
      <c r="K33" s="72" t="s">
        <v>177</v>
      </c>
      <c r="L33" s="63"/>
      <c r="M33" s="65"/>
      <c r="N33" s="66">
        <v>1092</v>
      </c>
      <c r="O33" s="95"/>
      <c r="P33" s="18">
        <v>1E-3</v>
      </c>
      <c r="Q33" s="18">
        <v>0.02</v>
      </c>
      <c r="R33" s="18">
        <v>8.6599999999999996E-2</v>
      </c>
      <c r="S33" s="18">
        <v>0</v>
      </c>
      <c r="T33" s="26">
        <v>0</v>
      </c>
      <c r="U33" s="119"/>
    </row>
    <row r="34" spans="1:21" x14ac:dyDescent="0.25">
      <c r="A34" s="34"/>
      <c r="B34" s="35"/>
      <c r="C34" s="35"/>
      <c r="D34" s="36"/>
      <c r="E34" s="37"/>
      <c r="F34" s="147"/>
      <c r="G34" s="147"/>
      <c r="H34" s="147"/>
      <c r="I34" s="147"/>
      <c r="J34" s="106"/>
      <c r="K34" s="38"/>
      <c r="L34" s="63"/>
      <c r="M34" s="65"/>
      <c r="N34" s="66"/>
      <c r="O34" s="95"/>
      <c r="P34" s="18"/>
      <c r="Q34" s="18"/>
      <c r="R34" s="18"/>
      <c r="S34" s="18"/>
      <c r="T34" s="26"/>
      <c r="U34" s="119"/>
    </row>
    <row r="35" spans="1:21" x14ac:dyDescent="0.25">
      <c r="A35" s="34"/>
      <c r="B35" s="35"/>
      <c r="C35" s="35"/>
      <c r="D35" s="36"/>
      <c r="E35" s="37"/>
      <c r="F35" s="147"/>
      <c r="G35" s="147"/>
      <c r="H35" s="147"/>
      <c r="I35" s="147"/>
      <c r="J35" s="106"/>
      <c r="K35" s="38"/>
      <c r="L35" s="27"/>
      <c r="M35" s="28"/>
      <c r="N35" s="103"/>
      <c r="O35" s="95"/>
      <c r="P35" s="18"/>
      <c r="Q35" s="29"/>
      <c r="R35" s="29"/>
      <c r="S35" s="29"/>
      <c r="T35" s="26"/>
      <c r="U35" s="119"/>
    </row>
    <row r="36" spans="1:21" x14ac:dyDescent="0.25">
      <c r="A36" s="34"/>
      <c r="B36" s="35"/>
      <c r="C36" s="80"/>
      <c r="D36" s="36"/>
      <c r="E36" s="37"/>
      <c r="F36" s="147"/>
      <c r="G36" s="147"/>
      <c r="H36" s="147"/>
      <c r="I36" s="147"/>
      <c r="J36" s="106"/>
      <c r="K36" s="38"/>
      <c r="L36" s="101"/>
      <c r="M36" s="102"/>
      <c r="N36" s="103"/>
      <c r="O36" s="95"/>
      <c r="P36" s="26"/>
      <c r="Q36" s="26"/>
      <c r="R36" s="26"/>
      <c r="S36" s="26"/>
      <c r="T36" s="26"/>
      <c r="U36" s="119"/>
    </row>
    <row r="37" spans="1:21" x14ac:dyDescent="0.25">
      <c r="A37" s="70"/>
      <c r="B37" s="131"/>
      <c r="C37" s="70"/>
      <c r="D37" s="23" t="s">
        <v>15</v>
      </c>
      <c r="E37" s="24" t="s">
        <v>19</v>
      </c>
      <c r="F37" s="23">
        <f>SUM(F24:F33)</f>
        <v>10092</v>
      </c>
      <c r="G37" s="23">
        <f>SUM(G25:G36)</f>
        <v>0</v>
      </c>
      <c r="H37" s="23"/>
      <c r="I37" s="23"/>
      <c r="J37" s="23">
        <f>F37-G37</f>
        <v>10092</v>
      </c>
      <c r="K37" s="24" t="s">
        <v>16</v>
      </c>
      <c r="L37" s="25">
        <f>SUM(L24:L33)</f>
        <v>0</v>
      </c>
      <c r="M37" s="25">
        <f>SUM(M25:M33)</f>
        <v>0</v>
      </c>
      <c r="N37" s="25">
        <f>SUM(N24:N33)</f>
        <v>10092</v>
      </c>
      <c r="O37" s="25">
        <f>SUM(O25:O33)</f>
        <v>0</v>
      </c>
      <c r="P37" s="26"/>
      <c r="Q37" s="26"/>
      <c r="R37" s="26"/>
      <c r="S37" s="26"/>
      <c r="T37" s="26"/>
      <c r="U37" s="119"/>
    </row>
    <row r="38" spans="1:21" x14ac:dyDescent="0.25">
      <c r="A38" s="188"/>
      <c r="B38" s="92"/>
      <c r="C38" s="161"/>
      <c r="D38" s="68"/>
      <c r="E38" s="68"/>
      <c r="F38" s="69"/>
      <c r="G38" s="47"/>
      <c r="H38" s="192"/>
      <c r="I38" s="47"/>
      <c r="J38" s="70"/>
      <c r="K38" s="68"/>
      <c r="L38" s="63"/>
      <c r="M38" s="65"/>
      <c r="N38" s="66"/>
      <c r="O38" s="137"/>
      <c r="P38" s="18"/>
      <c r="Q38" s="18"/>
      <c r="R38" s="18"/>
      <c r="S38" s="18"/>
      <c r="T38" s="94"/>
      <c r="U38" s="123"/>
    </row>
    <row r="39" spans="1:21" x14ac:dyDescent="0.25">
      <c r="A39" s="188"/>
      <c r="B39" s="92"/>
      <c r="C39" s="161"/>
      <c r="D39" s="68"/>
      <c r="E39" s="68"/>
      <c r="F39" s="58"/>
      <c r="G39" s="47"/>
      <c r="H39" s="192"/>
      <c r="I39" s="47"/>
      <c r="J39" s="70"/>
      <c r="K39" s="68"/>
      <c r="L39" s="63"/>
      <c r="M39" s="65"/>
      <c r="N39" s="107"/>
      <c r="O39" s="115"/>
      <c r="P39" s="18"/>
      <c r="Q39" s="18"/>
      <c r="R39" s="18"/>
      <c r="S39" s="18"/>
      <c r="T39" s="94"/>
      <c r="U39" s="123"/>
    </row>
    <row r="40" spans="1:21" x14ac:dyDescent="0.25">
      <c r="A40" s="124"/>
      <c r="B40" s="133"/>
      <c r="C40" s="125"/>
      <c r="D40" s="126"/>
      <c r="E40" s="87"/>
      <c r="F40" s="88"/>
      <c r="G40" s="89"/>
      <c r="H40" s="186"/>
      <c r="I40" s="89"/>
      <c r="J40" s="127"/>
      <c r="K40" s="90"/>
      <c r="L40" s="63"/>
      <c r="M40" s="64"/>
      <c r="N40" s="107"/>
      <c r="O40" s="115"/>
      <c r="P40" s="18"/>
      <c r="Q40" s="18"/>
      <c r="R40" s="18"/>
      <c r="S40" s="18"/>
      <c r="T40" s="18"/>
      <c r="U40" s="122"/>
    </row>
    <row r="41" spans="1:21" x14ac:dyDescent="0.25">
      <c r="A41" s="124"/>
      <c r="B41" s="133"/>
      <c r="C41" s="125"/>
      <c r="D41" s="127"/>
      <c r="E41" s="87"/>
      <c r="F41" s="88"/>
      <c r="G41" s="91"/>
      <c r="H41" s="91"/>
      <c r="I41" s="91"/>
      <c r="J41" s="127"/>
      <c r="K41" s="144"/>
      <c r="L41" s="63"/>
      <c r="M41" s="65"/>
      <c r="N41" s="107"/>
      <c r="O41" s="115"/>
      <c r="P41" s="18"/>
      <c r="Q41" s="18"/>
      <c r="R41" s="18"/>
      <c r="S41" s="18"/>
      <c r="T41" s="18"/>
      <c r="U41" s="122"/>
    </row>
    <row r="42" spans="1:21" x14ac:dyDescent="0.25">
      <c r="A42" s="127"/>
      <c r="B42" s="134"/>
      <c r="C42" s="125"/>
      <c r="D42" s="127"/>
      <c r="E42" s="87"/>
      <c r="F42" s="88"/>
      <c r="G42" s="91"/>
      <c r="H42" s="91"/>
      <c r="I42" s="91"/>
      <c r="J42" s="127"/>
      <c r="K42" s="90"/>
      <c r="L42" s="56"/>
      <c r="M42" s="65"/>
      <c r="N42" s="107"/>
      <c r="O42" s="115"/>
      <c r="P42" s="18"/>
      <c r="Q42" s="18"/>
      <c r="R42" s="18"/>
      <c r="S42" s="18"/>
      <c r="T42" s="18"/>
      <c r="U42" s="123"/>
    </row>
    <row r="43" spans="1:21" x14ac:dyDescent="0.25">
      <c r="A43" s="128"/>
      <c r="B43" s="135"/>
      <c r="C43" s="129"/>
      <c r="D43" s="23" t="s">
        <v>15</v>
      </c>
      <c r="E43" s="52" t="s">
        <v>22</v>
      </c>
      <c r="F43" s="23">
        <f>SUM(F38:F42)</f>
        <v>0</v>
      </c>
      <c r="G43" s="23">
        <f>SUM(G38:G42)</f>
        <v>0</v>
      </c>
      <c r="H43" s="23"/>
      <c r="I43" s="23"/>
      <c r="J43" s="23">
        <f>F43-G43</f>
        <v>0</v>
      </c>
      <c r="K43" s="24" t="s">
        <v>16</v>
      </c>
      <c r="L43" s="25">
        <f>SUM(L38:L39)</f>
        <v>0</v>
      </c>
      <c r="M43" s="25">
        <f>SUM(M38:M39)</f>
        <v>0</v>
      </c>
      <c r="N43" s="25">
        <f>SUM(N38:N42)</f>
        <v>0</v>
      </c>
      <c r="O43" s="25">
        <f>SUM(O38:O42)</f>
        <v>0</v>
      </c>
      <c r="P43" s="18"/>
      <c r="Q43" s="18"/>
      <c r="R43" s="18"/>
      <c r="S43" s="18"/>
      <c r="T43" s="18"/>
      <c r="U43" s="123"/>
    </row>
    <row r="44" spans="1:21" x14ac:dyDescent="0.25">
      <c r="A44" s="70"/>
      <c r="B44" s="131"/>
      <c r="C44" s="70"/>
      <c r="D44" s="70"/>
      <c r="E44" s="70"/>
      <c r="F44" s="70"/>
      <c r="G44" s="70"/>
      <c r="H44" s="70"/>
      <c r="I44" s="70"/>
      <c r="J44" s="70"/>
      <c r="K44" s="70"/>
      <c r="L44" s="101"/>
      <c r="M44" s="109"/>
      <c r="N44" s="107"/>
      <c r="O44" s="115"/>
      <c r="P44" s="26"/>
      <c r="Q44" s="26"/>
      <c r="R44" s="26"/>
      <c r="S44" s="26"/>
      <c r="T44" s="70"/>
      <c r="U44" s="111"/>
    </row>
    <row r="45" spans="1:21" x14ac:dyDescent="0.25">
      <c r="A45" s="70"/>
      <c r="B45" s="131"/>
      <c r="C45" s="70"/>
      <c r="D45" s="204" t="s">
        <v>24</v>
      </c>
      <c r="E45" s="205"/>
      <c r="F45" s="39">
        <f>SUM(F11,F23,F37,F43,)</f>
        <v>20414</v>
      </c>
      <c r="G45" s="39">
        <f>SUM(G11,G23,G37,G43,)</f>
        <v>0</v>
      </c>
      <c r="H45" s="39"/>
      <c r="I45" s="39"/>
      <c r="J45" s="39">
        <f>SUM(F45-G45)</f>
        <v>20414</v>
      </c>
      <c r="K45" s="40" t="s">
        <v>16</v>
      </c>
      <c r="L45" s="39">
        <f>SUM(L11,L23,L37,L43,)</f>
        <v>0</v>
      </c>
      <c r="M45" s="39">
        <f>SUM(M11,M23,M37,M43,)</f>
        <v>0</v>
      </c>
      <c r="N45" s="39">
        <f>SUM(N11,N23,N37,N43,)</f>
        <v>20414</v>
      </c>
      <c r="O45" s="39">
        <f>SUM(O11,O23,O37,O43,)</f>
        <v>0</v>
      </c>
      <c r="P45" s="26"/>
      <c r="Q45" s="26"/>
      <c r="R45" s="26"/>
      <c r="S45" s="26"/>
      <c r="T45" s="70"/>
      <c r="U45" s="111"/>
    </row>
    <row r="46" spans="1:21" x14ac:dyDescent="0.25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6"/>
      <c r="Q46" s="116"/>
      <c r="R46" s="116"/>
      <c r="S46" s="116"/>
      <c r="T46" s="111"/>
      <c r="U46" s="111"/>
    </row>
    <row r="47" spans="1:21" ht="18" x14ac:dyDescent="0.25">
      <c r="A47" s="111"/>
      <c r="B47" s="111"/>
      <c r="C47" s="111"/>
      <c r="D47" s="41"/>
      <c r="E47" s="111"/>
      <c r="F47" s="111"/>
      <c r="G47" s="111"/>
      <c r="H47" s="111"/>
      <c r="I47" s="111"/>
      <c r="J47" s="111"/>
      <c r="K47" s="42" t="s">
        <v>20</v>
      </c>
      <c r="L47" s="42">
        <f>F45-L45-M45-N45-O45</f>
        <v>0</v>
      </c>
      <c r="M47" s="111"/>
      <c r="N47" s="111"/>
      <c r="O47" s="111"/>
      <c r="P47" s="111"/>
      <c r="Q47" s="111"/>
      <c r="R47" s="111"/>
      <c r="S47" s="111"/>
      <c r="T47" s="111"/>
      <c r="U47" s="111"/>
    </row>
    <row r="48" spans="1:21" x14ac:dyDescent="0.25">
      <c r="A48" s="111"/>
      <c r="B48" s="111"/>
      <c r="C48" s="111"/>
      <c r="D48" s="43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</row>
    <row r="49" spans="1:21" x14ac:dyDescent="0.25">
      <c r="A49" s="111"/>
      <c r="B49" s="111"/>
      <c r="C49" s="111"/>
      <c r="D49" s="43"/>
      <c r="E49" s="111"/>
      <c r="F49" s="111"/>
      <c r="G49" s="48"/>
      <c r="H49" s="48"/>
      <c r="I49" s="48"/>
      <c r="J49" s="48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</row>
    <row r="50" spans="1:21" x14ac:dyDescent="0.25">
      <c r="A50" s="111"/>
      <c r="B50" s="111"/>
      <c r="C50" s="111"/>
      <c r="D50" s="43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</row>
    <row r="51" spans="1:21" x14ac:dyDescent="0.25">
      <c r="A51" s="111"/>
      <c r="B51" s="111"/>
      <c r="C51" s="111"/>
      <c r="D51" s="43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</row>
    <row r="52" spans="1:21" x14ac:dyDescent="0.25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</row>
    <row r="53" spans="1:21" x14ac:dyDescent="0.25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</row>
    <row r="54" spans="1:21" ht="33" x14ac:dyDescent="0.45">
      <c r="A54" s="111"/>
      <c r="B54" s="111"/>
      <c r="C54" s="111"/>
      <c r="D54" s="206" t="s">
        <v>42</v>
      </c>
      <c r="E54" s="207"/>
      <c r="F54" s="207"/>
      <c r="G54" s="207"/>
      <c r="H54" s="207"/>
      <c r="I54" s="207"/>
      <c r="J54" s="207"/>
      <c r="K54" s="207"/>
      <c r="L54" s="207"/>
      <c r="M54" s="208"/>
      <c r="N54" s="111"/>
      <c r="O54" s="111"/>
      <c r="P54" s="111"/>
      <c r="Q54" s="111"/>
      <c r="R54" s="111"/>
      <c r="S54" s="111"/>
      <c r="T54" s="111"/>
      <c r="U54" s="111"/>
    </row>
    <row r="55" spans="1:21" x14ac:dyDescent="0.2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</row>
    <row r="56" spans="1:21" x14ac:dyDescent="0.25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</row>
    <row r="57" spans="1:21" x14ac:dyDescent="0.25">
      <c r="A57" s="209" t="s">
        <v>25</v>
      </c>
      <c r="B57" s="210"/>
      <c r="C57" s="211"/>
      <c r="D57" s="44" t="s">
        <v>26</v>
      </c>
      <c r="E57" s="59" t="s">
        <v>45</v>
      </c>
      <c r="F57" s="61" t="s">
        <v>33</v>
      </c>
      <c r="G57" s="209" t="s">
        <v>27</v>
      </c>
      <c r="H57" s="211"/>
      <c r="I57" s="209" t="s">
        <v>28</v>
      </c>
      <c r="J57" s="2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</row>
    <row r="58" spans="1:21" x14ac:dyDescent="0.25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224" t="s">
        <v>35</v>
      </c>
      <c r="M58" s="225"/>
      <c r="N58" s="225"/>
      <c r="O58" s="225"/>
      <c r="P58" s="225"/>
      <c r="Q58" s="225"/>
      <c r="R58" s="225"/>
      <c r="S58" s="225"/>
      <c r="T58" s="225"/>
      <c r="U58" s="225"/>
    </row>
    <row r="59" spans="1:21" x14ac:dyDescent="0.25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30"/>
      <c r="M59" s="130"/>
      <c r="N59" s="130"/>
      <c r="O59" s="130"/>
      <c r="P59" s="130"/>
      <c r="Q59" s="130"/>
      <c r="R59" s="130"/>
      <c r="S59" s="130"/>
      <c r="T59" s="130"/>
      <c r="U59" s="130"/>
    </row>
    <row r="60" spans="1:21" x14ac:dyDescent="0.25">
      <c r="A60" s="196" t="s">
        <v>57</v>
      </c>
      <c r="B60" s="197"/>
      <c r="C60" s="198"/>
      <c r="D60" s="49"/>
      <c r="E60" s="84">
        <v>48520</v>
      </c>
      <c r="F60" s="71">
        <v>0.318</v>
      </c>
      <c r="G60" s="199">
        <f>E60*0.318</f>
        <v>15429.36</v>
      </c>
      <c r="H60" s="200"/>
      <c r="I60" s="201">
        <v>15</v>
      </c>
      <c r="J60" s="202"/>
      <c r="K60" s="111"/>
      <c r="L60" s="70"/>
      <c r="M60" s="70"/>
      <c r="N60" s="70"/>
      <c r="O60" s="70"/>
      <c r="P60" s="70"/>
      <c r="Q60" s="70"/>
      <c r="R60" s="70"/>
      <c r="S60" s="70"/>
      <c r="T60" s="70"/>
      <c r="U60" s="70"/>
    </row>
    <row r="61" spans="1:21" x14ac:dyDescent="0.25">
      <c r="A61" s="196"/>
      <c r="B61" s="197"/>
      <c r="C61" s="198"/>
      <c r="D61" s="49"/>
      <c r="E61" s="84">
        <v>20110</v>
      </c>
      <c r="F61" s="71">
        <v>0.318</v>
      </c>
      <c r="G61" s="199">
        <f>E61*0.318</f>
        <v>6394.9800000000005</v>
      </c>
      <c r="H61" s="200"/>
      <c r="I61" s="201">
        <v>6</v>
      </c>
      <c r="J61" s="202"/>
      <c r="K61" s="111"/>
      <c r="L61" s="70"/>
      <c r="M61" s="70"/>
      <c r="N61" s="70"/>
      <c r="O61" s="70"/>
      <c r="P61" s="70"/>
      <c r="Q61" s="70"/>
      <c r="R61" s="70"/>
      <c r="S61" s="70"/>
      <c r="T61" s="70"/>
      <c r="U61" s="70"/>
    </row>
    <row r="62" spans="1:21" x14ac:dyDescent="0.25">
      <c r="A62" s="196"/>
      <c r="B62" s="197"/>
      <c r="C62" s="198"/>
      <c r="D62" s="117"/>
      <c r="E62" s="85"/>
      <c r="F62" s="71"/>
      <c r="G62" s="199">
        <f>E62*0</f>
        <v>0</v>
      </c>
      <c r="H62" s="200"/>
      <c r="I62" s="201"/>
      <c r="J62" s="202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</row>
    <row r="63" spans="1:21" x14ac:dyDescent="0.25">
      <c r="A63" s="196"/>
      <c r="B63" s="197"/>
      <c r="C63" s="198"/>
      <c r="D63" s="117"/>
      <c r="E63" s="85"/>
      <c r="F63" s="62"/>
      <c r="G63" s="199">
        <f>E63*0</f>
        <v>0</v>
      </c>
      <c r="H63" s="200"/>
      <c r="I63" s="230"/>
      <c r="J63" s="23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</row>
    <row r="64" spans="1:21" x14ac:dyDescent="0.25">
      <c r="A64" s="212" t="s">
        <v>29</v>
      </c>
      <c r="B64" s="213"/>
      <c r="C64" s="214"/>
      <c r="D64" s="50">
        <f>SUM(D60:D63)</f>
        <v>0</v>
      </c>
      <c r="E64" s="86">
        <f>SUM(E60:E63)</f>
        <v>68630</v>
      </c>
      <c r="F64" s="60"/>
      <c r="G64" s="215">
        <f>SUM(G60:G63)</f>
        <v>21824.34</v>
      </c>
      <c r="H64" s="216"/>
      <c r="I64" s="212">
        <f>SUM(I60:I63)</f>
        <v>21</v>
      </c>
      <c r="J64" s="214"/>
    </row>
  </sheetData>
  <mergeCells count="23">
    <mergeCell ref="A64:C64"/>
    <mergeCell ref="G64:H64"/>
    <mergeCell ref="I64:J64"/>
    <mergeCell ref="A62:C62"/>
    <mergeCell ref="G62:H62"/>
    <mergeCell ref="I62:J62"/>
    <mergeCell ref="A63:C63"/>
    <mergeCell ref="G63:H63"/>
    <mergeCell ref="I63:J63"/>
    <mergeCell ref="L58:U58"/>
    <mergeCell ref="A60:C60"/>
    <mergeCell ref="G60:H60"/>
    <mergeCell ref="I60:J60"/>
    <mergeCell ref="A61:C61"/>
    <mergeCell ref="G61:H61"/>
    <mergeCell ref="I61:J61"/>
    <mergeCell ref="A1:C1"/>
    <mergeCell ref="G1:N1"/>
    <mergeCell ref="D45:E45"/>
    <mergeCell ref="D54:M54"/>
    <mergeCell ref="A57:C57"/>
    <mergeCell ref="G57:H57"/>
    <mergeCell ref="I57:J57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BIOLOGICO</vt:lpstr>
      <vt:lpstr>BIO FAIR FOR LIFE</vt:lpstr>
      <vt:lpstr>CONVENZIONALE</vt:lpstr>
      <vt:lpstr>BIO BIOSUISSE</vt:lpstr>
      <vt:lpstr>CONVENZIONALE!Area_stampa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Assofrutti Srl</cp:lastModifiedBy>
  <cp:lastPrinted>2026-06-23T13:03:51Z</cp:lastPrinted>
  <dcterms:created xsi:type="dcterms:W3CDTF">2021-10-12T15:39:50Z</dcterms:created>
  <dcterms:modified xsi:type="dcterms:W3CDTF">2026-09-15T05:45:05Z</dcterms:modified>
</cp:coreProperties>
</file>