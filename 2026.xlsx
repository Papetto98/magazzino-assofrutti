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\\192.168.0.10\Assofrutti\MAGAZZINO\RACCOLTO 2024 2025\"/>
    </mc:Choice>
  </mc:AlternateContent>
  <xr:revisionPtr revIDLastSave="0" documentId="13_ncr:1_{CF97A814-51C6-4DAB-9D96-73C81F7A5B0F}" xr6:coauthVersionLast="47" xr6:coauthVersionMax="47" xr10:uidLastSave="{00000000-0000-0000-0000-000000000000}"/>
  <bookViews>
    <workbookView xWindow="-120" yWindow="-120" windowWidth="29040" windowHeight="15720" tabRatio="471" activeTab="1" xr2:uid="{00000000-000D-0000-FFFF-FFFF00000000}"/>
  </bookViews>
  <sheets>
    <sheet name="BIOLOGICO" sheetId="3" r:id="rId1"/>
    <sheet name="CONVENZIONALE" sheetId="7" r:id="rId2"/>
    <sheet name="BIO FAIR FOR LIFE" sheetId="5" r:id="rId3"/>
    <sheet name="BIO BIOSUISSE" sheetId="6" r:id="rId4"/>
    <sheet name="Merce ASSOBIO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7" l="1"/>
  <c r="I95" i="7"/>
  <c r="I94" i="7"/>
  <c r="I93" i="7"/>
  <c r="I92" i="7"/>
  <c r="I91" i="7"/>
  <c r="I90" i="7"/>
  <c r="I89" i="7"/>
  <c r="I88" i="7"/>
  <c r="I87" i="7"/>
  <c r="I52" i="7"/>
  <c r="M103" i="7"/>
  <c r="J18" i="5"/>
  <c r="I66" i="7"/>
  <c r="I67" i="7"/>
  <c r="I62" i="7" l="1"/>
  <c r="I63" i="7"/>
  <c r="I64" i="7"/>
  <c r="I65" i="7"/>
  <c r="I61" i="7"/>
  <c r="I29" i="7"/>
  <c r="I30" i="7"/>
  <c r="I31" i="7"/>
  <c r="L12" i="7"/>
  <c r="D19" i="7"/>
  <c r="I5" i="7" l="1"/>
  <c r="I6" i="7"/>
  <c r="I7" i="7"/>
  <c r="I43" i="7" l="1"/>
  <c r="I42" i="7"/>
  <c r="F48" i="3"/>
  <c r="J40" i="3"/>
  <c r="J39" i="3"/>
  <c r="J38" i="3"/>
  <c r="N32" i="3"/>
  <c r="F32" i="3"/>
  <c r="J27" i="3"/>
  <c r="J26" i="3"/>
  <c r="J25" i="3"/>
  <c r="J24" i="3"/>
  <c r="J23" i="3"/>
  <c r="I32" i="7"/>
  <c r="I34" i="7"/>
  <c r="L48" i="3"/>
  <c r="D103" i="7" l="1"/>
  <c r="I103" i="7" s="1"/>
  <c r="N103" i="7"/>
  <c r="J37" i="3"/>
  <c r="G74" i="5"/>
  <c r="L103" i="7" l="1"/>
  <c r="J53" i="5"/>
  <c r="J42" i="5"/>
  <c r="G90" i="3"/>
  <c r="J10" i="5"/>
  <c r="G32" i="3"/>
  <c r="L32" i="3"/>
  <c r="M32" i="3"/>
  <c r="J34" i="3"/>
  <c r="J35" i="3"/>
  <c r="J19" i="5"/>
  <c r="J20" i="5"/>
  <c r="J21" i="5"/>
  <c r="J22" i="5"/>
  <c r="J32" i="5"/>
  <c r="J33" i="5"/>
  <c r="J34" i="5"/>
  <c r="J35" i="5"/>
  <c r="J36" i="5"/>
  <c r="G73" i="5"/>
  <c r="G72" i="5"/>
  <c r="J30" i="5"/>
  <c r="L54" i="5"/>
  <c r="J43" i="5"/>
  <c r="J44" i="5"/>
  <c r="J45" i="5"/>
  <c r="J46" i="5"/>
  <c r="J47" i="5"/>
  <c r="J6" i="5"/>
  <c r="J7" i="5"/>
  <c r="J8" i="5"/>
  <c r="J9" i="5"/>
  <c r="J31" i="5"/>
  <c r="I39" i="7"/>
  <c r="I40" i="7"/>
  <c r="I41" i="7"/>
  <c r="N54" i="5"/>
  <c r="F54" i="5"/>
  <c r="F40" i="5"/>
  <c r="L40" i="5"/>
  <c r="F29" i="5"/>
  <c r="L29" i="5"/>
  <c r="G89" i="3"/>
  <c r="D91" i="3"/>
  <c r="E91" i="3"/>
  <c r="I91" i="3"/>
  <c r="J36" i="3"/>
  <c r="J20" i="3"/>
  <c r="G85" i="3"/>
  <c r="J19" i="3"/>
  <c r="I38" i="7"/>
  <c r="I37" i="7"/>
  <c r="I27" i="7"/>
  <c r="I26" i="7"/>
  <c r="I28" i="7"/>
  <c r="I22" i="7"/>
  <c r="I23" i="7"/>
  <c r="I24" i="7"/>
  <c r="I25" i="7"/>
  <c r="I36" i="7"/>
  <c r="G84" i="3"/>
  <c r="J16" i="3"/>
  <c r="J17" i="3"/>
  <c r="J18" i="3"/>
  <c r="I35" i="7"/>
  <c r="G83" i="3"/>
  <c r="M28" i="6"/>
  <c r="O28" i="6"/>
  <c r="G86" i="3"/>
  <c r="N86" i="3"/>
  <c r="Q86" i="3"/>
  <c r="G82" i="3"/>
  <c r="P86" i="3"/>
  <c r="J14" i="6"/>
  <c r="N18" i="6"/>
  <c r="N28" i="6"/>
  <c r="L28" i="6"/>
  <c r="F28" i="6"/>
  <c r="G52" i="6"/>
  <c r="G51" i="6"/>
  <c r="J4" i="6"/>
  <c r="L18" i="6"/>
  <c r="F18" i="6"/>
  <c r="O48" i="3"/>
  <c r="M48" i="3"/>
  <c r="I57" i="7"/>
  <c r="I58" i="7"/>
  <c r="I56" i="7"/>
  <c r="I55" i="7"/>
  <c r="I54" i="7"/>
  <c r="I75" i="7"/>
  <c r="O86" i="3"/>
  <c r="G88" i="3"/>
  <c r="G87" i="3"/>
  <c r="J60" i="3"/>
  <c r="G81" i="3"/>
  <c r="G80" i="3"/>
  <c r="G79" i="3"/>
  <c r="L61" i="3"/>
  <c r="N83" i="7"/>
  <c r="M83" i="7"/>
  <c r="L83" i="7"/>
  <c r="K83" i="7"/>
  <c r="K103" i="7" s="1"/>
  <c r="E83" i="7"/>
  <c r="D83" i="7"/>
  <c r="N76" i="7"/>
  <c r="M76" i="7"/>
  <c r="L76" i="7"/>
  <c r="K76" i="7"/>
  <c r="E76" i="7"/>
  <c r="D76" i="7"/>
  <c r="I53" i="7"/>
  <c r="N50" i="7"/>
  <c r="M50" i="7"/>
  <c r="L50" i="7"/>
  <c r="K50" i="7"/>
  <c r="E50" i="7"/>
  <c r="D50" i="7"/>
  <c r="N19" i="7"/>
  <c r="M19" i="7"/>
  <c r="L19" i="7"/>
  <c r="K19" i="7"/>
  <c r="E19" i="7"/>
  <c r="N12" i="7"/>
  <c r="M12" i="7"/>
  <c r="K12" i="7"/>
  <c r="E12" i="7"/>
  <c r="D12" i="7"/>
  <c r="F61" i="3"/>
  <c r="N61" i="3"/>
  <c r="O14" i="3"/>
  <c r="N14" i="3"/>
  <c r="M14" i="3"/>
  <c r="L14" i="3"/>
  <c r="O32" i="3"/>
  <c r="I55" i="6"/>
  <c r="E55" i="6"/>
  <c r="D55" i="6"/>
  <c r="G54" i="6"/>
  <c r="G53" i="6"/>
  <c r="O34" i="6"/>
  <c r="N34" i="6"/>
  <c r="M34" i="6"/>
  <c r="L34" i="6"/>
  <c r="G34" i="6"/>
  <c r="F34" i="6"/>
  <c r="J30" i="6"/>
  <c r="G28" i="6"/>
  <c r="J24" i="6"/>
  <c r="J23" i="6"/>
  <c r="J22" i="6"/>
  <c r="J21" i="6"/>
  <c r="J20" i="6"/>
  <c r="O18" i="6"/>
  <c r="M18" i="6"/>
  <c r="G18" i="6"/>
  <c r="J15" i="6"/>
  <c r="O11" i="6"/>
  <c r="N11" i="6"/>
  <c r="M11" i="6"/>
  <c r="L11" i="6"/>
  <c r="G11" i="6"/>
  <c r="F11" i="6"/>
  <c r="J5" i="6"/>
  <c r="I81" i="5"/>
  <c r="E81" i="5"/>
  <c r="D81" i="5"/>
  <c r="G80" i="5"/>
  <c r="G79" i="5"/>
  <c r="G78" i="5"/>
  <c r="G77" i="5"/>
  <c r="G76" i="5"/>
  <c r="G75" i="5"/>
  <c r="G54" i="5"/>
  <c r="O51" i="5"/>
  <c r="O54" i="5" s="1"/>
  <c r="N51" i="5"/>
  <c r="M51" i="5"/>
  <c r="M54" i="5" s="1"/>
  <c r="L51" i="5"/>
  <c r="G51" i="5"/>
  <c r="F51" i="5"/>
  <c r="O40" i="5"/>
  <c r="N40" i="5"/>
  <c r="M40" i="5"/>
  <c r="G40" i="5"/>
  <c r="O29" i="5"/>
  <c r="N29" i="5"/>
  <c r="M29" i="5"/>
  <c r="G29" i="5"/>
  <c r="O17" i="5"/>
  <c r="N17" i="5"/>
  <c r="M17" i="5"/>
  <c r="L17" i="5"/>
  <c r="G17" i="5"/>
  <c r="F17" i="5"/>
  <c r="J11" i="5"/>
  <c r="J5" i="5"/>
  <c r="J4" i="5"/>
  <c r="G61" i="3"/>
  <c r="O59" i="3"/>
  <c r="O61" i="3" s="1"/>
  <c r="N59" i="3"/>
  <c r="M59" i="3"/>
  <c r="M61" i="3" s="1"/>
  <c r="L59" i="3"/>
  <c r="G59" i="3"/>
  <c r="F59" i="3"/>
  <c r="N48" i="3"/>
  <c r="G48" i="3"/>
  <c r="J22" i="3"/>
  <c r="G14" i="3"/>
  <c r="F14" i="3"/>
  <c r="M104" i="7" l="1"/>
  <c r="L104" i="7"/>
  <c r="D104" i="7"/>
  <c r="J32" i="3"/>
  <c r="F64" i="3"/>
  <c r="G91" i="3"/>
  <c r="G36" i="6"/>
  <c r="F36" i="6"/>
  <c r="M36" i="6"/>
  <c r="N36" i="6"/>
  <c r="O36" i="6"/>
  <c r="L36" i="6"/>
  <c r="J29" i="5"/>
  <c r="K104" i="7"/>
  <c r="I76" i="7"/>
  <c r="I50" i="7"/>
  <c r="I19" i="7"/>
  <c r="N104" i="7"/>
  <c r="J40" i="5"/>
  <c r="J51" i="5"/>
  <c r="I12" i="7"/>
  <c r="G57" i="5"/>
  <c r="I83" i="7"/>
  <c r="N57" i="5"/>
  <c r="J54" i="5"/>
  <c r="M57" i="5"/>
  <c r="J18" i="6"/>
  <c r="G55" i="6"/>
  <c r="J28" i="6"/>
  <c r="J34" i="6"/>
  <c r="J11" i="6"/>
  <c r="G81" i="5"/>
  <c r="O57" i="5"/>
  <c r="L57" i="5"/>
  <c r="J17" i="5"/>
  <c r="J61" i="3"/>
  <c r="L64" i="3"/>
  <c r="M64" i="3"/>
  <c r="N64" i="3"/>
  <c r="J48" i="3"/>
  <c r="O64" i="3"/>
  <c r="J14" i="3"/>
  <c r="J59" i="3"/>
  <c r="I104" i="7" l="1"/>
  <c r="F57" i="5"/>
  <c r="J57" i="5" s="1"/>
  <c r="J36" i="6"/>
  <c r="L38" i="6"/>
  <c r="L66" i="3"/>
  <c r="G64" i="3"/>
  <c r="J64" i="3" s="1"/>
  <c r="L59" i="5" l="1"/>
  <c r="K10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42" authorId="0" shapeId="0" xr:uid="{4B7F88FB-79D6-4D82-872D-F329606E196B}">
      <text>
        <r>
          <rPr>
            <b/>
            <sz val="9"/>
            <color indexed="81"/>
            <rFont val="Tahoma"/>
            <family val="2"/>
          </rPr>
          <t>INIZIALE 41800
-3000 IL 13/12 DT 33M</t>
        </r>
        <r>
          <rPr>
            <sz val="9"/>
            <color indexed="81"/>
            <rFont val="Tahoma"/>
            <family val="2"/>
          </rPr>
          <t xml:space="preserve">
- 4000 IL 27/02 DT61M
-10000 IL 03/03 DT72M
-6000 IL 12/03 DT 110M
-6000 IL 25/03 DT 147M E 148M
-1000 il 07/04 dt 195M
-4000 IL 08/04 DT 200M
-8000 il 16/04 dt 217m
+2000 il 05/05 rese
-1000 il 14/07 dt 317M
-800 il 15/10 dt 363M</t>
        </r>
      </text>
    </comment>
    <comment ref="G43" authorId="0" shapeId="0" xr:uid="{A01699BE-EE10-4D39-B0D7-CB8FD1D4F482}">
      <text>
        <r>
          <rPr>
            <b/>
            <sz val="9"/>
            <color indexed="81"/>
            <rFont val="Tahoma"/>
            <family val="2"/>
          </rPr>
          <t>21350
-2000 il 19/05 DT 266M</t>
        </r>
        <r>
          <rPr>
            <sz val="9"/>
            <color indexed="81"/>
            <rFont val="Tahoma"/>
            <family val="2"/>
          </rPr>
          <t xml:space="preserve">
-5000 il 23/06 dt 309M
-3000 il 23/06 dt 310M
-8000 IL 01/10 DT 345M
-2400 il 15/10 dt 363M (11/13)</t>
        </r>
      </text>
    </comment>
    <comment ref="G55" authorId="0" shapeId="0" xr:uid="{CFD2A6F7-8240-48CC-BC96-0F9586469565}">
      <text>
        <r>
          <rPr>
            <b/>
            <sz val="9"/>
            <color indexed="81"/>
            <rFont val="Tahoma"/>
            <family val="2"/>
          </rPr>
          <t>Contratto 30000
03/04 cons 9700 kg</t>
        </r>
        <r>
          <rPr>
            <sz val="9"/>
            <color indexed="81"/>
            <rFont val="Tahoma"/>
            <family val="2"/>
          </rPr>
          <t xml:space="preserve">
30/05 KG 100
30/05 KG 890
14/07 kg 3920
03/02 kg 400
05/02 kg 1320
26/02 kg 5140
02/03 KG 780
13/04 KG 980
20/04 kg 3040
28/04 KG 880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E72" authorId="0" shapeId="0" xr:uid="{BDBD546F-BE09-4954-89FB-BCEEF4D5713F}">
      <text>
        <r>
          <rPr>
            <b/>
            <sz val="9"/>
            <color indexed="81"/>
            <rFont val="Tahoma"/>
            <family val="2"/>
          </rPr>
          <t>contratto da 20000</t>
        </r>
        <r>
          <rPr>
            <sz val="9"/>
            <color indexed="81"/>
            <rFont val="Tahoma"/>
            <family val="2"/>
          </rPr>
          <t xml:space="preserve">
-14/01 kg 1860 dt 25
- 05/02 kg 200 ddt 74
- 28/03 kg 200 ddt 352
-05/05kg 500 dt 474
-12/05 kg 201 dt 484
- 03/06 kg 200 ddt 515
- 11/06 KG 600 DT 531
- 11/16 KG 100 DT 532
- 01/07 KG 1100 DT 557
- 30/12 kg 880 ddt 886
- 30/01 kg 2320 dt 83
- 29/04 kg 120 dt 237
- 26/05 kg 70 dt 271
- 24/06 kg 30 dt 339
- 09/07 kg 140 dt 368
- 21/07 kg 50 dt 374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D16" authorId="0" shapeId="0" xr:uid="{E187911B-1661-4B2B-9623-AAF5F002A0E3}">
      <text>
        <r>
          <rPr>
            <b/>
            <sz val="9"/>
            <color indexed="81"/>
            <rFont val="Tahoma"/>
            <family val="2"/>
          </rPr>
          <t>16/12/25 prel.campione di 50 kg per biosic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<sst xmlns="http://schemas.openxmlformats.org/spreadsheetml/2006/main" count="831" uniqueCount="256">
  <si>
    <t>DATA</t>
  </si>
  <si>
    <t>BIOLOGICHE</t>
  </si>
  <si>
    <t>SETTIMANA DI PRODUZ.</t>
  </si>
  <si>
    <t>DESCRIZIONE PRODOTTO</t>
  </si>
  <si>
    <t>CALIBRO</t>
  </si>
  <si>
    <t>CONTRATTI DA EVADERE</t>
  </si>
  <si>
    <t>CLIENTE/FOR</t>
  </si>
  <si>
    <t>N. CONTRATTO</t>
  </si>
  <si>
    <t>QUANTITA' DISPONIBILI</t>
  </si>
  <si>
    <t>SORIANO</t>
  </si>
  <si>
    <t>Marcio vis</t>
  </si>
  <si>
    <t>Marcio Occ.</t>
  </si>
  <si>
    <t>Cimiciato Occ.</t>
  </si>
  <si>
    <t>Cimiciato vis.</t>
  </si>
  <si>
    <t>9/11</t>
  </si>
  <si>
    <t>TOTALE PARZIALE SGUSCIATO</t>
  </si>
  <si>
    <t>di cui</t>
  </si>
  <si>
    <t>11/13</t>
  </si>
  <si>
    <t>CONTRATTI PER 11/13</t>
  </si>
  <si>
    <t>13/15</t>
  </si>
  <si>
    <t>QUADRATURA</t>
  </si>
  <si>
    <t>CONTRATTI PER 9/11</t>
  </si>
  <si>
    <t>ROTTAME</t>
  </si>
  <si>
    <t>TIPO IMBALLO</t>
  </si>
  <si>
    <t>TOTALE GENERALE BIOLOGICHE SGUSCIATE</t>
  </si>
  <si>
    <t>SILOS</t>
  </si>
  <si>
    <t>KG IN GUSCIO DA SGUSCIARE</t>
  </si>
  <si>
    <t>TOT. KG SGUSCIATO</t>
  </si>
  <si>
    <t>TOT. BIG N°</t>
  </si>
  <si>
    <t>TOTALI</t>
  </si>
  <si>
    <t>QUANTITA' IN GIACENZA</t>
  </si>
  <si>
    <t>FABRICA</t>
  </si>
  <si>
    <t>VIGNANELLO</t>
  </si>
  <si>
    <t>RESA %</t>
  </si>
  <si>
    <t>KG IN GUSCIO SGUSC.</t>
  </si>
  <si>
    <t>USCITE IN GUSCIO</t>
  </si>
  <si>
    <t>CORPI ESTRANEI</t>
  </si>
  <si>
    <t>LOTTO NOCCIOLE</t>
  </si>
  <si>
    <t>LOTTO IMBALLO</t>
  </si>
  <si>
    <t>SCARTI</t>
  </si>
  <si>
    <t>CONTRATTI ROTTAME</t>
  </si>
  <si>
    <t>CAPRAROLA</t>
  </si>
  <si>
    <t>Contratti 13/15</t>
  </si>
  <si>
    <t>RACCOLTO BIOLOGICO IN GUSCIO 2024/2025 - stima</t>
  </si>
  <si>
    <t>RACCOLTO 2024/2025</t>
  </si>
  <si>
    <t xml:space="preserve">S120 </t>
  </si>
  <si>
    <t xml:space="preserve">S121 </t>
  </si>
  <si>
    <t xml:space="preserve">S122 </t>
  </si>
  <si>
    <t xml:space="preserve">S124 </t>
  </si>
  <si>
    <t xml:space="preserve">S108 </t>
  </si>
  <si>
    <t xml:space="preserve">S109 </t>
  </si>
  <si>
    <t>RACCOLTO BIO FAIR FOR LIFE IN GUSCIO 2024/2025 - stima</t>
  </si>
  <si>
    <t>RACCOLTO 2024/2025 BIO FAIR FOR LIFE</t>
  </si>
  <si>
    <t>RACCOLTO 2024/2025 BIO BIOSUISSE</t>
  </si>
  <si>
    <t>RACCOLTO BIO BIOSUISSE IN GUSCIO 2024/2025 - stima</t>
  </si>
  <si>
    <t>S123</t>
  </si>
  <si>
    <t>S125</t>
  </si>
  <si>
    <t>S101</t>
  </si>
  <si>
    <t>S102</t>
  </si>
  <si>
    <t>S107</t>
  </si>
  <si>
    <t>BIG BAG N°1</t>
  </si>
  <si>
    <t>BIG BAG N°2</t>
  </si>
  <si>
    <t>S104</t>
  </si>
  <si>
    <t>BIG BAG N°3</t>
  </si>
  <si>
    <t>BIG BAG N°4</t>
  </si>
  <si>
    <t>BIG BAG N°5</t>
  </si>
  <si>
    <t>BIG BAG</t>
  </si>
  <si>
    <t>BIG BAG N°8</t>
  </si>
  <si>
    <t>S121A</t>
  </si>
  <si>
    <t>S120A</t>
  </si>
  <si>
    <t>CONVENZIONALE</t>
  </si>
  <si>
    <t>LOTTO</t>
  </si>
  <si>
    <t>CLIENTE</t>
  </si>
  <si>
    <t>N. CONTR.</t>
  </si>
  <si>
    <t>PERIODO CONS.</t>
  </si>
  <si>
    <t>ALTRI MAGAZZINI</t>
  </si>
  <si>
    <t>M.V.</t>
  </si>
  <si>
    <t>M.O.</t>
  </si>
  <si>
    <t>C.V.</t>
  </si>
  <si>
    <t>C.O</t>
  </si>
  <si>
    <t>SGUSCIATO CONVENZIONALE 9/11</t>
  </si>
  <si>
    <t>TOTALE PARZIALE SGUSCIATO 9/11</t>
  </si>
  <si>
    <t>SGUSCIATO CONVENZIONALE 11/13</t>
  </si>
  <si>
    <t>TOTALE PARZIALE SGUSCIATO 11/13</t>
  </si>
  <si>
    <t>SGUSCIATO CONVENZIONALE 13/15</t>
  </si>
  <si>
    <t>CONTRATTI  PER 13/15</t>
  </si>
  <si>
    <t>TOTALE PARZIALE SGUSCIATO 13/15</t>
  </si>
  <si>
    <t>ROTTAME CONVENZIONALE</t>
  </si>
  <si>
    <t>TOTALE PARZIALE ROTTAME</t>
  </si>
  <si>
    <t>SCARTI CONVENZIONALI</t>
  </si>
  <si>
    <t>TOTALE GENERALE  SGUSCIATE</t>
  </si>
  <si>
    <t>BIG BAG N°9</t>
  </si>
  <si>
    <t>S103</t>
  </si>
  <si>
    <t>SO102024</t>
  </si>
  <si>
    <t>SGUSCIATO SCELTO 13/15</t>
  </si>
  <si>
    <t>SGUSCIATO SCELTO 11/13</t>
  </si>
  <si>
    <t>S122A</t>
  </si>
  <si>
    <t>120A</t>
  </si>
  <si>
    <t>Rottame</t>
  </si>
  <si>
    <t>KG USCITE IN GUSCIO</t>
  </si>
  <si>
    <t>SO112024</t>
  </si>
  <si>
    <t>BIG BAG N.7</t>
  </si>
  <si>
    <t>BIG BAG N.13</t>
  </si>
  <si>
    <t>BIG BAG N°11</t>
  </si>
  <si>
    <t>BIG BAG N°12</t>
  </si>
  <si>
    <t>BIG BAG N°13</t>
  </si>
  <si>
    <t>BIG BAG N°14</t>
  </si>
  <si>
    <t>SGUSCIATO SCELTO</t>
  </si>
  <si>
    <t>IN GUSCIO SGUS.</t>
  </si>
  <si>
    <t>121A</t>
  </si>
  <si>
    <t>BIG05/2024</t>
  </si>
  <si>
    <t>FA01/2025</t>
  </si>
  <si>
    <t>04/2025</t>
  </si>
  <si>
    <t>BIG 45</t>
  </si>
  <si>
    <t>BIG 49</t>
  </si>
  <si>
    <t>06/2025</t>
  </si>
  <si>
    <t>SO022025</t>
  </si>
  <si>
    <t>BIG BAG N.5</t>
  </si>
  <si>
    <t>CONTRATTI PASTA</t>
  </si>
  <si>
    <t>biosic</t>
  </si>
  <si>
    <t>685-90</t>
  </si>
  <si>
    <t>nov. 2025</t>
  </si>
  <si>
    <t>BIOSIC</t>
  </si>
  <si>
    <t>685-80</t>
  </si>
  <si>
    <t>ENTRO NOV.2025</t>
  </si>
  <si>
    <t>PASTA BIOLOGICA</t>
  </si>
  <si>
    <t>685-92</t>
  </si>
  <si>
    <t>11/13+ROTT+9/11</t>
  </si>
  <si>
    <t>BIG BAG N.9</t>
  </si>
  <si>
    <t>05/2025</t>
  </si>
  <si>
    <t>BIG BAG N.16</t>
  </si>
  <si>
    <t>FA02/2025</t>
  </si>
  <si>
    <t>BIG 54</t>
  </si>
  <si>
    <t>07/2025</t>
  </si>
  <si>
    <t>VENDUTE IN GUSCIO MARCHISIO 2024</t>
  </si>
  <si>
    <t>VENDUTE IN GUSCIO MARCHISIO 24/25</t>
  </si>
  <si>
    <t>GUSCI</t>
  </si>
  <si>
    <t>NERE</t>
  </si>
  <si>
    <t>C.ESTR.</t>
  </si>
  <si>
    <t>ROTT.</t>
  </si>
  <si>
    <t>11/2025</t>
  </si>
  <si>
    <t>SO032025</t>
  </si>
  <si>
    <t>FA03/2025</t>
  </si>
  <si>
    <t>BIG 75</t>
  </si>
  <si>
    <t>S121R</t>
  </si>
  <si>
    <t>15/2025</t>
  </si>
  <si>
    <t>S101/2024</t>
  </si>
  <si>
    <t>sikelia</t>
  </si>
  <si>
    <t>sacchi kg 25</t>
  </si>
  <si>
    <t>BIG BAG N°15</t>
  </si>
  <si>
    <t>19/2025</t>
  </si>
  <si>
    <t>BIG01/2025</t>
  </si>
  <si>
    <t>S102/2024</t>
  </si>
  <si>
    <t>17/2025</t>
  </si>
  <si>
    <t>FA04/2025</t>
  </si>
  <si>
    <t>BIG 77</t>
  </si>
  <si>
    <t>BIG 78</t>
  </si>
  <si>
    <t>BIG 85</t>
  </si>
  <si>
    <t>SEMI NERI</t>
  </si>
  <si>
    <t>NOCCIOLE BUONE</t>
  </si>
  <si>
    <t>SASSI</t>
  </si>
  <si>
    <t>21/2025</t>
  </si>
  <si>
    <t>S103/2024</t>
  </si>
  <si>
    <t>22/2025</t>
  </si>
  <si>
    <t>BIG 1</t>
  </si>
  <si>
    <t>BIG 2</t>
  </si>
  <si>
    <t>BIG 3</t>
  </si>
  <si>
    <t>23/2025</t>
  </si>
  <si>
    <t>FA06/2025</t>
  </si>
  <si>
    <t>BIG 101</t>
  </si>
  <si>
    <t>BIG 102</t>
  </si>
  <si>
    <t>BIG BAG 5</t>
  </si>
  <si>
    <t>SGUSCIATO SCELTO 9/11 GIFFONI</t>
  </si>
  <si>
    <t>SG05/2025</t>
  </si>
  <si>
    <t>BIG BAG 6</t>
  </si>
  <si>
    <t>BIG BAG 7</t>
  </si>
  <si>
    <t>24/2025</t>
  </si>
  <si>
    <t>SO062025</t>
  </si>
  <si>
    <t>BIG BAG N. 2</t>
  </si>
  <si>
    <t>BIG BAG N. 3</t>
  </si>
  <si>
    <t>26/2025</t>
  </si>
  <si>
    <t>SF062025</t>
  </si>
  <si>
    <t>ROTTAME SCELTO</t>
  </si>
  <si>
    <t>25/2025</t>
  </si>
  <si>
    <t>AB06/2024</t>
  </si>
  <si>
    <t>BIG 4</t>
  </si>
  <si>
    <t>BIG 5</t>
  </si>
  <si>
    <t>BIG 6</t>
  </si>
  <si>
    <t>BIG 7</t>
  </si>
  <si>
    <t>BIG 8</t>
  </si>
  <si>
    <t>BIG 9</t>
  </si>
  <si>
    <t>BIG 10</t>
  </si>
  <si>
    <t>BIG 11</t>
  </si>
  <si>
    <t>BIG 12</t>
  </si>
  <si>
    <t>BIG 13</t>
  </si>
  <si>
    <t>BIG 14</t>
  </si>
  <si>
    <t>BIG 15</t>
  </si>
  <si>
    <t>BIG 16</t>
  </si>
  <si>
    <t>BIG 17</t>
  </si>
  <si>
    <t>BIG 18</t>
  </si>
  <si>
    <t>BIG 19</t>
  </si>
  <si>
    <t>BIG 20</t>
  </si>
  <si>
    <t>BIG 21</t>
  </si>
  <si>
    <t>BIG 22</t>
  </si>
  <si>
    <t>BIG 23</t>
  </si>
  <si>
    <t>BIG 24</t>
  </si>
  <si>
    <t>BIG 25</t>
  </si>
  <si>
    <t>BIG 26</t>
  </si>
  <si>
    <t>BIG 27</t>
  </si>
  <si>
    <t>BIG 28</t>
  </si>
  <si>
    <t>BIG 29</t>
  </si>
  <si>
    <t>BIG 30</t>
  </si>
  <si>
    <t>BIG 31</t>
  </si>
  <si>
    <t>BIG 32</t>
  </si>
  <si>
    <t>BIG 33</t>
  </si>
  <si>
    <t>BIG 34</t>
  </si>
  <si>
    <t>BIG 35</t>
  </si>
  <si>
    <t>BIG 36</t>
  </si>
  <si>
    <t>RIPASSATO</t>
  </si>
  <si>
    <t>BIG 107</t>
  </si>
  <si>
    <t>SGUSCIATO SCELTO 9/11</t>
  </si>
  <si>
    <t>dar</t>
  </si>
  <si>
    <t>53/2025</t>
  </si>
  <si>
    <t>AB062024</t>
  </si>
  <si>
    <t>NUOVA ERA</t>
  </si>
  <si>
    <t>nuova era</t>
  </si>
  <si>
    <t>campodata</t>
  </si>
  <si>
    <t>SGUSCIATO 9/11 ORIGINE TR</t>
  </si>
  <si>
    <t>SCARTI SCELTI 11+</t>
  </si>
  <si>
    <t>PRODUZ.</t>
  </si>
  <si>
    <t>Lotto imballo</t>
  </si>
  <si>
    <t>Descrizione</t>
  </si>
  <si>
    <t>Q.tà</t>
  </si>
  <si>
    <t>Cliente</t>
  </si>
  <si>
    <t>Numero</t>
  </si>
  <si>
    <t>Giacenza Fabrica</t>
  </si>
  <si>
    <t>G.V.</t>
  </si>
  <si>
    <t>G.O.</t>
  </si>
  <si>
    <t>C.O.</t>
  </si>
  <si>
    <t>C.E.</t>
  </si>
  <si>
    <t>Rott.</t>
  </si>
  <si>
    <t>540122144-54-134</t>
  </si>
  <si>
    <t>la caliendo</t>
  </si>
  <si>
    <t>c/lav</t>
  </si>
  <si>
    <t>12/2026</t>
  </si>
  <si>
    <t>SO11/2024</t>
  </si>
  <si>
    <t>ROTTAME SGUSCIATRICE SCELTO</t>
  </si>
  <si>
    <t>scelto fabrica</t>
  </si>
  <si>
    <t>14/2026</t>
  </si>
  <si>
    <t>semi neri da cernite fabrica</t>
  </si>
  <si>
    <t>CONTO LAVORO</t>
  </si>
  <si>
    <t>DAR 05/2026</t>
  </si>
  <si>
    <t>santaniello</t>
  </si>
  <si>
    <t>Santaniello</t>
  </si>
  <si>
    <t>Data 29/06/2026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</si>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</sst>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#,##0.000"/>
    <numFmt numFmtId="166" formatCode="0.0%"/>
  </numFmts>
  <fonts count="38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b/>
      <u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26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rgb="FFFF0000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372">
    <xf numFmtId="0" fontId="0" fillId="0" borderId="0" xfId="0"/>
    <xf numFmtId="14" fontId="2" fillId="3" borderId="1" xfId="0" applyNumberFormat="1" applyFont="1" applyFill="1" applyBorder="1"/>
    <xf numFmtId="164" fontId="2" fillId="3" borderId="1" xfId="0" quotePrefix="1" applyNumberFormat="1" applyFont="1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1" xfId="0" applyFont="1" applyBorder="1"/>
    <xf numFmtId="0" fontId="4" fillId="0" borderId="11" xfId="0" applyFont="1" applyBorder="1" applyAlignment="1">
      <alignment horizontal="center" wrapText="1"/>
    </xf>
    <xf numFmtId="0" fontId="5" fillId="0" borderId="10" xfId="0" quotePrefix="1" applyFont="1" applyBorder="1"/>
    <xf numFmtId="0" fontId="4" fillId="4" borderId="10" xfId="0" applyFont="1" applyFill="1" applyBorder="1" applyAlignment="1">
      <alignment wrapText="1"/>
    </xf>
    <xf numFmtId="0" fontId="6" fillId="6" borderId="10" xfId="0" applyFont="1" applyFill="1" applyBorder="1" applyAlignment="1">
      <alignment wrapText="1"/>
    </xf>
    <xf numFmtId="10" fontId="4" fillId="0" borderId="11" xfId="0" applyNumberFormat="1" applyFont="1" applyBorder="1" applyAlignment="1">
      <alignment horizontal="center" wrapText="1"/>
    </xf>
    <xf numFmtId="9" fontId="4" fillId="0" borderId="11" xfId="0" applyNumberFormat="1" applyFont="1" applyBorder="1" applyAlignment="1">
      <alignment horizontal="center" wrapText="1"/>
    </xf>
    <xf numFmtId="10" fontId="4" fillId="0" borderId="11" xfId="0" applyNumberFormat="1" applyFont="1" applyBorder="1" applyAlignment="1">
      <alignment horizontal="center"/>
    </xf>
    <xf numFmtId="17" fontId="5" fillId="7" borderId="11" xfId="0" quotePrefix="1" applyNumberFormat="1" applyFont="1" applyFill="1" applyBorder="1"/>
    <xf numFmtId="0" fontId="1" fillId="7" borderId="11" xfId="0" applyFont="1" applyFill="1" applyBorder="1"/>
    <xf numFmtId="0" fontId="5" fillId="7" borderId="11" xfId="0" applyFont="1" applyFill="1" applyBorder="1"/>
    <xf numFmtId="0" fontId="5" fillId="4" borderId="10" xfId="0" applyFont="1" applyFill="1" applyBorder="1" applyAlignment="1">
      <alignment wrapText="1"/>
    </xf>
    <xf numFmtId="0" fontId="7" fillId="8" borderId="11" xfId="0" applyFont="1" applyFill="1" applyBorder="1"/>
    <xf numFmtId="0" fontId="7" fillId="8" borderId="11" xfId="0" applyFont="1" applyFill="1" applyBorder="1" applyAlignment="1">
      <alignment horizontal="center"/>
    </xf>
    <xf numFmtId="0" fontId="7" fillId="8" borderId="10" xfId="0" applyFont="1" applyFill="1" applyBorder="1"/>
    <xf numFmtId="0" fontId="4" fillId="0" borderId="11" xfId="0" applyFont="1" applyBorder="1" applyAlignment="1">
      <alignment horizontal="center"/>
    </xf>
    <xf numFmtId="0" fontId="4" fillId="4" borderId="10" xfId="0" applyFont="1" applyFill="1" applyBorder="1"/>
    <xf numFmtId="0" fontId="4" fillId="5" borderId="10" xfId="0" applyFont="1" applyFill="1" applyBorder="1"/>
    <xf numFmtId="9" fontId="4" fillId="0" borderId="11" xfId="0" applyNumberFormat="1" applyFont="1" applyBorder="1" applyAlignment="1">
      <alignment horizontal="center"/>
    </xf>
    <xf numFmtId="17" fontId="5" fillId="9" borderId="10" xfId="0" quotePrefix="1" applyNumberFormat="1" applyFont="1" applyFill="1" applyBorder="1"/>
    <xf numFmtId="0" fontId="1" fillId="9" borderId="11" xfId="0" applyFont="1" applyFill="1" applyBorder="1"/>
    <xf numFmtId="49" fontId="5" fillId="9" borderId="11" xfId="0" quotePrefix="1" applyNumberFormat="1" applyFont="1" applyFill="1" applyBorder="1"/>
    <xf numFmtId="0" fontId="5" fillId="9" borderId="11" xfId="0" applyFont="1" applyFill="1" applyBorder="1"/>
    <xf numFmtId="17" fontId="5" fillId="10" borderId="11" xfId="0" quotePrefix="1" applyNumberFormat="1" applyFont="1" applyFill="1" applyBorder="1"/>
    <xf numFmtId="17" fontId="5" fillId="10" borderId="10" xfId="0" quotePrefix="1" applyNumberFormat="1" applyFont="1" applyFill="1" applyBorder="1"/>
    <xf numFmtId="0" fontId="1" fillId="10" borderId="11" xfId="0" applyFont="1" applyFill="1" applyBorder="1"/>
    <xf numFmtId="0" fontId="5" fillId="10" borderId="11" xfId="0" quotePrefix="1" applyFont="1" applyFill="1" applyBorder="1"/>
    <xf numFmtId="0" fontId="5" fillId="10" borderId="11" xfId="0" applyFont="1" applyFill="1" applyBorder="1"/>
    <xf numFmtId="0" fontId="7" fillId="3" borderId="11" xfId="0" applyFont="1" applyFill="1" applyBorder="1"/>
    <xf numFmtId="0" fontId="7" fillId="3" borderId="11" xfId="0" applyFont="1" applyFill="1" applyBorder="1" applyAlignment="1">
      <alignment horizontal="center"/>
    </xf>
    <xf numFmtId="0" fontId="8" fillId="0" borderId="0" xfId="0" applyFont="1"/>
    <xf numFmtId="0" fontId="2" fillId="3" borderId="11" xfId="0" applyFont="1" applyFill="1" applyBorder="1"/>
    <xf numFmtId="0" fontId="5" fillId="0" borderId="0" xfId="0" applyFont="1"/>
    <xf numFmtId="0" fontId="4" fillId="2" borderId="11" xfId="0" applyFont="1" applyFill="1" applyBorder="1" applyAlignment="1">
      <alignment horizontal="center" vertical="center" wrapText="1"/>
    </xf>
    <xf numFmtId="17" fontId="5" fillId="0" borderId="10" xfId="0" quotePrefix="1" applyNumberFormat="1" applyFont="1" applyBorder="1"/>
    <xf numFmtId="0" fontId="7" fillId="0" borderId="11" xfId="0" applyFont="1" applyBorder="1"/>
    <xf numFmtId="0" fontId="7" fillId="11" borderId="11" xfId="0" applyFont="1" applyFill="1" applyBorder="1"/>
    <xf numFmtId="0" fontId="1" fillId="0" borderId="0" xfId="0" applyFont="1"/>
    <xf numFmtId="3" fontId="5" fillId="0" borderId="11" xfId="0" applyNumberFormat="1" applyFont="1" applyBorder="1" applyAlignment="1">
      <alignment horizontal="center" vertical="center"/>
    </xf>
    <xf numFmtId="3" fontId="4" fillId="5" borderId="11" xfId="0" applyNumberFormat="1" applyFont="1" applyFill="1" applyBorder="1" applyAlignment="1">
      <alignment horizontal="center"/>
    </xf>
    <xf numFmtId="0" fontId="7" fillId="8" borderId="11" xfId="0" quotePrefix="1" applyFont="1" applyFill="1" applyBorder="1" applyAlignment="1">
      <alignment horizontal="center"/>
    </xf>
    <xf numFmtId="17" fontId="7" fillId="8" borderId="11" xfId="0" quotePrefix="1" applyNumberFormat="1" applyFont="1" applyFill="1" applyBorder="1" applyAlignment="1">
      <alignment horizontal="center"/>
    </xf>
    <xf numFmtId="0" fontId="6" fillId="12" borderId="10" xfId="0" applyFont="1" applyFill="1" applyBorder="1" applyAlignment="1">
      <alignment wrapText="1"/>
    </xf>
    <xf numFmtId="0" fontId="1" fillId="12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left"/>
    </xf>
    <xf numFmtId="0" fontId="9" fillId="4" borderId="10" xfId="0" applyFont="1" applyFill="1" applyBorder="1"/>
    <xf numFmtId="0" fontId="12" fillId="11" borderId="11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0" fontId="13" fillId="4" borderId="10" xfId="0" applyFont="1" applyFill="1" applyBorder="1"/>
    <xf numFmtId="9" fontId="5" fillId="0" borderId="11" xfId="0" applyNumberFormat="1" applyFont="1" applyBorder="1" applyAlignment="1">
      <alignment horizontal="center" vertical="center"/>
    </xf>
    <xf numFmtId="0" fontId="13" fillId="5" borderId="11" xfId="0" applyFont="1" applyFill="1" applyBorder="1"/>
    <xf numFmtId="0" fontId="13" fillId="5" borderId="10" xfId="0" applyFont="1" applyFill="1" applyBorder="1"/>
    <xf numFmtId="0" fontId="13" fillId="6" borderId="10" xfId="0" applyFont="1" applyFill="1" applyBorder="1"/>
    <xf numFmtId="0" fontId="12" fillId="0" borderId="11" xfId="0" applyFont="1" applyBorder="1" applyAlignment="1">
      <alignment vertical="center" wrapText="1"/>
    </xf>
    <xf numFmtId="0" fontId="9" fillId="0" borderId="11" xfId="0" quotePrefix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14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17" fontId="9" fillId="0" borderId="11" xfId="0" quotePrefix="1" applyNumberFormat="1" applyFont="1" applyBorder="1" applyAlignment="1">
      <alignment horizontal="center"/>
    </xf>
    <xf numFmtId="0" fontId="4" fillId="2" borderId="16" xfId="0" applyFont="1" applyFill="1" applyBorder="1" applyAlignment="1">
      <alignment vertical="center" wrapText="1"/>
    </xf>
    <xf numFmtId="17" fontId="5" fillId="7" borderId="10" xfId="0" quotePrefix="1" applyNumberFormat="1" applyFont="1" applyFill="1" applyBorder="1"/>
    <xf numFmtId="0" fontId="9" fillId="11" borderId="11" xfId="0" applyFont="1" applyFill="1" applyBorder="1" applyAlignment="1">
      <alignment horizontal="center"/>
    </xf>
    <xf numFmtId="0" fontId="14" fillId="0" borderId="11" xfId="0" applyFont="1" applyBorder="1" applyAlignment="1">
      <alignment wrapText="1"/>
    </xf>
    <xf numFmtId="17" fontId="14" fillId="0" borderId="10" xfId="0" quotePrefix="1" applyNumberFormat="1" applyFont="1" applyBorder="1"/>
    <xf numFmtId="17" fontId="14" fillId="9" borderId="10" xfId="0" quotePrefix="1" applyNumberFormat="1" applyFont="1" applyFill="1" applyBorder="1"/>
    <xf numFmtId="0" fontId="14" fillId="0" borderId="10" xfId="0" applyFont="1" applyBorder="1"/>
    <xf numFmtId="17" fontId="14" fillId="10" borderId="10" xfId="0" quotePrefix="1" applyNumberFormat="1" applyFont="1" applyFill="1" applyBorder="1"/>
    <xf numFmtId="17" fontId="14" fillId="0" borderId="11" xfId="0" quotePrefix="1" applyNumberFormat="1" applyFont="1" applyBorder="1"/>
    <xf numFmtId="17" fontId="14" fillId="0" borderId="11" xfId="0" applyNumberFormat="1" applyFont="1" applyBorder="1"/>
    <xf numFmtId="49" fontId="5" fillId="9" borderId="11" xfId="0" quotePrefix="1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" fontId="4" fillId="5" borderId="12" xfId="0" applyNumberFormat="1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right"/>
    </xf>
    <xf numFmtId="0" fontId="7" fillId="13" borderId="11" xfId="0" applyFont="1" applyFill="1" applyBorder="1"/>
    <xf numFmtId="0" fontId="5" fillId="13" borderId="11" xfId="0" applyFont="1" applyFill="1" applyBorder="1" applyAlignment="1">
      <alignment horizontal="left"/>
    </xf>
    <xf numFmtId="0" fontId="9" fillId="13" borderId="11" xfId="0" applyFont="1" applyFill="1" applyBorder="1"/>
    <xf numFmtId="0" fontId="14" fillId="0" borderId="11" xfId="0" applyFont="1" applyBorder="1" applyAlignment="1">
      <alignment horizontal="center"/>
    </xf>
    <xf numFmtId="49" fontId="14" fillId="0" borderId="11" xfId="0" quotePrefix="1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 wrapText="1"/>
    </xf>
    <xf numFmtId="0" fontId="14" fillId="12" borderId="10" xfId="0" applyFont="1" applyFill="1" applyBorder="1"/>
    <xf numFmtId="17" fontId="14" fillId="7" borderId="10" xfId="0" quotePrefix="1" applyNumberFormat="1" applyFont="1" applyFill="1" applyBorder="1"/>
    <xf numFmtId="16" fontId="14" fillId="7" borderId="11" xfId="0" quotePrefix="1" applyNumberFormat="1" applyFont="1" applyFill="1" applyBorder="1"/>
    <xf numFmtId="0" fontId="14" fillId="7" borderId="11" xfId="0" applyFont="1" applyFill="1" applyBorder="1" applyAlignment="1">
      <alignment wrapText="1"/>
    </xf>
    <xf numFmtId="0" fontId="14" fillId="7" borderId="10" xfId="0" quotePrefix="1" applyFont="1" applyFill="1" applyBorder="1"/>
    <xf numFmtId="0" fontId="14" fillId="7" borderId="11" xfId="0" applyFont="1" applyFill="1" applyBorder="1"/>
    <xf numFmtId="0" fontId="14" fillId="4" borderId="10" xfId="0" applyFont="1" applyFill="1" applyBorder="1"/>
    <xf numFmtId="0" fontId="14" fillId="5" borderId="10" xfId="0" applyFont="1" applyFill="1" applyBorder="1"/>
    <xf numFmtId="0" fontId="14" fillId="6" borderId="10" xfId="0" applyFont="1" applyFill="1" applyBorder="1"/>
    <xf numFmtId="0" fontId="14" fillId="9" borderId="11" xfId="0" applyFont="1" applyFill="1" applyBorder="1"/>
    <xf numFmtId="0" fontId="14" fillId="9" borderId="11" xfId="0" applyFont="1" applyFill="1" applyBorder="1" applyAlignment="1">
      <alignment wrapText="1"/>
    </xf>
    <xf numFmtId="0" fontId="14" fillId="10" borderId="11" xfId="0" applyFont="1" applyFill="1" applyBorder="1" applyAlignment="1">
      <alignment wrapText="1"/>
    </xf>
    <xf numFmtId="0" fontId="14" fillId="6" borderId="11" xfId="0" applyFont="1" applyFill="1" applyBorder="1"/>
    <xf numFmtId="0" fontId="14" fillId="0" borderId="11" xfId="0" quotePrefix="1" applyFont="1" applyBorder="1"/>
    <xf numFmtId="0" fontId="14" fillId="5" borderId="11" xfId="0" applyFont="1" applyFill="1" applyBorder="1"/>
    <xf numFmtId="17" fontId="14" fillId="9" borderId="11" xfId="0" applyNumberFormat="1" applyFont="1" applyFill="1" applyBorder="1"/>
    <xf numFmtId="0" fontId="14" fillId="0" borderId="0" xfId="0" applyFont="1"/>
    <xf numFmtId="17" fontId="14" fillId="7" borderId="11" xfId="0" quotePrefix="1" applyNumberFormat="1" applyFont="1" applyFill="1" applyBorder="1"/>
    <xf numFmtId="0" fontId="14" fillId="0" borderId="13" xfId="0" applyFont="1" applyBorder="1"/>
    <xf numFmtId="17" fontId="14" fillId="9" borderId="11" xfId="0" quotePrefix="1" applyNumberFormat="1" applyFont="1" applyFill="1" applyBorder="1"/>
    <xf numFmtId="0" fontId="14" fillId="12" borderId="11" xfId="0" applyFont="1" applyFill="1" applyBorder="1"/>
    <xf numFmtId="0" fontId="14" fillId="0" borderId="0" xfId="0" applyFont="1" applyAlignment="1">
      <alignment horizontal="center"/>
    </xf>
    <xf numFmtId="3" fontId="14" fillId="0" borderId="11" xfId="0" applyNumberFormat="1" applyFont="1" applyBorder="1" applyAlignment="1">
      <alignment horizontal="center" vertical="center"/>
    </xf>
    <xf numFmtId="17" fontId="17" fillId="0" borderId="10" xfId="0" quotePrefix="1" applyNumberFormat="1" applyFont="1" applyBorder="1"/>
    <xf numFmtId="2" fontId="14" fillId="0" borderId="0" xfId="0" applyNumberFormat="1" applyFont="1"/>
    <xf numFmtId="2" fontId="14" fillId="7" borderId="11" xfId="0" quotePrefix="1" applyNumberFormat="1" applyFont="1" applyFill="1" applyBorder="1"/>
    <xf numFmtId="0" fontId="18" fillId="9" borderId="11" xfId="0" applyFont="1" applyFill="1" applyBorder="1"/>
    <xf numFmtId="10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17" fontId="14" fillId="13" borderId="11" xfId="0" quotePrefix="1" applyNumberFormat="1" applyFont="1" applyFill="1" applyBorder="1"/>
    <xf numFmtId="17" fontId="14" fillId="13" borderId="11" xfId="0" applyNumberFormat="1" applyFont="1" applyFill="1" applyBorder="1"/>
    <xf numFmtId="0" fontId="18" fillId="13" borderId="11" xfId="0" applyFont="1" applyFill="1" applyBorder="1"/>
    <xf numFmtId="0" fontId="14" fillId="13" borderId="11" xfId="0" applyFont="1" applyFill="1" applyBorder="1"/>
    <xf numFmtId="17" fontId="14" fillId="11" borderId="11" xfId="0" quotePrefix="1" applyNumberFormat="1" applyFont="1" applyFill="1" applyBorder="1"/>
    <xf numFmtId="17" fontId="14" fillId="11" borderId="11" xfId="0" applyNumberFormat="1" applyFont="1" applyFill="1" applyBorder="1"/>
    <xf numFmtId="0" fontId="16" fillId="2" borderId="11" xfId="0" applyFont="1" applyFill="1" applyBorder="1" applyAlignment="1">
      <alignment horizontal="center" vertical="center"/>
    </xf>
    <xf numFmtId="0" fontId="17" fillId="0" borderId="11" xfId="0" applyFont="1" applyBorder="1"/>
    <xf numFmtId="17" fontId="17" fillId="0" borderId="11" xfId="0" quotePrefix="1" applyNumberFormat="1" applyFont="1" applyBorder="1"/>
    <xf numFmtId="17" fontId="17" fillId="13" borderId="11" xfId="0" quotePrefix="1" applyNumberFormat="1" applyFont="1" applyFill="1" applyBorder="1"/>
    <xf numFmtId="0" fontId="17" fillId="13" borderId="11" xfId="0" applyFont="1" applyFill="1" applyBorder="1"/>
    <xf numFmtId="17" fontId="17" fillId="11" borderId="11" xfId="0" quotePrefix="1" applyNumberFormat="1" applyFont="1" applyFill="1" applyBorder="1"/>
    <xf numFmtId="0" fontId="1" fillId="6" borderId="11" xfId="0" applyFont="1" applyFill="1" applyBorder="1" applyAlignment="1">
      <alignment horizontal="center" vertical="center" wrapText="1"/>
    </xf>
    <xf numFmtId="0" fontId="13" fillId="12" borderId="10" xfId="0" applyFont="1" applyFill="1" applyBorder="1"/>
    <xf numFmtId="0" fontId="0" fillId="0" borderId="0" xfId="0" applyAlignment="1">
      <alignment vertical="center" wrapText="1"/>
    </xf>
    <xf numFmtId="0" fontId="9" fillId="5" borderId="10" xfId="0" applyFont="1" applyFill="1" applyBorder="1"/>
    <xf numFmtId="0" fontId="5" fillId="5" borderId="10" xfId="0" applyFont="1" applyFill="1" applyBorder="1"/>
    <xf numFmtId="0" fontId="9" fillId="5" borderId="10" xfId="0" applyFont="1" applyFill="1" applyBorder="1" applyAlignment="1">
      <alignment wrapText="1"/>
    </xf>
    <xf numFmtId="0" fontId="5" fillId="12" borderId="10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17" fontId="5" fillId="13" borderId="11" xfId="0" applyNumberFormat="1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17" fontId="7" fillId="0" borderId="11" xfId="0" quotePrefix="1" applyNumberFormat="1" applyFont="1" applyBorder="1" applyAlignment="1">
      <alignment horizontal="center"/>
    </xf>
    <xf numFmtId="0" fontId="14" fillId="10" borderId="11" xfId="0" applyFont="1" applyFill="1" applyBorder="1"/>
    <xf numFmtId="165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1" fontId="7" fillId="8" borderId="11" xfId="0" applyNumberFormat="1" applyFont="1" applyFill="1" applyBorder="1"/>
    <xf numFmtId="0" fontId="9" fillId="6" borderId="10" xfId="0" applyFont="1" applyFill="1" applyBorder="1" applyAlignment="1">
      <alignment wrapText="1"/>
    </xf>
    <xf numFmtId="0" fontId="7" fillId="3" borderId="12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7" fontId="14" fillId="14" borderId="11" xfId="0" quotePrefix="1" applyNumberFormat="1" applyFont="1" applyFill="1" applyBorder="1"/>
    <xf numFmtId="17" fontId="14" fillId="14" borderId="10" xfId="0" quotePrefix="1" applyNumberFormat="1" applyFont="1" applyFill="1" applyBorder="1"/>
    <xf numFmtId="0" fontId="20" fillId="0" borderId="11" xfId="0" applyFont="1" applyBorder="1" applyAlignment="1">
      <alignment horizontal="center"/>
    </xf>
    <xf numFmtId="0" fontId="14" fillId="14" borderId="11" xfId="0" applyFont="1" applyFill="1" applyBorder="1" applyAlignment="1">
      <alignment wrapText="1"/>
    </xf>
    <xf numFmtId="0" fontId="0" fillId="14" borderId="11" xfId="0" applyFill="1" applyBorder="1" applyAlignment="1">
      <alignment wrapText="1"/>
    </xf>
    <xf numFmtId="0" fontId="9" fillId="14" borderId="11" xfId="0" applyFont="1" applyFill="1" applyBorder="1" applyAlignment="1">
      <alignment horizontal="center"/>
    </xf>
    <xf numFmtId="0" fontId="21" fillId="14" borderId="10" xfId="0" applyFont="1" applyFill="1" applyBorder="1" applyAlignment="1">
      <alignment wrapText="1"/>
    </xf>
    <xf numFmtId="0" fontId="2" fillId="14" borderId="10" xfId="0" applyFont="1" applyFill="1" applyBorder="1" applyAlignment="1">
      <alignment wrapText="1"/>
    </xf>
    <xf numFmtId="10" fontId="4" fillId="14" borderId="11" xfId="0" applyNumberFormat="1" applyFont="1" applyFill="1" applyBorder="1" applyAlignment="1">
      <alignment horizontal="center" wrapText="1"/>
    </xf>
    <xf numFmtId="9" fontId="4" fillId="14" borderId="11" xfId="0" applyNumberFormat="1" applyFont="1" applyFill="1" applyBorder="1" applyAlignment="1">
      <alignment horizontal="center" wrapText="1"/>
    </xf>
    <xf numFmtId="166" fontId="4" fillId="14" borderId="11" xfId="0" applyNumberFormat="1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21" fillId="4" borderId="10" xfId="0" applyFont="1" applyFill="1" applyBorder="1" applyAlignment="1">
      <alignment wrapText="1"/>
    </xf>
    <xf numFmtId="0" fontId="21" fillId="5" borderId="10" xfId="0" applyFont="1" applyFill="1" applyBorder="1" applyAlignment="1">
      <alignment wrapText="1"/>
    </xf>
    <xf numFmtId="0" fontId="21" fillId="6" borderId="10" xfId="0" applyFont="1" applyFill="1" applyBorder="1" applyAlignment="1">
      <alignment wrapText="1"/>
    </xf>
    <xf numFmtId="0" fontId="2" fillId="12" borderId="10" xfId="0" applyFont="1" applyFill="1" applyBorder="1" applyAlignment="1">
      <alignment wrapText="1"/>
    </xf>
    <xf numFmtId="166" fontId="4" fillId="0" borderId="11" xfId="0" applyNumberFormat="1" applyFont="1" applyBorder="1" applyAlignment="1">
      <alignment horizontal="center" wrapText="1"/>
    </xf>
    <xf numFmtId="0" fontId="0" fillId="0" borderId="11" xfId="0" applyBorder="1"/>
    <xf numFmtId="0" fontId="22" fillId="6" borderId="10" xfId="0" applyFont="1" applyFill="1" applyBorder="1" applyAlignment="1">
      <alignment wrapText="1"/>
    </xf>
    <xf numFmtId="0" fontId="22" fillId="12" borderId="10" xfId="0" applyFont="1" applyFill="1" applyBorder="1" applyAlignment="1">
      <alignment wrapText="1"/>
    </xf>
    <xf numFmtId="17" fontId="0" fillId="7" borderId="10" xfId="0" quotePrefix="1" applyNumberFormat="1" applyFill="1" applyBorder="1"/>
    <xf numFmtId="0" fontId="0" fillId="7" borderId="11" xfId="0" applyFill="1" applyBorder="1" applyAlignment="1">
      <alignment wrapText="1"/>
    </xf>
    <xf numFmtId="17" fontId="0" fillId="7" borderId="11" xfId="0" quotePrefix="1" applyNumberFormat="1" applyFill="1" applyBorder="1"/>
    <xf numFmtId="0" fontId="0" fillId="7" borderId="10" xfId="0" quotePrefix="1" applyFill="1" applyBorder="1"/>
    <xf numFmtId="0" fontId="0" fillId="7" borderId="11" xfId="0" applyFill="1" applyBorder="1"/>
    <xf numFmtId="0" fontId="23" fillId="4" borderId="10" xfId="0" applyFont="1" applyFill="1" applyBorder="1" applyAlignment="1">
      <alignment wrapText="1"/>
    </xf>
    <xf numFmtId="0" fontId="0" fillId="14" borderId="18" xfId="0" applyFill="1" applyBorder="1"/>
    <xf numFmtId="0" fontId="0" fillId="14" borderId="19" xfId="0" applyFill="1" applyBorder="1"/>
    <xf numFmtId="0" fontId="7" fillId="8" borderId="19" xfId="0" applyFont="1" applyFill="1" applyBorder="1"/>
    <xf numFmtId="0" fontId="7" fillId="8" borderId="19" xfId="0" applyFont="1" applyFill="1" applyBorder="1" applyAlignment="1">
      <alignment horizontal="center"/>
    </xf>
    <xf numFmtId="0" fontId="7" fillId="8" borderId="20" xfId="0" applyFont="1" applyFill="1" applyBorder="1"/>
    <xf numFmtId="0" fontId="4" fillId="14" borderId="19" xfId="0" applyFont="1" applyFill="1" applyBorder="1" applyAlignment="1">
      <alignment horizontal="center"/>
    </xf>
    <xf numFmtId="17" fontId="14" fillId="14" borderId="21" xfId="0" quotePrefix="1" applyNumberFormat="1" applyFont="1" applyFill="1" applyBorder="1"/>
    <xf numFmtId="17" fontId="14" fillId="14" borderId="22" xfId="0" quotePrefix="1" applyNumberFormat="1" applyFont="1" applyFill="1" applyBorder="1"/>
    <xf numFmtId="0" fontId="20" fillId="0" borderId="21" xfId="0" applyFont="1" applyBorder="1" applyAlignment="1">
      <alignment horizontal="center"/>
    </xf>
    <xf numFmtId="0" fontId="9" fillId="14" borderId="21" xfId="0" applyFont="1" applyFill="1" applyBorder="1"/>
    <xf numFmtId="0" fontId="0" fillId="14" borderId="21" xfId="0" applyFill="1" applyBorder="1"/>
    <xf numFmtId="0" fontId="24" fillId="14" borderId="21" xfId="0" applyFont="1" applyFill="1" applyBorder="1"/>
    <xf numFmtId="0" fontId="14" fillId="14" borderId="21" xfId="0" applyFont="1" applyFill="1" applyBorder="1" applyAlignment="1">
      <alignment wrapText="1"/>
    </xf>
    <xf numFmtId="0" fontId="9" fillId="14" borderId="21" xfId="0" applyFont="1" applyFill="1" applyBorder="1" applyAlignment="1">
      <alignment horizontal="center"/>
    </xf>
    <xf numFmtId="0" fontId="21" fillId="14" borderId="22" xfId="0" applyFont="1" applyFill="1" applyBorder="1"/>
    <xf numFmtId="0" fontId="0" fillId="14" borderId="22" xfId="0" applyFill="1" applyBorder="1"/>
    <xf numFmtId="166" fontId="4" fillId="14" borderId="21" xfId="0" applyNumberFormat="1" applyFont="1" applyFill="1" applyBorder="1" applyAlignment="1">
      <alignment horizontal="center"/>
    </xf>
    <xf numFmtId="10" fontId="4" fillId="14" borderId="21" xfId="0" applyNumberFormat="1" applyFont="1" applyFill="1" applyBorder="1" applyAlignment="1">
      <alignment horizontal="center"/>
    </xf>
    <xf numFmtId="0" fontId="4" fillId="14" borderId="21" xfId="0" applyFont="1" applyFill="1" applyBorder="1" applyAlignment="1">
      <alignment horizontal="center"/>
    </xf>
    <xf numFmtId="0" fontId="24" fillId="0" borderId="11" xfId="0" applyFont="1" applyBorder="1"/>
    <xf numFmtId="0" fontId="21" fillId="4" borderId="10" xfId="0" applyFont="1" applyFill="1" applyBorder="1"/>
    <xf numFmtId="0" fontId="21" fillId="5" borderId="10" xfId="0" applyFont="1" applyFill="1" applyBorder="1"/>
    <xf numFmtId="0" fontId="0" fillId="6" borderId="10" xfId="0" applyFill="1" applyBorder="1"/>
    <xf numFmtId="0" fontId="0" fillId="12" borderId="10" xfId="0" applyFill="1" applyBorder="1"/>
    <xf numFmtId="17" fontId="0" fillId="9" borderId="11" xfId="0" quotePrefix="1" applyNumberFormat="1" applyFill="1" applyBorder="1"/>
    <xf numFmtId="0" fontId="0" fillId="9" borderId="11" xfId="0" applyFill="1" applyBorder="1"/>
    <xf numFmtId="0" fontId="14" fillId="14" borderId="20" xfId="0" applyFont="1" applyFill="1" applyBorder="1"/>
    <xf numFmtId="0" fontId="14" fillId="14" borderId="21" xfId="0" applyFont="1" applyFill="1" applyBorder="1"/>
    <xf numFmtId="0" fontId="13" fillId="14" borderId="22" xfId="0" applyFont="1" applyFill="1" applyBorder="1"/>
    <xf numFmtId="0" fontId="25" fillId="14" borderId="22" xfId="0" applyFont="1" applyFill="1" applyBorder="1"/>
    <xf numFmtId="0" fontId="26" fillId="14" borderId="22" xfId="0" applyFont="1" applyFill="1" applyBorder="1"/>
    <xf numFmtId="0" fontId="25" fillId="5" borderId="10" xfId="0" applyFont="1" applyFill="1" applyBorder="1"/>
    <xf numFmtId="0" fontId="0" fillId="10" borderId="11" xfId="0" applyFill="1" applyBorder="1"/>
    <xf numFmtId="0" fontId="0" fillId="10" borderId="11" xfId="0" applyFill="1" applyBorder="1" applyAlignment="1">
      <alignment wrapText="1"/>
    </xf>
    <xf numFmtId="17" fontId="0" fillId="10" borderId="11" xfId="0" quotePrefix="1" applyNumberFormat="1" applyFill="1" applyBorder="1" applyAlignment="1">
      <alignment horizontal="left"/>
    </xf>
    <xf numFmtId="0" fontId="27" fillId="10" borderId="11" xfId="0" applyFont="1" applyFill="1" applyBorder="1"/>
    <xf numFmtId="0" fontId="0" fillId="10" borderId="11" xfId="0" quotePrefix="1" applyFill="1" applyBorder="1" applyAlignment="1">
      <alignment horizontal="right"/>
    </xf>
    <xf numFmtId="0" fontId="14" fillId="14" borderId="19" xfId="0" applyFont="1" applyFill="1" applyBorder="1"/>
    <xf numFmtId="10" fontId="4" fillId="14" borderId="19" xfId="0" applyNumberFormat="1" applyFont="1" applyFill="1" applyBorder="1" applyAlignment="1">
      <alignment horizontal="center"/>
    </xf>
    <xf numFmtId="0" fontId="20" fillId="11" borderId="21" xfId="0" applyFont="1" applyFill="1" applyBorder="1" applyAlignment="1">
      <alignment horizontal="center" vertical="center"/>
    </xf>
    <xf numFmtId="0" fontId="2" fillId="14" borderId="22" xfId="0" applyFont="1" applyFill="1" applyBorder="1"/>
    <xf numFmtId="9" fontId="4" fillId="14" borderId="21" xfId="0" applyNumberFormat="1" applyFont="1" applyFill="1" applyBorder="1" applyAlignment="1">
      <alignment horizontal="center"/>
    </xf>
    <xf numFmtId="0" fontId="9" fillId="11" borderId="11" xfId="0" applyFont="1" applyFill="1" applyBorder="1"/>
    <xf numFmtId="0" fontId="2" fillId="6" borderId="10" xfId="0" applyFont="1" applyFill="1" applyBorder="1"/>
    <xf numFmtId="0" fontId="2" fillId="12" borderId="10" xfId="0" applyFont="1" applyFill="1" applyBorder="1"/>
    <xf numFmtId="0" fontId="14" fillId="0" borderId="19" xfId="0" applyFont="1" applyBorder="1"/>
    <xf numFmtId="0" fontId="12" fillId="14" borderId="21" xfId="0" applyFont="1" applyFill="1" applyBorder="1" applyAlignment="1">
      <alignment horizontal="center"/>
    </xf>
    <xf numFmtId="0" fontId="23" fillId="11" borderId="11" xfId="0" applyFont="1" applyFill="1" applyBorder="1" applyAlignment="1">
      <alignment horizontal="center"/>
    </xf>
    <xf numFmtId="0" fontId="21" fillId="6" borderId="10" xfId="0" applyFont="1" applyFill="1" applyBorder="1"/>
    <xf numFmtId="0" fontId="28" fillId="4" borderId="10" xfId="0" applyFont="1" applyFill="1" applyBorder="1"/>
    <xf numFmtId="0" fontId="28" fillId="5" borderId="11" xfId="0" applyFont="1" applyFill="1" applyBorder="1"/>
    <xf numFmtId="0" fontId="28" fillId="6" borderId="11" xfId="0" applyFont="1" applyFill="1" applyBorder="1"/>
    <xf numFmtId="17" fontId="14" fillId="14" borderId="19" xfId="0" quotePrefix="1" applyNumberFormat="1" applyFont="1" applyFill="1" applyBorder="1"/>
    <xf numFmtId="0" fontId="2" fillId="8" borderId="20" xfId="0" applyFont="1" applyFill="1" applyBorder="1"/>
    <xf numFmtId="9" fontId="4" fillId="14" borderId="19" xfId="0" applyNumberFormat="1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0" fillId="14" borderId="11" xfId="0" applyFill="1" applyBorder="1"/>
    <xf numFmtId="0" fontId="0" fillId="0" borderId="0" xfId="0" applyAlignment="1">
      <alignment horizontal="center"/>
    </xf>
    <xf numFmtId="0" fontId="9" fillId="6" borderId="10" xfId="0" applyFont="1" applyFill="1" applyBorder="1"/>
    <xf numFmtId="14" fontId="29" fillId="3" borderId="1" xfId="0" applyNumberFormat="1" applyFont="1" applyFill="1" applyBorder="1"/>
    <xf numFmtId="0" fontId="1" fillId="5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0" fillId="10" borderId="11" xfId="0" quotePrefix="1" applyFill="1" applyBorder="1"/>
    <xf numFmtId="0" fontId="13" fillId="4" borderId="10" xfId="0" applyFont="1" applyFill="1" applyBorder="1" applyAlignment="1">
      <alignment wrapText="1"/>
    </xf>
    <xf numFmtId="0" fontId="14" fillId="0" borderId="1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right"/>
    </xf>
    <xf numFmtId="0" fontId="14" fillId="0" borderId="11" xfId="0" applyFont="1" applyBorder="1" applyAlignment="1">
      <alignment horizontal="right" wrapText="1"/>
    </xf>
    <xf numFmtId="0" fontId="16" fillId="6" borderId="10" xfId="0" applyFont="1" applyFill="1" applyBorder="1"/>
    <xf numFmtId="0" fontId="13" fillId="6" borderId="10" xfId="0" applyFont="1" applyFill="1" applyBorder="1" applyAlignment="1">
      <alignment wrapText="1"/>
    </xf>
    <xf numFmtId="17" fontId="14" fillId="0" borderId="11" xfId="0" quotePrefix="1" applyNumberFormat="1" applyFont="1" applyBorder="1" applyAlignment="1">
      <alignment horizontal="center"/>
    </xf>
    <xf numFmtId="0" fontId="13" fillId="15" borderId="10" xfId="0" applyFont="1" applyFill="1" applyBorder="1"/>
    <xf numFmtId="0" fontId="14" fillId="0" borderId="11" xfId="0" applyFont="1" applyBorder="1" applyAlignment="1">
      <alignment horizontal="right"/>
    </xf>
    <xf numFmtId="17" fontId="14" fillId="0" borderId="14" xfId="0" quotePrefix="1" applyNumberFormat="1" applyFont="1" applyBorder="1"/>
    <xf numFmtId="0" fontId="9" fillId="11" borderId="10" xfId="0" applyFont="1" applyFill="1" applyBorder="1"/>
    <xf numFmtId="0" fontId="9" fillId="11" borderId="9" xfId="0" applyFont="1" applyFill="1" applyBorder="1"/>
    <xf numFmtId="0" fontId="9" fillId="11" borderId="21" xfId="0" applyFont="1" applyFill="1" applyBorder="1"/>
    <xf numFmtId="0" fontId="32" fillId="11" borderId="11" xfId="0" applyFont="1" applyFill="1" applyBorder="1"/>
    <xf numFmtId="0" fontId="1" fillId="13" borderId="11" xfId="0" applyFont="1" applyFill="1" applyBorder="1" applyAlignment="1">
      <alignment horizontal="left"/>
    </xf>
    <xf numFmtId="0" fontId="33" fillId="0" borderId="0" xfId="0" applyFont="1"/>
    <xf numFmtId="4" fontId="5" fillId="0" borderId="11" xfId="0" applyNumberFormat="1" applyFont="1" applyBorder="1" applyAlignment="1">
      <alignment horizontal="center" vertical="center"/>
    </xf>
    <xf numFmtId="4" fontId="14" fillId="0" borderId="11" xfId="0" applyNumberFormat="1" applyFont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4" fontId="17" fillId="0" borderId="11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/>
    </xf>
    <xf numFmtId="3" fontId="17" fillId="0" borderId="11" xfId="0" applyNumberFormat="1" applyFont="1" applyBorder="1" applyAlignment="1">
      <alignment horizontal="center" vertical="center"/>
    </xf>
    <xf numFmtId="0" fontId="34" fillId="0" borderId="11" xfId="0" applyFont="1" applyBorder="1"/>
    <xf numFmtId="10" fontId="12" fillId="11" borderId="11" xfId="1" applyNumberFormat="1" applyFont="1" applyFill="1" applyBorder="1" applyAlignment="1">
      <alignment horizontal="center"/>
    </xf>
    <xf numFmtId="17" fontId="9" fillId="0" borderId="10" xfId="0" quotePrefix="1" applyNumberFormat="1" applyFont="1" applyBorder="1"/>
    <xf numFmtId="0" fontId="14" fillId="11" borderId="11" xfId="0" quotePrefix="1" applyFont="1" applyFill="1" applyBorder="1"/>
    <xf numFmtId="0" fontId="14" fillId="11" borderId="10" xfId="0" applyFont="1" applyFill="1" applyBorder="1"/>
    <xf numFmtId="17" fontId="9" fillId="11" borderId="11" xfId="0" quotePrefix="1" applyNumberFormat="1" applyFont="1" applyFill="1" applyBorder="1" applyAlignment="1">
      <alignment horizontal="center"/>
    </xf>
    <xf numFmtId="49" fontId="14" fillId="11" borderId="11" xfId="0" quotePrefix="1" applyNumberFormat="1" applyFont="1" applyFill="1" applyBorder="1" applyAlignment="1">
      <alignment horizontal="center"/>
    </xf>
    <xf numFmtId="0" fontId="14" fillId="11" borderId="11" xfId="0" applyFont="1" applyFill="1" applyBorder="1"/>
    <xf numFmtId="0" fontId="36" fillId="11" borderId="11" xfId="0" applyFont="1" applyFill="1" applyBorder="1"/>
    <xf numFmtId="10" fontId="4" fillId="11" borderId="11" xfId="0" applyNumberFormat="1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17" fontId="14" fillId="16" borderId="11" xfId="0" quotePrefix="1" applyNumberFormat="1" applyFont="1" applyFill="1" applyBorder="1"/>
    <xf numFmtId="17" fontId="14" fillId="16" borderId="10" xfId="0" quotePrefix="1" applyNumberFormat="1" applyFont="1" applyFill="1" applyBorder="1"/>
    <xf numFmtId="0" fontId="9" fillId="16" borderId="11" xfId="0" applyFont="1" applyFill="1" applyBorder="1" applyAlignment="1">
      <alignment horizontal="center"/>
    </xf>
    <xf numFmtId="0" fontId="9" fillId="16" borderId="11" xfId="0" applyFont="1" applyFill="1" applyBorder="1"/>
    <xf numFmtId="0" fontId="24" fillId="16" borderId="11" xfId="0" applyFont="1" applyFill="1" applyBorder="1"/>
    <xf numFmtId="0" fontId="0" fillId="16" borderId="11" xfId="0" applyFill="1" applyBorder="1"/>
    <xf numFmtId="17" fontId="14" fillId="17" borderId="11" xfId="0" quotePrefix="1" applyNumberFormat="1" applyFont="1" applyFill="1" applyBorder="1"/>
    <xf numFmtId="17" fontId="14" fillId="17" borderId="10" xfId="0" quotePrefix="1" applyNumberFormat="1" applyFont="1" applyFill="1" applyBorder="1"/>
    <xf numFmtId="0" fontId="9" fillId="17" borderId="11" xfId="0" applyFont="1" applyFill="1" applyBorder="1" applyAlignment="1">
      <alignment horizontal="center"/>
    </xf>
    <xf numFmtId="0" fontId="9" fillId="17" borderId="11" xfId="0" applyFont="1" applyFill="1" applyBorder="1"/>
    <xf numFmtId="0" fontId="0" fillId="17" borderId="11" xfId="0" applyFill="1" applyBorder="1"/>
    <xf numFmtId="0" fontId="14" fillId="17" borderId="11" xfId="0" applyFont="1" applyFill="1" applyBorder="1" applyAlignment="1">
      <alignment wrapText="1"/>
    </xf>
    <xf numFmtId="0" fontId="14" fillId="17" borderId="11" xfId="0" quotePrefix="1" applyFont="1" applyFill="1" applyBorder="1"/>
    <xf numFmtId="0" fontId="9" fillId="2" borderId="11" xfId="0" applyFont="1" applyFill="1" applyBorder="1"/>
    <xf numFmtId="17" fontId="14" fillId="18" borderId="11" xfId="0" quotePrefix="1" applyNumberFormat="1" applyFont="1" applyFill="1" applyBorder="1"/>
    <xf numFmtId="17" fontId="14" fillId="18" borderId="10" xfId="0" quotePrefix="1" applyNumberFormat="1" applyFont="1" applyFill="1" applyBorder="1"/>
    <xf numFmtId="0" fontId="9" fillId="18" borderId="11" xfId="0" applyFont="1" applyFill="1" applyBorder="1" applyAlignment="1">
      <alignment horizontal="center"/>
    </xf>
    <xf numFmtId="0" fontId="14" fillId="18" borderId="11" xfId="0" applyFont="1" applyFill="1" applyBorder="1" applyAlignment="1">
      <alignment wrapText="1"/>
    </xf>
    <xf numFmtId="0" fontId="0" fillId="18" borderId="11" xfId="0" applyFill="1" applyBorder="1" applyAlignment="1">
      <alignment wrapText="1"/>
    </xf>
    <xf numFmtId="10" fontId="37" fillId="11" borderId="11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7" fontId="14" fillId="0" borderId="21" xfId="0" quotePrefix="1" applyNumberFormat="1" applyFont="1" applyBorder="1"/>
    <xf numFmtId="17" fontId="14" fillId="0" borderId="22" xfId="0" quotePrefix="1" applyNumberFormat="1" applyFont="1" applyBorder="1"/>
    <xf numFmtId="0" fontId="9" fillId="0" borderId="21" xfId="0" applyFont="1" applyBorder="1"/>
    <xf numFmtId="0" fontId="7" fillId="0" borderId="21" xfId="0" applyFont="1" applyBorder="1"/>
    <xf numFmtId="0" fontId="14" fillId="0" borderId="21" xfId="0" applyFont="1" applyBorder="1" applyAlignment="1">
      <alignment wrapText="1"/>
    </xf>
    <xf numFmtId="0" fontId="9" fillId="0" borderId="21" xfId="0" applyFont="1" applyBorder="1" applyAlignment="1">
      <alignment horizontal="center"/>
    </xf>
    <xf numFmtId="0" fontId="21" fillId="0" borderId="22" xfId="0" applyFont="1" applyBorder="1"/>
    <xf numFmtId="0" fontId="2" fillId="0" borderId="22" xfId="0" applyFont="1" applyBorder="1"/>
    <xf numFmtId="10" fontId="4" fillId="0" borderId="21" xfId="0" applyNumberFormat="1" applyFont="1" applyBorder="1" applyAlignment="1">
      <alignment horizontal="center"/>
    </xf>
    <xf numFmtId="9" fontId="4" fillId="0" borderId="21" xfId="0" applyNumberFormat="1" applyFont="1" applyBorder="1" applyAlignment="1">
      <alignment horizontal="center"/>
    </xf>
    <xf numFmtId="0" fontId="0" fillId="2" borderId="11" xfId="0" applyFill="1" applyBorder="1"/>
    <xf numFmtId="0" fontId="9" fillId="2" borderId="11" xfId="0" applyFont="1" applyFill="1" applyBorder="1" applyAlignment="1">
      <alignment horizontal="center"/>
    </xf>
    <xf numFmtId="10" fontId="4" fillId="2" borderId="11" xfId="0" applyNumberFormat="1" applyFont="1" applyFill="1" applyBorder="1" applyAlignment="1">
      <alignment horizontal="center"/>
    </xf>
    <xf numFmtId="17" fontId="0" fillId="10" borderId="11" xfId="0" quotePrefix="1" applyNumberForma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>
    <pageSetUpPr fitToPage="1"/>
  </sheetPr>
  <dimension ref="A1:U94"/>
  <sheetViews>
    <sheetView zoomScaleNormal="100"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2" width="11.7109375" customWidth="1"/>
    <col min="3" max="3" width="11.85546875" customWidth="1"/>
    <col min="4" max="4" width="33.42578125" customWidth="1"/>
    <col min="5" max="5" width="22.42578125" customWidth="1"/>
    <col min="6" max="6" width="12.5703125" customWidth="1"/>
    <col min="7" max="7" width="13.85546875" customWidth="1"/>
    <col min="8" max="8" width="14.7109375" customWidth="1"/>
    <col min="9" max="9" width="13.7109375" customWidth="1"/>
    <col min="10" max="10" width="14.7109375" customWidth="1"/>
    <col min="11" max="11" width="18.7109375" customWidth="1"/>
    <col min="12" max="15" width="10.140625" customWidth="1"/>
    <col min="16" max="16" width="7.85546875" customWidth="1"/>
    <col min="17" max="17" width="8" customWidth="1"/>
    <col min="18" max="18" width="8.5703125" customWidth="1"/>
    <col min="19" max="19" width="8" customWidth="1"/>
    <col min="21" max="21" width="10" bestFit="1" customWidth="1"/>
  </cols>
  <sheetData>
    <row r="1" spans="1:21" ht="27" thickBot="1" x14ac:dyDescent="0.45">
      <c r="A1" s="332" t="s">
        <v>0</v>
      </c>
      <c r="B1" s="332"/>
      <c r="C1" s="332"/>
      <c r="D1" s="1">
        <v>46202</v>
      </c>
      <c r="E1" s="2"/>
      <c r="F1" s="3"/>
      <c r="G1" s="333" t="s">
        <v>44</v>
      </c>
      <c r="H1" s="334"/>
      <c r="I1" s="334"/>
      <c r="J1" s="357"/>
      <c r="K1" s="355" t="s">
        <v>1</v>
      </c>
      <c r="L1" s="356"/>
    </row>
    <row r="2" spans="1:21" ht="39" thickTop="1" x14ac:dyDescent="0.25">
      <c r="A2" s="6" t="s">
        <v>2</v>
      </c>
      <c r="B2" s="77" t="s">
        <v>38</v>
      </c>
      <c r="C2" s="7" t="s">
        <v>37</v>
      </c>
      <c r="D2" s="8" t="s">
        <v>3</v>
      </c>
      <c r="E2" s="8" t="s">
        <v>4</v>
      </c>
      <c r="F2" s="9" t="s">
        <v>30</v>
      </c>
      <c r="G2" s="8" t="s">
        <v>5</v>
      </c>
      <c r="H2" s="8" t="s">
        <v>6</v>
      </c>
      <c r="I2" s="8" t="s">
        <v>7</v>
      </c>
      <c r="J2" s="9" t="s">
        <v>8</v>
      </c>
      <c r="K2" s="8" t="s">
        <v>23</v>
      </c>
      <c r="L2" s="10" t="s">
        <v>9</v>
      </c>
      <c r="M2" s="11" t="s">
        <v>31</v>
      </c>
      <c r="N2" s="142" t="s">
        <v>32</v>
      </c>
      <c r="O2" s="56" t="s">
        <v>41</v>
      </c>
      <c r="P2" s="12" t="s">
        <v>10</v>
      </c>
      <c r="Q2" s="12" t="s">
        <v>11</v>
      </c>
      <c r="R2" s="12" t="s">
        <v>12</v>
      </c>
      <c r="S2" s="12" t="s">
        <v>13</v>
      </c>
      <c r="T2" s="70" t="s">
        <v>36</v>
      </c>
      <c r="U2" s="144"/>
    </row>
    <row r="3" spans="1:21" x14ac:dyDescent="0.25">
      <c r="A3" s="85"/>
      <c r="B3" s="124"/>
      <c r="C3" s="47"/>
      <c r="D3" s="74"/>
      <c r="E3" s="76"/>
      <c r="F3" s="266"/>
      <c r="G3" s="80"/>
      <c r="H3" s="80"/>
      <c r="I3" s="80"/>
      <c r="J3" s="80"/>
      <c r="K3" s="73"/>
      <c r="L3" s="65"/>
      <c r="M3" s="147"/>
      <c r="N3" s="164"/>
      <c r="O3" s="148"/>
      <c r="P3" s="18"/>
      <c r="Q3" s="20"/>
      <c r="R3" s="20"/>
      <c r="S3" s="18"/>
      <c r="T3" s="14"/>
      <c r="U3" s="125"/>
    </row>
    <row r="4" spans="1:21" x14ac:dyDescent="0.25">
      <c r="A4" s="85"/>
      <c r="B4" s="124"/>
      <c r="C4" s="47"/>
      <c r="D4" s="74"/>
      <c r="E4" s="76"/>
      <c r="F4" s="271"/>
      <c r="G4" s="80"/>
      <c r="H4" s="80"/>
      <c r="I4" s="80"/>
      <c r="J4" s="80"/>
      <c r="K4" s="162"/>
      <c r="L4" s="65"/>
      <c r="M4" s="147"/>
      <c r="N4" s="164"/>
      <c r="O4" s="148"/>
      <c r="P4" s="18"/>
      <c r="Q4" s="20"/>
      <c r="R4" s="20"/>
      <c r="S4" s="18"/>
      <c r="T4" s="14"/>
      <c r="U4" s="125"/>
    </row>
    <row r="5" spans="1:21" x14ac:dyDescent="0.25">
      <c r="A5" s="85"/>
      <c r="B5" s="124"/>
      <c r="C5" s="47"/>
      <c r="D5" s="74"/>
      <c r="E5" s="76"/>
      <c r="F5" s="271"/>
      <c r="G5" s="80"/>
      <c r="H5" s="80"/>
      <c r="I5" s="80"/>
      <c r="J5" s="80"/>
      <c r="K5" s="162"/>
      <c r="L5" s="65"/>
      <c r="M5" s="147"/>
      <c r="N5" s="164"/>
      <c r="O5" s="148"/>
      <c r="P5" s="18"/>
      <c r="Q5" s="20"/>
      <c r="R5" s="20"/>
      <c r="S5" s="18"/>
      <c r="T5" s="14"/>
      <c r="U5" s="125"/>
    </row>
    <row r="6" spans="1:21" x14ac:dyDescent="0.25">
      <c r="A6" s="85"/>
      <c r="B6" s="124"/>
      <c r="C6" s="47"/>
      <c r="D6" s="74"/>
      <c r="E6" s="76"/>
      <c r="F6" s="271"/>
      <c r="G6" s="80"/>
      <c r="H6" s="80"/>
      <c r="I6" s="80"/>
      <c r="J6" s="80"/>
      <c r="K6" s="162"/>
      <c r="L6" s="65"/>
      <c r="M6" s="147"/>
      <c r="N6" s="164"/>
      <c r="O6" s="148"/>
      <c r="P6" s="18"/>
      <c r="Q6" s="20"/>
      <c r="R6" s="20"/>
      <c r="S6" s="18"/>
      <c r="T6" s="14"/>
      <c r="U6" s="125"/>
    </row>
    <row r="7" spans="1:21" x14ac:dyDescent="0.25">
      <c r="A7" s="85"/>
      <c r="B7" s="124"/>
      <c r="C7" s="47"/>
      <c r="D7" s="74"/>
      <c r="E7" s="76"/>
      <c r="F7" s="271"/>
      <c r="G7" s="80"/>
      <c r="H7" s="80"/>
      <c r="I7" s="80"/>
      <c r="J7" s="80"/>
      <c r="K7" s="162"/>
      <c r="L7" s="65"/>
      <c r="M7" s="147"/>
      <c r="N7" s="164"/>
      <c r="O7" s="148"/>
      <c r="P7" s="18"/>
      <c r="Q7" s="20"/>
      <c r="R7" s="20"/>
      <c r="S7" s="18"/>
      <c r="T7" s="14"/>
      <c r="U7" s="125"/>
    </row>
    <row r="8" spans="1:21" x14ac:dyDescent="0.25">
      <c r="A8" s="85"/>
      <c r="B8" s="124"/>
      <c r="C8" s="47"/>
      <c r="D8" s="74"/>
      <c r="E8" s="76"/>
      <c r="F8" s="271"/>
      <c r="G8" s="80"/>
      <c r="H8" s="80"/>
      <c r="I8" s="80"/>
      <c r="J8" s="80"/>
      <c r="K8" s="162"/>
      <c r="L8" s="65"/>
      <c r="M8" s="147"/>
      <c r="N8" s="164"/>
      <c r="O8" s="148"/>
      <c r="P8" s="18"/>
      <c r="Q8" s="20"/>
      <c r="R8" s="20"/>
      <c r="S8" s="18"/>
      <c r="T8" s="14"/>
      <c r="U8" s="125"/>
    </row>
    <row r="9" spans="1:21" x14ac:dyDescent="0.25">
      <c r="A9" s="21"/>
      <c r="B9" s="78"/>
      <c r="C9" s="102"/>
      <c r="D9" s="22" t="s">
        <v>21</v>
      </c>
      <c r="E9" s="103"/>
      <c r="F9" s="104"/>
      <c r="G9" s="104"/>
      <c r="H9" s="104"/>
      <c r="I9" s="104"/>
      <c r="J9" s="104"/>
      <c r="K9" s="23"/>
      <c r="L9" s="16"/>
      <c r="M9" s="149"/>
      <c r="N9" s="164"/>
      <c r="O9" s="55"/>
      <c r="P9" s="18"/>
      <c r="Q9" s="19"/>
      <c r="R9" s="19"/>
      <c r="S9" s="19"/>
      <c r="T9" s="14"/>
      <c r="U9" s="125"/>
    </row>
    <row r="10" spans="1:21" x14ac:dyDescent="0.25">
      <c r="A10" s="21"/>
      <c r="B10" s="78"/>
      <c r="C10" s="102"/>
      <c r="D10" s="22"/>
      <c r="E10" s="103"/>
      <c r="F10" s="104"/>
      <c r="G10" s="104"/>
      <c r="H10" s="104"/>
      <c r="I10" s="104"/>
      <c r="J10" s="104"/>
      <c r="K10" s="23"/>
      <c r="L10" s="16"/>
      <c r="M10" s="149"/>
      <c r="N10" s="17"/>
      <c r="O10" s="55"/>
      <c r="P10" s="18"/>
      <c r="Q10" s="19"/>
      <c r="R10" s="19"/>
      <c r="S10" s="19"/>
      <c r="T10" s="14"/>
      <c r="U10" s="125"/>
    </row>
    <row r="11" spans="1:21" x14ac:dyDescent="0.25">
      <c r="A11" s="118"/>
      <c r="B11" s="102"/>
      <c r="C11" s="105"/>
      <c r="D11" s="106"/>
      <c r="E11" s="126"/>
      <c r="F11" s="104"/>
      <c r="G11" s="104"/>
      <c r="H11" s="104"/>
      <c r="I11" s="104"/>
      <c r="J11" s="104"/>
      <c r="K11" s="23"/>
      <c r="L11" s="24"/>
      <c r="M11" s="149"/>
      <c r="N11" s="17"/>
      <c r="O11" s="55"/>
      <c r="P11" s="14"/>
      <c r="Q11" s="14"/>
      <c r="R11" s="14"/>
      <c r="S11" s="14"/>
      <c r="T11" s="14"/>
      <c r="U11" s="125"/>
    </row>
    <row r="12" spans="1:21" x14ac:dyDescent="0.25">
      <c r="A12" s="118"/>
      <c r="B12" s="118"/>
      <c r="C12" s="105"/>
      <c r="D12" s="106"/>
      <c r="E12" s="103"/>
      <c r="F12" s="104"/>
      <c r="G12" s="104"/>
      <c r="H12" s="104"/>
      <c r="I12" s="104"/>
      <c r="J12" s="104"/>
      <c r="K12" s="23"/>
      <c r="L12" s="24"/>
      <c r="M12" s="149"/>
      <c r="N12" s="17"/>
      <c r="O12" s="55"/>
      <c r="P12" s="14"/>
      <c r="Q12" s="14"/>
      <c r="R12" s="14"/>
      <c r="S12" s="14"/>
      <c r="T12" s="14"/>
      <c r="U12" s="125"/>
    </row>
    <row r="13" spans="1:21" x14ac:dyDescent="0.25">
      <c r="A13" s="118"/>
      <c r="B13" s="118"/>
      <c r="C13" s="105"/>
      <c r="D13" s="106"/>
      <c r="E13" s="103"/>
      <c r="F13" s="104"/>
      <c r="G13" s="104"/>
      <c r="H13" s="104"/>
      <c r="I13" s="104"/>
      <c r="J13" s="104"/>
      <c r="K13" s="23"/>
      <c r="L13" s="24"/>
      <c r="M13" s="149"/>
      <c r="N13" s="17"/>
      <c r="O13" s="55"/>
      <c r="P13" s="14"/>
      <c r="Q13" s="14"/>
      <c r="R13" s="14"/>
      <c r="S13" s="14"/>
      <c r="T13" s="14"/>
      <c r="U13" s="125"/>
    </row>
    <row r="14" spans="1:21" x14ac:dyDescent="0.25">
      <c r="A14" s="119"/>
      <c r="B14" s="117"/>
      <c r="C14" s="74"/>
      <c r="D14" s="25" t="s">
        <v>15</v>
      </c>
      <c r="E14" s="53" t="s">
        <v>14</v>
      </c>
      <c r="F14" s="25">
        <f>SUM(F3:F13)</f>
        <v>0</v>
      </c>
      <c r="G14" s="25">
        <f>SUM(G3:G13)</f>
        <v>0</v>
      </c>
      <c r="H14" s="25"/>
      <c r="I14" s="25"/>
      <c r="J14" s="25">
        <f>F14-G14</f>
        <v>0</v>
      </c>
      <c r="K14" s="26" t="s">
        <v>16</v>
      </c>
      <c r="L14" s="27">
        <f>SUM(L3:L13)</f>
        <v>0</v>
      </c>
      <c r="M14" s="27">
        <f>SUM(M3:M13)</f>
        <v>0</v>
      </c>
      <c r="N14" s="27">
        <f>SUM(N3:N13)</f>
        <v>0</v>
      </c>
      <c r="O14" s="27">
        <f>SUM(O3:O13)</f>
        <v>0</v>
      </c>
      <c r="P14" s="28"/>
      <c r="Q14" s="28"/>
      <c r="R14" s="28"/>
      <c r="S14" s="28"/>
      <c r="T14" s="28"/>
      <c r="U14" s="125"/>
    </row>
    <row r="15" spans="1:21" x14ac:dyDescent="0.25">
      <c r="A15" s="85"/>
      <c r="B15" s="124"/>
      <c r="C15" s="47"/>
      <c r="D15" s="74"/>
      <c r="E15" s="76"/>
      <c r="F15" s="74"/>
      <c r="G15" s="74"/>
      <c r="H15" s="80"/>
      <c r="I15" s="74"/>
      <c r="J15" s="80"/>
      <c r="K15" s="162"/>
      <c r="L15" s="65"/>
      <c r="M15" s="146"/>
      <c r="N15" s="164"/>
      <c r="O15" s="101"/>
      <c r="P15" s="20"/>
      <c r="Q15" s="20"/>
      <c r="R15" s="20"/>
      <c r="S15" s="20"/>
      <c r="T15" s="28"/>
      <c r="U15" s="125"/>
    </row>
    <row r="16" spans="1:21" x14ac:dyDescent="0.25">
      <c r="A16" s="85"/>
      <c r="B16" s="124"/>
      <c r="C16" s="47"/>
      <c r="D16" s="74"/>
      <c r="E16" s="76"/>
      <c r="F16" s="74"/>
      <c r="G16" s="74"/>
      <c r="H16" s="80"/>
      <c r="I16" s="74"/>
      <c r="J16" s="80">
        <f t="shared" ref="J16:J20" si="0">F16-G16</f>
        <v>0</v>
      </c>
      <c r="K16" s="162"/>
      <c r="L16" s="65"/>
      <c r="M16" s="146"/>
      <c r="N16" s="164"/>
      <c r="O16" s="101"/>
      <c r="P16" s="20"/>
      <c r="Q16" s="20"/>
      <c r="R16" s="20"/>
      <c r="S16" s="20"/>
      <c r="T16" s="28"/>
      <c r="U16" s="125"/>
    </row>
    <row r="17" spans="1:21" x14ac:dyDescent="0.25">
      <c r="A17" s="85"/>
      <c r="B17" s="124"/>
      <c r="C17" s="47"/>
      <c r="D17" s="74"/>
      <c r="E17" s="76"/>
      <c r="F17" s="74"/>
      <c r="G17" s="74"/>
      <c r="H17" s="80"/>
      <c r="I17" s="74"/>
      <c r="J17" s="80">
        <f t="shared" si="0"/>
        <v>0</v>
      </c>
      <c r="K17" s="162"/>
      <c r="L17" s="65"/>
      <c r="M17" s="146"/>
      <c r="N17" s="164"/>
      <c r="O17" s="101"/>
      <c r="P17" s="20"/>
      <c r="Q17" s="20"/>
      <c r="R17" s="20"/>
      <c r="S17" s="20"/>
      <c r="T17" s="28"/>
      <c r="U17" s="125"/>
    </row>
    <row r="18" spans="1:21" x14ac:dyDescent="0.25">
      <c r="A18" s="85"/>
      <c r="B18" s="124"/>
      <c r="C18" s="47"/>
      <c r="D18" s="74"/>
      <c r="E18" s="76"/>
      <c r="F18" s="74"/>
      <c r="G18" s="74"/>
      <c r="H18" s="80"/>
      <c r="I18" s="74"/>
      <c r="J18" s="80">
        <f t="shared" si="0"/>
        <v>0</v>
      </c>
      <c r="K18" s="162"/>
      <c r="L18" s="65"/>
      <c r="M18" s="146"/>
      <c r="N18" s="164"/>
      <c r="O18" s="101"/>
      <c r="P18" s="20"/>
      <c r="Q18" s="20"/>
      <c r="R18" s="20"/>
      <c r="S18" s="20"/>
      <c r="T18" s="28"/>
      <c r="U18" s="125"/>
    </row>
    <row r="19" spans="1:21" x14ac:dyDescent="0.25">
      <c r="A19" s="85"/>
      <c r="B19" s="124"/>
      <c r="C19" s="47"/>
      <c r="D19" s="74"/>
      <c r="E19" s="76"/>
      <c r="F19" s="74"/>
      <c r="G19" s="74"/>
      <c r="H19" s="80"/>
      <c r="I19" s="74"/>
      <c r="J19" s="80">
        <f t="shared" si="0"/>
        <v>0</v>
      </c>
      <c r="K19" s="162"/>
      <c r="L19" s="65"/>
      <c r="M19" s="146"/>
      <c r="N19" s="164"/>
      <c r="O19" s="101"/>
      <c r="P19" s="20"/>
      <c r="Q19" s="20"/>
      <c r="R19" s="20"/>
      <c r="S19" s="20"/>
      <c r="T19" s="28"/>
      <c r="U19" s="125"/>
    </row>
    <row r="20" spans="1:21" x14ac:dyDescent="0.25">
      <c r="A20" s="85"/>
      <c r="B20" s="124"/>
      <c r="C20" s="47"/>
      <c r="D20" s="74"/>
      <c r="E20" s="76"/>
      <c r="F20" s="74"/>
      <c r="G20" s="74"/>
      <c r="H20" s="80"/>
      <c r="I20" s="74"/>
      <c r="J20" s="80">
        <f t="shared" si="0"/>
        <v>0</v>
      </c>
      <c r="K20" s="162"/>
      <c r="L20" s="65"/>
      <c r="M20" s="146"/>
      <c r="N20" s="164"/>
      <c r="O20" s="101"/>
      <c r="P20" s="20"/>
      <c r="Q20" s="20"/>
      <c r="R20" s="20"/>
      <c r="S20" s="20"/>
      <c r="T20" s="28"/>
      <c r="U20" s="125"/>
    </row>
    <row r="21" spans="1:21" x14ac:dyDescent="0.25">
      <c r="A21" s="85"/>
      <c r="B21" s="124"/>
      <c r="C21" s="47"/>
      <c r="D21" s="74"/>
      <c r="E21" s="97"/>
      <c r="F21" s="74"/>
      <c r="G21" s="74"/>
      <c r="H21" s="80"/>
      <c r="I21" s="74"/>
      <c r="J21" s="80"/>
      <c r="K21" s="162"/>
      <c r="L21" s="65"/>
      <c r="M21" s="146"/>
      <c r="N21" s="164"/>
      <c r="O21" s="101"/>
      <c r="P21" s="20"/>
      <c r="Q21" s="20"/>
      <c r="R21" s="20"/>
      <c r="S21" s="20"/>
      <c r="T21" s="28"/>
      <c r="U21" s="125"/>
    </row>
    <row r="22" spans="1:21" x14ac:dyDescent="0.25">
      <c r="A22" s="85"/>
      <c r="B22" s="124"/>
      <c r="C22" s="47"/>
      <c r="D22" s="74"/>
      <c r="E22" s="97"/>
      <c r="F22" s="271"/>
      <c r="G22" s="74"/>
      <c r="H22" s="80"/>
      <c r="I22" s="74"/>
      <c r="J22" s="74">
        <f t="shared" ref="J22:J27" si="1">F22-G22</f>
        <v>0</v>
      </c>
      <c r="K22" s="162"/>
      <c r="L22" s="65"/>
      <c r="M22" s="145"/>
      <c r="N22" s="109"/>
      <c r="O22" s="101"/>
      <c r="P22" s="20"/>
      <c r="Q22" s="20"/>
      <c r="R22" s="20"/>
      <c r="S22" s="20"/>
      <c r="T22" s="28"/>
      <c r="U22" s="125"/>
    </row>
    <row r="23" spans="1:21" x14ac:dyDescent="0.25">
      <c r="A23" s="85"/>
      <c r="B23" s="124"/>
      <c r="C23" s="47"/>
      <c r="D23" s="74"/>
      <c r="E23" s="97"/>
      <c r="F23" s="271"/>
      <c r="G23" s="74"/>
      <c r="H23" s="80"/>
      <c r="I23" s="74"/>
      <c r="J23" s="74">
        <f t="shared" si="1"/>
        <v>0</v>
      </c>
      <c r="K23" s="162"/>
      <c r="L23" s="65"/>
      <c r="M23" s="145"/>
      <c r="N23" s="109"/>
      <c r="O23" s="101"/>
      <c r="P23" s="20"/>
      <c r="Q23" s="20"/>
      <c r="R23" s="20"/>
      <c r="S23" s="20"/>
      <c r="T23" s="28"/>
      <c r="U23" s="125"/>
    </row>
    <row r="24" spans="1:21" x14ac:dyDescent="0.25">
      <c r="A24" s="85"/>
      <c r="B24" s="124"/>
      <c r="C24" s="47"/>
      <c r="D24" s="74"/>
      <c r="E24" s="97"/>
      <c r="F24" s="271"/>
      <c r="G24" s="74"/>
      <c r="H24" s="80"/>
      <c r="I24" s="74"/>
      <c r="J24" s="74">
        <f t="shared" si="1"/>
        <v>0</v>
      </c>
      <c r="K24" s="162"/>
      <c r="L24" s="65"/>
      <c r="M24" s="145"/>
      <c r="N24" s="109"/>
      <c r="O24" s="101"/>
      <c r="P24" s="20"/>
      <c r="Q24" s="20"/>
      <c r="R24" s="20"/>
      <c r="S24" s="20"/>
      <c r="T24" s="28"/>
      <c r="U24" s="125"/>
    </row>
    <row r="25" spans="1:21" x14ac:dyDescent="0.25">
      <c r="A25" s="85"/>
      <c r="B25" s="124"/>
      <c r="C25" s="47"/>
      <c r="D25" s="74"/>
      <c r="E25" s="97"/>
      <c r="F25" s="271"/>
      <c r="G25" s="74"/>
      <c r="H25" s="80"/>
      <c r="I25" s="74"/>
      <c r="J25" s="74">
        <f t="shared" si="1"/>
        <v>0</v>
      </c>
      <c r="K25" s="162"/>
      <c r="L25" s="65"/>
      <c r="M25" s="145"/>
      <c r="N25" s="109"/>
      <c r="O25" s="101"/>
      <c r="P25" s="20"/>
      <c r="Q25" s="20"/>
      <c r="R25" s="20"/>
      <c r="S25" s="20"/>
      <c r="T25" s="28"/>
      <c r="U25" s="125"/>
    </row>
    <row r="26" spans="1:21" x14ac:dyDescent="0.25">
      <c r="A26" s="85"/>
      <c r="B26" s="124"/>
      <c r="C26" s="47"/>
      <c r="D26" s="74"/>
      <c r="E26" s="97"/>
      <c r="F26" s="271"/>
      <c r="G26" s="74"/>
      <c r="H26" s="80"/>
      <c r="I26" s="74"/>
      <c r="J26" s="74">
        <f t="shared" si="1"/>
        <v>0</v>
      </c>
      <c r="K26" s="162"/>
      <c r="L26" s="65"/>
      <c r="M26" s="145"/>
      <c r="N26" s="109"/>
      <c r="O26" s="101"/>
      <c r="P26" s="20"/>
      <c r="Q26" s="20"/>
      <c r="R26" s="20"/>
      <c r="S26" s="20"/>
      <c r="T26" s="28"/>
      <c r="U26" s="125"/>
    </row>
    <row r="27" spans="1:21" x14ac:dyDescent="0.25">
      <c r="A27" s="85"/>
      <c r="B27" s="124"/>
      <c r="C27" s="47"/>
      <c r="D27" s="74"/>
      <c r="E27" s="97"/>
      <c r="F27" s="271"/>
      <c r="G27" s="74"/>
      <c r="H27" s="80"/>
      <c r="I27" s="74"/>
      <c r="J27" s="74">
        <f t="shared" si="1"/>
        <v>0</v>
      </c>
      <c r="K27" s="162"/>
      <c r="L27" s="65"/>
      <c r="M27" s="145"/>
      <c r="N27" s="109"/>
      <c r="O27" s="101"/>
      <c r="P27" s="20"/>
      <c r="Q27" s="20"/>
      <c r="R27" s="20"/>
      <c r="S27" s="20"/>
      <c r="T27" s="28"/>
      <c r="U27" s="125"/>
    </row>
    <row r="28" spans="1:21" x14ac:dyDescent="0.25">
      <c r="A28" s="120"/>
      <c r="B28" s="82"/>
      <c r="C28" s="32"/>
      <c r="D28" s="33" t="s">
        <v>18</v>
      </c>
      <c r="E28" s="34"/>
      <c r="F28" s="110"/>
      <c r="G28" s="110"/>
      <c r="H28" s="110"/>
      <c r="I28" s="110"/>
      <c r="J28" s="110"/>
      <c r="K28" s="35"/>
      <c r="L28" s="29"/>
      <c r="M28" s="146"/>
      <c r="N28" s="109"/>
      <c r="O28" s="101"/>
      <c r="P28" s="20"/>
      <c r="Q28" s="20"/>
      <c r="R28" s="20"/>
      <c r="S28" s="20"/>
      <c r="T28" s="28"/>
      <c r="U28" s="125"/>
    </row>
    <row r="29" spans="1:21" x14ac:dyDescent="0.25">
      <c r="A29" s="120"/>
      <c r="B29" s="82"/>
      <c r="C29" s="32"/>
      <c r="D29" s="33"/>
      <c r="E29" s="34"/>
      <c r="F29" s="110"/>
      <c r="G29" s="110"/>
      <c r="H29" s="110"/>
      <c r="I29" s="110"/>
      <c r="J29" s="110"/>
      <c r="K29" s="35"/>
      <c r="L29" s="29"/>
      <c r="M29" s="146"/>
      <c r="N29" s="109"/>
      <c r="O29" s="101"/>
      <c r="P29" s="20"/>
      <c r="Q29" s="20"/>
      <c r="R29" s="20"/>
      <c r="S29" s="20"/>
      <c r="T29" s="28"/>
      <c r="U29" s="125"/>
    </row>
    <row r="30" spans="1:21" x14ac:dyDescent="0.25">
      <c r="A30" s="120"/>
      <c r="B30" s="82"/>
      <c r="C30" s="32"/>
      <c r="D30" s="33"/>
      <c r="E30" s="34"/>
      <c r="F30" s="110"/>
      <c r="G30" s="110"/>
      <c r="H30" s="110"/>
      <c r="I30" s="110"/>
      <c r="J30" s="110"/>
      <c r="K30" s="35"/>
      <c r="L30" s="29"/>
      <c r="M30" s="146"/>
      <c r="N30" s="109"/>
      <c r="O30" s="101"/>
      <c r="P30" s="20"/>
      <c r="Q30" s="20"/>
      <c r="R30" s="20"/>
      <c r="S30" s="20"/>
      <c r="T30" s="28"/>
      <c r="U30" s="125"/>
    </row>
    <row r="31" spans="1:21" x14ac:dyDescent="0.25">
      <c r="A31" s="120"/>
      <c r="B31" s="82"/>
      <c r="C31" s="82"/>
      <c r="D31" s="127"/>
      <c r="E31" s="87"/>
      <c r="F31" s="110"/>
      <c r="G31" s="110"/>
      <c r="H31" s="116"/>
      <c r="I31" s="111"/>
      <c r="J31" s="110"/>
      <c r="K31" s="35"/>
      <c r="L31" s="29"/>
      <c r="M31" s="146"/>
      <c r="N31" s="109"/>
      <c r="O31" s="101"/>
      <c r="P31" s="20"/>
      <c r="Q31" s="20"/>
      <c r="R31" s="20"/>
      <c r="S31" s="20"/>
      <c r="T31" s="28"/>
      <c r="U31" s="125"/>
    </row>
    <row r="32" spans="1:21" x14ac:dyDescent="0.25">
      <c r="A32" s="74"/>
      <c r="B32" s="83"/>
      <c r="C32" s="83"/>
      <c r="D32" s="25" t="s">
        <v>15</v>
      </c>
      <c r="E32" s="53" t="s">
        <v>17</v>
      </c>
      <c r="F32" s="25">
        <f>SUM(F15:F27)</f>
        <v>0</v>
      </c>
      <c r="G32" s="163">
        <f>SUM(G15:G31)</f>
        <v>0</v>
      </c>
      <c r="H32" s="25"/>
      <c r="I32" s="25"/>
      <c r="J32" s="25">
        <f>F32-G32</f>
        <v>0</v>
      </c>
      <c r="K32" s="26" t="s">
        <v>16</v>
      </c>
      <c r="L32" s="27">
        <f>SUM(L15:L31)</f>
        <v>0</v>
      </c>
      <c r="M32" s="27">
        <f>SUM(M15:M31)</f>
        <v>0</v>
      </c>
      <c r="N32" s="27">
        <f>SUM(N15:N27)</f>
        <v>0</v>
      </c>
      <c r="O32" s="27">
        <f>SUM(O15:O31)</f>
        <v>0</v>
      </c>
      <c r="P32" s="28"/>
      <c r="Q32" s="28"/>
      <c r="R32" s="28"/>
      <c r="S32" s="28"/>
      <c r="T32" s="28"/>
      <c r="U32" s="125"/>
    </row>
    <row r="33" spans="1:21" x14ac:dyDescent="0.25">
      <c r="A33" s="85"/>
      <c r="B33" s="124"/>
      <c r="C33" s="47"/>
      <c r="D33" s="74"/>
      <c r="E33" s="97"/>
      <c r="F33" s="74"/>
      <c r="G33" s="74"/>
      <c r="H33" s="74"/>
      <c r="I33" s="74"/>
      <c r="J33" s="74"/>
      <c r="K33" s="162"/>
      <c r="L33" s="65"/>
      <c r="M33" s="68"/>
      <c r="N33" s="256"/>
      <c r="O33" s="101"/>
      <c r="P33" s="20"/>
      <c r="Q33" s="20"/>
      <c r="R33" s="20"/>
      <c r="S33" s="20"/>
      <c r="T33" s="28"/>
      <c r="U33" s="125"/>
    </row>
    <row r="34" spans="1:21" x14ac:dyDescent="0.25">
      <c r="A34" s="85"/>
      <c r="B34" s="124"/>
      <c r="C34" s="47"/>
      <c r="D34" s="74"/>
      <c r="E34" s="97"/>
      <c r="F34" s="74"/>
      <c r="G34" s="74"/>
      <c r="H34" s="74"/>
      <c r="I34" s="74"/>
      <c r="J34" s="74">
        <f t="shared" ref="J34:J40" si="2">F34-G34</f>
        <v>0</v>
      </c>
      <c r="K34" s="162"/>
      <c r="L34" s="65"/>
      <c r="M34" s="68"/>
      <c r="N34" s="256"/>
      <c r="O34" s="101"/>
      <c r="P34" s="20"/>
      <c r="Q34" s="20"/>
      <c r="R34" s="20"/>
      <c r="S34" s="20"/>
      <c r="T34" s="28"/>
      <c r="U34" s="125"/>
    </row>
    <row r="35" spans="1:21" x14ac:dyDescent="0.25">
      <c r="A35" s="85"/>
      <c r="B35" s="124"/>
      <c r="C35" s="47"/>
      <c r="D35" s="74"/>
      <c r="E35" s="97"/>
      <c r="F35" s="74"/>
      <c r="G35" s="74"/>
      <c r="H35" s="74"/>
      <c r="I35" s="74"/>
      <c r="J35" s="74">
        <f t="shared" si="2"/>
        <v>0</v>
      </c>
      <c r="K35" s="162"/>
      <c r="L35" s="65"/>
      <c r="M35" s="68"/>
      <c r="N35" s="256"/>
      <c r="O35" s="101"/>
      <c r="P35" s="20"/>
      <c r="Q35" s="20"/>
      <c r="R35" s="20"/>
      <c r="S35" s="20"/>
      <c r="T35" s="28"/>
      <c r="U35" s="125"/>
    </row>
    <row r="36" spans="1:21" x14ac:dyDescent="0.25">
      <c r="A36" s="85"/>
      <c r="B36" s="124"/>
      <c r="C36" s="47"/>
      <c r="D36" s="74"/>
      <c r="E36" s="97"/>
      <c r="F36" s="74"/>
      <c r="G36" s="74"/>
      <c r="H36" s="74"/>
      <c r="I36" s="74"/>
      <c r="J36" s="74">
        <f t="shared" si="2"/>
        <v>0</v>
      </c>
      <c r="K36" s="162"/>
      <c r="L36" s="65"/>
      <c r="M36" s="68"/>
      <c r="N36" s="256"/>
      <c r="O36" s="101"/>
      <c r="P36" s="20"/>
      <c r="Q36" s="20"/>
      <c r="R36" s="20"/>
      <c r="S36" s="20"/>
      <c r="T36" s="28"/>
      <c r="U36" s="125"/>
    </row>
    <row r="37" spans="1:21" x14ac:dyDescent="0.25">
      <c r="A37" s="85"/>
      <c r="B37" s="124"/>
      <c r="C37" s="47"/>
      <c r="D37" s="74"/>
      <c r="E37" s="97"/>
      <c r="F37" s="74"/>
      <c r="G37" s="74"/>
      <c r="H37" s="74"/>
      <c r="I37" s="74"/>
      <c r="J37" s="74">
        <f t="shared" si="2"/>
        <v>0</v>
      </c>
      <c r="K37" s="162"/>
      <c r="L37" s="65"/>
      <c r="M37" s="68"/>
      <c r="N37" s="256"/>
      <c r="O37" s="101"/>
      <c r="P37" s="20"/>
      <c r="Q37" s="20"/>
      <c r="R37" s="20"/>
      <c r="S37" s="20"/>
      <c r="T37" s="28"/>
      <c r="U37" s="125"/>
    </row>
    <row r="38" spans="1:21" x14ac:dyDescent="0.25">
      <c r="A38" s="85"/>
      <c r="B38" s="124"/>
      <c r="C38" s="47"/>
      <c r="D38" s="74"/>
      <c r="E38" s="97"/>
      <c r="F38" s="74"/>
      <c r="G38" s="74"/>
      <c r="H38" s="74"/>
      <c r="I38" s="74"/>
      <c r="J38" s="74">
        <f t="shared" si="2"/>
        <v>0</v>
      </c>
      <c r="K38" s="162"/>
      <c r="L38" s="65"/>
      <c r="M38" s="68"/>
      <c r="N38" s="256"/>
      <c r="O38" s="101"/>
      <c r="P38" s="20"/>
      <c r="Q38" s="20"/>
      <c r="R38" s="20"/>
      <c r="S38" s="20"/>
      <c r="T38" s="28"/>
      <c r="U38" s="125"/>
    </row>
    <row r="39" spans="1:21" x14ac:dyDescent="0.25">
      <c r="A39" s="85"/>
      <c r="B39" s="124"/>
      <c r="C39" s="47"/>
      <c r="D39" s="74"/>
      <c r="E39" s="97"/>
      <c r="F39" s="74"/>
      <c r="G39" s="74"/>
      <c r="H39" s="74"/>
      <c r="I39" s="74"/>
      <c r="J39" s="74">
        <f t="shared" si="2"/>
        <v>0</v>
      </c>
      <c r="K39" s="162"/>
      <c r="L39" s="65"/>
      <c r="M39" s="68"/>
      <c r="N39" s="256"/>
      <c r="O39" s="101"/>
      <c r="P39" s="20"/>
      <c r="Q39" s="20"/>
      <c r="R39" s="20"/>
      <c r="S39" s="20"/>
      <c r="T39" s="28"/>
      <c r="U39" s="125"/>
    </row>
    <row r="40" spans="1:21" x14ac:dyDescent="0.25">
      <c r="A40" s="85"/>
      <c r="B40" s="124"/>
      <c r="C40" s="47"/>
      <c r="D40" s="74"/>
      <c r="E40" s="97"/>
      <c r="F40" s="74"/>
      <c r="G40" s="74"/>
      <c r="H40" s="74"/>
      <c r="I40" s="74"/>
      <c r="J40" s="74">
        <f t="shared" si="2"/>
        <v>0</v>
      </c>
      <c r="K40" s="162"/>
      <c r="L40" s="65"/>
      <c r="M40" s="68"/>
      <c r="N40" s="256"/>
      <c r="O40" s="101"/>
      <c r="P40" s="20"/>
      <c r="Q40" s="20"/>
      <c r="R40" s="20"/>
      <c r="S40" s="20"/>
      <c r="T40" s="28"/>
      <c r="U40" s="125"/>
    </row>
    <row r="41" spans="1:21" x14ac:dyDescent="0.25">
      <c r="A41" s="36"/>
      <c r="B41" s="37"/>
      <c r="C41" s="37"/>
      <c r="D41" s="38" t="s">
        <v>42</v>
      </c>
      <c r="E41" s="39"/>
      <c r="F41" s="153"/>
      <c r="G41" s="153"/>
      <c r="H41" s="153"/>
      <c r="I41" s="153"/>
      <c r="J41" s="112"/>
      <c r="K41" s="40"/>
      <c r="L41" s="65"/>
      <c r="M41" s="68"/>
      <c r="N41" s="69"/>
      <c r="O41" s="101"/>
      <c r="P41" s="20"/>
      <c r="Q41" s="20"/>
      <c r="R41" s="20"/>
      <c r="S41" s="20"/>
      <c r="T41" s="28"/>
      <c r="U41" s="125"/>
    </row>
    <row r="42" spans="1:21" x14ac:dyDescent="0.25">
      <c r="A42" s="36"/>
      <c r="B42" s="37"/>
      <c r="C42" s="37"/>
      <c r="D42" s="38"/>
      <c r="E42" s="39"/>
      <c r="F42" s="153"/>
      <c r="G42" s="153">
        <v>0</v>
      </c>
      <c r="H42" s="153"/>
      <c r="I42" s="153"/>
      <c r="J42" s="112"/>
      <c r="K42" s="40"/>
      <c r="L42" s="29"/>
      <c r="M42" s="30"/>
      <c r="N42" s="109"/>
      <c r="O42" s="101"/>
      <c r="P42" s="20"/>
      <c r="Q42" s="31"/>
      <c r="R42" s="31"/>
      <c r="S42" s="31"/>
      <c r="T42" s="28"/>
      <c r="U42" s="125"/>
    </row>
    <row r="43" spans="1:21" x14ac:dyDescent="0.25">
      <c r="A43" s="36"/>
      <c r="B43" s="37"/>
      <c r="C43" s="37"/>
      <c r="D43" s="38"/>
      <c r="E43" s="39"/>
      <c r="F43" s="153"/>
      <c r="G43" s="153"/>
      <c r="H43" s="153"/>
      <c r="I43" s="153"/>
      <c r="J43" s="112"/>
      <c r="K43" s="40"/>
      <c r="L43" s="29"/>
      <c r="M43" s="30"/>
      <c r="N43" s="109"/>
      <c r="O43" s="101"/>
      <c r="P43" s="20"/>
      <c r="Q43" s="31"/>
      <c r="R43" s="31"/>
      <c r="S43" s="31"/>
      <c r="T43" s="28"/>
      <c r="U43" s="125"/>
    </row>
    <row r="44" spans="1:21" x14ac:dyDescent="0.25">
      <c r="A44" s="36"/>
      <c r="B44" s="37"/>
      <c r="C44" s="37"/>
      <c r="D44" s="38"/>
      <c r="E44" s="39"/>
      <c r="F44" s="153"/>
      <c r="G44" s="153"/>
      <c r="H44" s="153"/>
      <c r="I44" s="153"/>
      <c r="J44" s="112"/>
      <c r="K44" s="40"/>
      <c r="L44" s="29"/>
      <c r="M44" s="30"/>
      <c r="N44" s="109"/>
      <c r="O44" s="101"/>
      <c r="P44" s="20"/>
      <c r="Q44" s="31"/>
      <c r="R44" s="31"/>
      <c r="S44" s="31"/>
      <c r="T44" s="28"/>
      <c r="U44" s="125"/>
    </row>
    <row r="45" spans="1:21" x14ac:dyDescent="0.25">
      <c r="A45" s="36"/>
      <c r="B45" s="37"/>
      <c r="C45" s="37"/>
      <c r="D45" s="38"/>
      <c r="E45" s="39"/>
      <c r="F45" s="153"/>
      <c r="G45" s="153"/>
      <c r="H45" s="153"/>
      <c r="I45" s="153"/>
      <c r="J45" s="112"/>
      <c r="K45" s="40"/>
      <c r="L45" s="29"/>
      <c r="M45" s="30"/>
      <c r="N45" s="109"/>
      <c r="O45" s="101"/>
      <c r="P45" s="20"/>
      <c r="Q45" s="31"/>
      <c r="R45" s="31"/>
      <c r="S45" s="31"/>
      <c r="T45" s="28"/>
      <c r="U45" s="125"/>
    </row>
    <row r="46" spans="1:21" x14ac:dyDescent="0.25">
      <c r="A46" s="36"/>
      <c r="B46" s="37"/>
      <c r="C46" s="37"/>
      <c r="D46" s="38"/>
      <c r="E46" s="39"/>
      <c r="F46" s="153"/>
      <c r="G46" s="153"/>
      <c r="H46" s="153"/>
      <c r="I46" s="153"/>
      <c r="J46" s="112"/>
      <c r="K46" s="40"/>
      <c r="L46" s="29"/>
      <c r="M46" s="30"/>
      <c r="N46" s="109"/>
      <c r="O46" s="101"/>
      <c r="P46" s="20"/>
      <c r="Q46" s="31"/>
      <c r="R46" s="31"/>
      <c r="S46" s="31"/>
      <c r="T46" s="28"/>
      <c r="U46" s="125"/>
    </row>
    <row r="47" spans="1:21" x14ac:dyDescent="0.25">
      <c r="A47" s="36"/>
      <c r="B47" s="37"/>
      <c r="C47" s="84"/>
      <c r="D47" s="38"/>
      <c r="E47" s="39"/>
      <c r="F47" s="153"/>
      <c r="G47" s="153"/>
      <c r="H47" s="153"/>
      <c r="I47" s="153"/>
      <c r="J47" s="112"/>
      <c r="K47" s="40"/>
      <c r="L47" s="107"/>
      <c r="M47" s="108"/>
      <c r="N47" s="109"/>
      <c r="O47" s="101"/>
      <c r="P47" s="28"/>
      <c r="Q47" s="28"/>
      <c r="R47" s="28"/>
      <c r="S47" s="28"/>
      <c r="T47" s="28"/>
      <c r="U47" s="125"/>
    </row>
    <row r="48" spans="1:21" x14ac:dyDescent="0.25">
      <c r="A48" s="74"/>
      <c r="B48" s="137"/>
      <c r="C48" s="74"/>
      <c r="D48" s="25" t="s">
        <v>15</v>
      </c>
      <c r="E48" s="26" t="s">
        <v>19</v>
      </c>
      <c r="F48" s="25">
        <f>SUM(F33:F40)</f>
        <v>0</v>
      </c>
      <c r="G48" s="25">
        <f>SUM(G33:G47)</f>
        <v>0</v>
      </c>
      <c r="H48" s="25"/>
      <c r="I48" s="25"/>
      <c r="J48" s="25">
        <f>F48-G48</f>
        <v>0</v>
      </c>
      <c r="K48" s="26" t="s">
        <v>16</v>
      </c>
      <c r="L48" s="27">
        <f>SUM(L33:L47)</f>
        <v>0</v>
      </c>
      <c r="M48" s="27">
        <f>SUM(M33:M47)</f>
        <v>0</v>
      </c>
      <c r="N48" s="27">
        <f>SUM(N33:N47)</f>
        <v>0</v>
      </c>
      <c r="O48" s="27">
        <f>SUM(O33:O47)</f>
        <v>0</v>
      </c>
      <c r="P48" s="28"/>
      <c r="Q48" s="28"/>
      <c r="R48" s="28"/>
      <c r="S48" s="28"/>
      <c r="T48" s="28"/>
      <c r="U48" s="125"/>
    </row>
    <row r="49" spans="1:21" x14ac:dyDescent="0.25">
      <c r="A49" s="85"/>
      <c r="B49" s="124"/>
      <c r="C49" s="47"/>
      <c r="D49" s="74"/>
      <c r="E49" s="72"/>
      <c r="F49" s="60"/>
      <c r="G49" s="49"/>
      <c r="H49" s="80"/>
      <c r="I49" s="49"/>
      <c r="J49" s="74"/>
      <c r="K49" s="72"/>
      <c r="L49" s="65"/>
      <c r="M49" s="68"/>
      <c r="N49" s="69"/>
      <c r="O49" s="143"/>
      <c r="P49" s="20"/>
      <c r="Q49" s="20"/>
      <c r="R49" s="20"/>
      <c r="S49" s="20"/>
      <c r="T49" s="99"/>
      <c r="U49" s="129"/>
    </row>
    <row r="50" spans="1:21" x14ac:dyDescent="0.25">
      <c r="A50" s="85"/>
      <c r="B50" s="124"/>
      <c r="C50" s="47"/>
      <c r="D50" s="74"/>
      <c r="E50" s="72"/>
      <c r="F50" s="60"/>
      <c r="G50" s="49"/>
      <c r="H50" s="80"/>
      <c r="I50" s="240"/>
      <c r="J50" s="74"/>
      <c r="K50" s="72"/>
      <c r="L50" s="65"/>
      <c r="M50" s="68"/>
      <c r="N50" s="69"/>
      <c r="O50" s="143"/>
      <c r="P50" s="20"/>
      <c r="Q50" s="20"/>
      <c r="R50" s="20"/>
      <c r="S50" s="20"/>
      <c r="T50" s="99"/>
      <c r="U50" s="129"/>
    </row>
    <row r="51" spans="1:21" x14ac:dyDescent="0.25">
      <c r="A51" s="85"/>
      <c r="B51" s="124"/>
      <c r="C51" s="47"/>
      <c r="D51" s="74"/>
      <c r="E51" s="72"/>
      <c r="F51" s="60"/>
      <c r="G51" s="49"/>
      <c r="H51" s="80"/>
      <c r="I51" s="49"/>
      <c r="J51" s="74"/>
      <c r="K51" s="72"/>
      <c r="L51" s="65"/>
      <c r="M51" s="68"/>
      <c r="N51" s="69"/>
      <c r="O51" s="143"/>
      <c r="P51" s="20"/>
      <c r="Q51" s="20"/>
      <c r="R51" s="20"/>
      <c r="S51" s="20"/>
      <c r="T51" s="99"/>
      <c r="U51" s="129"/>
    </row>
    <row r="52" spans="1:21" x14ac:dyDescent="0.25">
      <c r="A52" s="85"/>
      <c r="B52" s="124"/>
      <c r="C52" s="47"/>
      <c r="D52" s="74"/>
      <c r="E52" s="72"/>
      <c r="F52" s="60"/>
      <c r="G52" s="49"/>
      <c r="H52" s="49"/>
      <c r="I52" s="49"/>
      <c r="J52" s="74"/>
      <c r="K52" s="72"/>
      <c r="L52" s="65"/>
      <c r="M52" s="68"/>
      <c r="N52" s="69"/>
      <c r="O52" s="143"/>
      <c r="P52" s="20"/>
      <c r="Q52" s="20"/>
      <c r="R52" s="20"/>
      <c r="S52" s="20"/>
      <c r="T52" s="99"/>
      <c r="U52" s="129"/>
    </row>
    <row r="53" spans="1:21" x14ac:dyDescent="0.25">
      <c r="A53" s="130"/>
      <c r="B53" s="139"/>
      <c r="C53" s="131"/>
      <c r="D53" s="132" t="s">
        <v>40</v>
      </c>
      <c r="E53" s="91"/>
      <c r="F53" s="92"/>
      <c r="G53" s="93"/>
      <c r="H53" s="93"/>
      <c r="I53" s="93"/>
      <c r="J53" s="133"/>
      <c r="K53" s="94"/>
      <c r="L53" s="65"/>
      <c r="M53" s="67"/>
      <c r="N53" s="113"/>
      <c r="O53" s="121"/>
      <c r="P53" s="20"/>
      <c r="Q53" s="20"/>
      <c r="R53" s="20"/>
      <c r="S53" s="20"/>
      <c r="T53" s="20"/>
      <c r="U53" s="128"/>
    </row>
    <row r="54" spans="1:21" x14ac:dyDescent="0.25">
      <c r="A54" s="130"/>
      <c r="B54" s="139"/>
      <c r="C54" s="131"/>
      <c r="D54" s="132"/>
      <c r="E54" s="91"/>
      <c r="F54" s="92"/>
      <c r="G54" s="93"/>
      <c r="H54" s="93"/>
      <c r="I54" s="93"/>
      <c r="J54" s="133"/>
      <c r="K54" s="94"/>
      <c r="L54" s="65"/>
      <c r="M54" s="68"/>
      <c r="N54" s="113"/>
      <c r="O54" s="121"/>
      <c r="P54" s="20"/>
      <c r="Q54" s="20"/>
      <c r="R54" s="20"/>
      <c r="S54" s="20"/>
      <c r="T54" s="20"/>
      <c r="U54" s="128"/>
    </row>
    <row r="55" spans="1:21" x14ac:dyDescent="0.25">
      <c r="A55" s="130"/>
      <c r="B55" s="139"/>
      <c r="C55" s="131"/>
      <c r="D55" s="132" t="s">
        <v>125</v>
      </c>
      <c r="E55" s="91" t="s">
        <v>124</v>
      </c>
      <c r="F55" s="92"/>
      <c r="G55" s="93">
        <v>2850</v>
      </c>
      <c r="H55" s="93" t="s">
        <v>122</v>
      </c>
      <c r="I55" s="93" t="s">
        <v>126</v>
      </c>
      <c r="J55" s="133"/>
      <c r="K55" s="277" t="s">
        <v>127</v>
      </c>
      <c r="L55" s="65"/>
      <c r="M55" s="68"/>
      <c r="N55" s="113"/>
      <c r="O55" s="121"/>
      <c r="P55" s="20"/>
      <c r="Q55" s="20"/>
      <c r="R55" s="20"/>
      <c r="S55" s="20"/>
      <c r="T55" s="20"/>
      <c r="U55" s="128"/>
    </row>
    <row r="56" spans="1:21" x14ac:dyDescent="0.25">
      <c r="A56" s="130"/>
      <c r="B56" s="139"/>
      <c r="C56" s="131"/>
      <c r="D56" s="132"/>
      <c r="E56" s="91"/>
      <c r="F56" s="92"/>
      <c r="G56" s="93"/>
      <c r="H56" s="93"/>
      <c r="I56" s="93"/>
      <c r="J56" s="133"/>
      <c r="K56" s="94"/>
      <c r="L56" s="65"/>
      <c r="M56" s="68"/>
      <c r="N56" s="113"/>
      <c r="O56" s="121"/>
      <c r="P56" s="20"/>
      <c r="Q56" s="20"/>
      <c r="R56" s="20"/>
      <c r="S56" s="20"/>
      <c r="T56" s="20"/>
      <c r="U56" s="128"/>
    </row>
    <row r="57" spans="1:21" x14ac:dyDescent="0.25">
      <c r="A57" s="130"/>
      <c r="B57" s="139"/>
      <c r="C57" s="131"/>
      <c r="D57" s="133"/>
      <c r="E57" s="91"/>
      <c r="F57" s="92"/>
      <c r="G57" s="95"/>
      <c r="H57" s="95"/>
      <c r="I57" s="95"/>
      <c r="J57" s="133"/>
      <c r="K57" s="150"/>
      <c r="L57" s="65"/>
      <c r="M57" s="68"/>
      <c r="N57" s="113"/>
      <c r="O57" s="121"/>
      <c r="P57" s="20"/>
      <c r="Q57" s="20"/>
      <c r="R57" s="20"/>
      <c r="S57" s="20"/>
      <c r="T57" s="20"/>
      <c r="U57" s="128"/>
    </row>
    <row r="58" spans="1:21" x14ac:dyDescent="0.25">
      <c r="A58" s="133"/>
      <c r="B58" s="140"/>
      <c r="C58" s="131"/>
      <c r="D58" s="133"/>
      <c r="E58" s="91"/>
      <c r="F58" s="92"/>
      <c r="G58" s="95"/>
      <c r="H58" s="95"/>
      <c r="I58" s="95"/>
      <c r="J58" s="133"/>
      <c r="K58" s="94"/>
      <c r="L58" s="58"/>
      <c r="M58" s="68"/>
      <c r="N58" s="113"/>
      <c r="O58" s="121"/>
      <c r="P58" s="20"/>
      <c r="Q58" s="20"/>
      <c r="R58" s="20"/>
      <c r="S58" s="20"/>
      <c r="T58" s="20"/>
      <c r="U58" s="129"/>
    </row>
    <row r="59" spans="1:21" x14ac:dyDescent="0.25">
      <c r="A59" s="134"/>
      <c r="B59" s="141"/>
      <c r="C59" s="135"/>
      <c r="D59" s="25" t="s">
        <v>15</v>
      </c>
      <c r="E59" s="54" t="s">
        <v>22</v>
      </c>
      <c r="F59" s="25">
        <f>SUM(F49:F58)</f>
        <v>0</v>
      </c>
      <c r="G59" s="25">
        <f>SUM(G49:G58)</f>
        <v>2850</v>
      </c>
      <c r="H59" s="25"/>
      <c r="I59" s="25"/>
      <c r="J59" s="25">
        <f>F59-G59</f>
        <v>-2850</v>
      </c>
      <c r="K59" s="26" t="s">
        <v>16</v>
      </c>
      <c r="L59" s="27">
        <f>SUM(L49:L52)</f>
        <v>0</v>
      </c>
      <c r="M59" s="27">
        <f>SUM(M49:M52)</f>
        <v>0</v>
      </c>
      <c r="N59" s="27">
        <f>SUM(N49:N58)</f>
        <v>0</v>
      </c>
      <c r="O59" s="27">
        <f>SUM(O49:O58)</f>
        <v>0</v>
      </c>
      <c r="P59" s="20"/>
      <c r="Q59" s="20"/>
      <c r="R59" s="20"/>
      <c r="S59" s="20"/>
      <c r="T59" s="20"/>
      <c r="U59" s="129"/>
    </row>
    <row r="60" spans="1:21" x14ac:dyDescent="0.25">
      <c r="A60" s="134"/>
      <c r="B60" s="141"/>
      <c r="C60" s="135"/>
      <c r="D60" s="48"/>
      <c r="E60" s="152"/>
      <c r="F60" s="48"/>
      <c r="G60" s="48"/>
      <c r="H60" s="48"/>
      <c r="I60" s="48"/>
      <c r="J60" s="74">
        <f t="shared" ref="J60" si="3">F60-G60</f>
        <v>0</v>
      </c>
      <c r="K60" s="151"/>
      <c r="L60" s="65"/>
      <c r="M60" s="68"/>
      <c r="N60" s="113"/>
      <c r="O60" s="121"/>
      <c r="P60" s="20"/>
      <c r="Q60" s="20"/>
      <c r="R60" s="20"/>
      <c r="S60" s="20"/>
      <c r="T60" s="20"/>
      <c r="U60" s="129"/>
    </row>
    <row r="61" spans="1:21" x14ac:dyDescent="0.25">
      <c r="A61" s="74"/>
      <c r="B61" s="137"/>
      <c r="C61" s="74"/>
      <c r="D61" s="25" t="s">
        <v>15</v>
      </c>
      <c r="E61" s="54" t="s">
        <v>39</v>
      </c>
      <c r="F61" s="27">
        <f>SUM(F60:F60)</f>
        <v>0</v>
      </c>
      <c r="G61" s="27">
        <f>SUM(G60:G60)</f>
        <v>0</v>
      </c>
      <c r="H61" s="25"/>
      <c r="I61" s="25"/>
      <c r="J61" s="27">
        <f>F61-G61</f>
        <v>0</v>
      </c>
      <c r="K61" s="26" t="s">
        <v>16</v>
      </c>
      <c r="L61" s="27">
        <f>SUM(L60:L60)</f>
        <v>0</v>
      </c>
      <c r="M61" s="27">
        <f>SUM(M49:M60)</f>
        <v>0</v>
      </c>
      <c r="N61" s="27">
        <f>SUM(N60:N60)</f>
        <v>0</v>
      </c>
      <c r="O61" s="27">
        <f>SUM(O49:O60)</f>
        <v>0</v>
      </c>
      <c r="P61" s="28"/>
      <c r="Q61" s="28"/>
      <c r="R61" s="28"/>
      <c r="S61" s="28"/>
      <c r="T61" s="28"/>
      <c r="U61" s="117"/>
    </row>
    <row r="62" spans="1:21" x14ac:dyDescent="0.25">
      <c r="A62" s="74"/>
      <c r="B62" s="137"/>
      <c r="C62" s="85"/>
      <c r="D62" s="74"/>
      <c r="E62" s="114"/>
      <c r="F62" s="74"/>
      <c r="G62" s="74"/>
      <c r="H62" s="74"/>
      <c r="I62" s="74"/>
      <c r="J62" s="74"/>
      <c r="K62" s="74"/>
      <c r="L62" s="107"/>
      <c r="M62" s="115"/>
      <c r="N62" s="113"/>
      <c r="O62" s="121"/>
      <c r="P62" s="28"/>
      <c r="Q62" s="28"/>
      <c r="R62" s="28"/>
      <c r="S62" s="28"/>
      <c r="T62" s="28"/>
      <c r="U62" s="117"/>
    </row>
    <row r="63" spans="1:21" x14ac:dyDescent="0.25">
      <c r="A63" s="74"/>
      <c r="B63" s="137"/>
      <c r="C63" s="74"/>
      <c r="D63" s="74"/>
      <c r="E63" s="74"/>
      <c r="F63" s="74"/>
      <c r="G63" s="74"/>
      <c r="H63" s="74"/>
      <c r="I63" s="74"/>
      <c r="J63" s="74"/>
      <c r="K63" s="74"/>
      <c r="L63" s="107"/>
      <c r="M63" s="115"/>
      <c r="N63" s="113"/>
      <c r="O63" s="121"/>
      <c r="P63" s="28"/>
      <c r="Q63" s="28"/>
      <c r="R63" s="28"/>
      <c r="S63" s="28"/>
      <c r="T63" s="74"/>
      <c r="U63" s="117"/>
    </row>
    <row r="64" spans="1:21" x14ac:dyDescent="0.25">
      <c r="A64" s="74"/>
      <c r="B64" s="137"/>
      <c r="C64" s="74"/>
      <c r="D64" s="358" t="s">
        <v>24</v>
      </c>
      <c r="E64" s="359"/>
      <c r="F64" s="41">
        <f>SUM(F14,F32,F48,F59,F61)</f>
        <v>0</v>
      </c>
      <c r="G64" s="41">
        <f>SUM(G14,G32,G48,G59,G61)</f>
        <v>2850</v>
      </c>
      <c r="H64" s="41"/>
      <c r="I64" s="41"/>
      <c r="J64" s="41">
        <f>SUM(F64-G64)</f>
        <v>-2850</v>
      </c>
      <c r="K64" s="42" t="s">
        <v>16</v>
      </c>
      <c r="L64" s="41">
        <f>SUM(L14,L32,L48,L59,L61)</f>
        <v>0</v>
      </c>
      <c r="M64" s="41">
        <f>SUM(M14,M32,M48,M59,M61)</f>
        <v>0</v>
      </c>
      <c r="N64" s="41">
        <f>SUM(N14,N32,N48,N59,N61)</f>
        <v>0</v>
      </c>
      <c r="O64" s="41">
        <f>SUM(O14,O32,O48,O59,O61)</f>
        <v>0</v>
      </c>
      <c r="P64" s="28"/>
      <c r="Q64" s="28"/>
      <c r="R64" s="28"/>
      <c r="S64" s="28"/>
      <c r="T64" s="74"/>
      <c r="U64" s="117"/>
    </row>
    <row r="65" spans="1:2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22"/>
      <c r="Q65" s="122"/>
      <c r="R65" s="122"/>
      <c r="S65" s="122"/>
      <c r="T65" s="117"/>
      <c r="U65" s="117"/>
    </row>
    <row r="66" spans="1:21" ht="18" x14ac:dyDescent="0.25">
      <c r="A66" s="117"/>
      <c r="B66" s="117"/>
      <c r="C66" s="117"/>
      <c r="D66" s="43"/>
      <c r="E66" s="117"/>
      <c r="F66" s="117"/>
      <c r="G66" s="117"/>
      <c r="H66" s="117"/>
      <c r="I66" s="117"/>
      <c r="J66" s="117"/>
      <c r="K66" s="44" t="s">
        <v>20</v>
      </c>
      <c r="L66" s="44">
        <f>F64-L64-M64-N64-O64</f>
        <v>0</v>
      </c>
      <c r="M66" s="117"/>
      <c r="N66" s="117"/>
      <c r="O66" s="117"/>
      <c r="P66" s="117"/>
      <c r="Q66" s="117"/>
      <c r="R66" s="117"/>
      <c r="S66" s="117"/>
      <c r="T66" s="117"/>
      <c r="U66" s="117"/>
    </row>
    <row r="67" spans="1:21" x14ac:dyDescent="0.25">
      <c r="A67" s="117"/>
      <c r="B67" s="117"/>
      <c r="C67" s="117"/>
      <c r="D67" s="45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</row>
    <row r="68" spans="1:21" x14ac:dyDescent="0.25">
      <c r="A68" s="117"/>
      <c r="B68" s="117"/>
      <c r="C68" s="117"/>
      <c r="D68" s="45"/>
      <c r="E68" s="117"/>
      <c r="F68" s="117"/>
      <c r="G68" s="50"/>
      <c r="H68" s="50"/>
      <c r="I68" s="50"/>
      <c r="J68" s="50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</row>
    <row r="69" spans="1:21" x14ac:dyDescent="0.25">
      <c r="A69" s="117"/>
      <c r="B69" s="117"/>
      <c r="C69" s="117"/>
      <c r="D69" s="45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</row>
    <row r="70" spans="1:21" x14ac:dyDescent="0.25">
      <c r="A70" s="117"/>
      <c r="B70" s="117"/>
      <c r="C70" s="117"/>
      <c r="D70" s="45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</row>
    <row r="71" spans="1:2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</row>
    <row r="72" spans="1:2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</row>
    <row r="73" spans="1:21" ht="33" x14ac:dyDescent="0.45">
      <c r="A73" s="117"/>
      <c r="B73" s="117"/>
      <c r="C73" s="117"/>
      <c r="D73" s="360" t="s">
        <v>43</v>
      </c>
      <c r="E73" s="361"/>
      <c r="F73" s="361"/>
      <c r="G73" s="361"/>
      <c r="H73" s="361"/>
      <c r="I73" s="361"/>
      <c r="J73" s="361"/>
      <c r="K73" s="361"/>
      <c r="L73" s="361"/>
      <c r="M73" s="362"/>
      <c r="N73" s="117"/>
      <c r="O73" s="117"/>
      <c r="P73" s="117"/>
      <c r="Q73" s="117"/>
      <c r="R73" s="117"/>
      <c r="S73" s="117"/>
      <c r="T73" s="117"/>
      <c r="U73" s="117"/>
    </row>
    <row r="74" spans="1:2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</row>
    <row r="75" spans="1:2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</row>
    <row r="76" spans="1:21" x14ac:dyDescent="0.25">
      <c r="A76" s="363" t="s">
        <v>25</v>
      </c>
      <c r="B76" s="364"/>
      <c r="C76" s="365"/>
      <c r="D76" s="46" t="s">
        <v>26</v>
      </c>
      <c r="E76" s="61" t="s">
        <v>34</v>
      </c>
      <c r="F76" s="63" t="s">
        <v>33</v>
      </c>
      <c r="G76" s="363" t="s">
        <v>27</v>
      </c>
      <c r="H76" s="365"/>
      <c r="I76" s="363" t="s">
        <v>28</v>
      </c>
      <c r="J76" s="365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</row>
    <row r="77" spans="1:2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353" t="s">
        <v>99</v>
      </c>
      <c r="M77" s="354"/>
      <c r="N77" s="354"/>
      <c r="O77" s="354"/>
      <c r="P77" s="354"/>
      <c r="Q77" s="354"/>
      <c r="R77" s="354"/>
      <c r="S77" s="354"/>
      <c r="T77" s="354"/>
      <c r="U77" s="354"/>
    </row>
    <row r="78" spans="1:2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36">
        <v>107</v>
      </c>
      <c r="M78" s="136">
        <v>108</v>
      </c>
      <c r="N78" s="136">
        <v>109</v>
      </c>
      <c r="O78" s="136" t="s">
        <v>97</v>
      </c>
      <c r="P78" s="136" t="s">
        <v>109</v>
      </c>
      <c r="Q78" s="136">
        <v>104</v>
      </c>
      <c r="R78" s="136">
        <v>124</v>
      </c>
      <c r="S78" s="136"/>
      <c r="T78" s="136"/>
      <c r="U78" s="136"/>
    </row>
    <row r="79" spans="1:21" x14ac:dyDescent="0.25">
      <c r="A79" s="338" t="s">
        <v>45</v>
      </c>
      <c r="B79" s="339"/>
      <c r="C79" s="340"/>
      <c r="D79" s="281"/>
      <c r="E79" s="88">
        <v>45090</v>
      </c>
      <c r="F79" s="161">
        <v>0.40100000000000002</v>
      </c>
      <c r="G79" s="341">
        <f>E79*0.401</f>
        <v>18081.09</v>
      </c>
      <c r="H79" s="342"/>
      <c r="I79" s="343">
        <v>18</v>
      </c>
      <c r="J79" s="344"/>
      <c r="K79" s="117"/>
      <c r="L79" s="74"/>
      <c r="M79" s="74"/>
      <c r="N79" s="74">
        <v>12900</v>
      </c>
      <c r="O79" s="74">
        <v>10510</v>
      </c>
      <c r="P79" s="74">
        <v>12850</v>
      </c>
      <c r="Q79" s="74">
        <v>11550</v>
      </c>
      <c r="R79" s="74"/>
      <c r="S79" s="74"/>
      <c r="T79" s="74"/>
      <c r="U79" s="74"/>
    </row>
    <row r="80" spans="1:21" x14ac:dyDescent="0.25">
      <c r="A80" s="338" t="s">
        <v>46</v>
      </c>
      <c r="B80" s="339"/>
      <c r="C80" s="340"/>
      <c r="D80" s="281"/>
      <c r="E80" s="88">
        <v>41460</v>
      </c>
      <c r="F80" s="161">
        <v>0.39400000000000002</v>
      </c>
      <c r="G80" s="341">
        <f>E80*0.394</f>
        <v>16335.240000000002</v>
      </c>
      <c r="H80" s="342"/>
      <c r="I80" s="343">
        <v>16</v>
      </c>
      <c r="J80" s="344"/>
      <c r="K80" s="117"/>
      <c r="L80" s="74"/>
      <c r="M80" s="74"/>
      <c r="N80" s="74">
        <v>12980</v>
      </c>
      <c r="O80" s="74">
        <v>11620</v>
      </c>
      <c r="P80" s="74">
        <v>12290</v>
      </c>
      <c r="Q80" s="74">
        <v>12050</v>
      </c>
      <c r="R80" s="74"/>
      <c r="S80" s="74"/>
      <c r="T80" s="74"/>
      <c r="U80" s="74"/>
    </row>
    <row r="81" spans="1:21" x14ac:dyDescent="0.25">
      <c r="A81" s="338" t="s">
        <v>47</v>
      </c>
      <c r="B81" s="339"/>
      <c r="C81" s="340"/>
      <c r="D81" s="281"/>
      <c r="E81" s="88">
        <v>41830</v>
      </c>
      <c r="F81" s="161">
        <v>0.41199999999999998</v>
      </c>
      <c r="G81" s="341">
        <f>E81*0.412</f>
        <v>17233.96</v>
      </c>
      <c r="H81" s="342"/>
      <c r="I81" s="343">
        <v>17</v>
      </c>
      <c r="J81" s="344"/>
      <c r="K81" s="117"/>
      <c r="L81" s="74"/>
      <c r="M81" s="74"/>
      <c r="N81" s="74">
        <v>12850</v>
      </c>
      <c r="O81" s="74">
        <v>12020</v>
      </c>
      <c r="P81" s="74">
        <v>10080</v>
      </c>
      <c r="Q81" s="74"/>
      <c r="R81" s="74"/>
      <c r="S81" s="74"/>
      <c r="T81" s="74"/>
      <c r="U81" s="74"/>
    </row>
    <row r="82" spans="1:21" x14ac:dyDescent="0.25">
      <c r="A82" s="338" t="s">
        <v>48</v>
      </c>
      <c r="B82" s="339"/>
      <c r="C82" s="340"/>
      <c r="D82" s="281"/>
      <c r="E82" s="88">
        <v>41660</v>
      </c>
      <c r="F82" s="161">
        <v>0.372</v>
      </c>
      <c r="G82" s="341">
        <f>E82*0.372</f>
        <v>15497.52</v>
      </c>
      <c r="H82" s="342"/>
      <c r="I82" s="345">
        <v>15</v>
      </c>
      <c r="J82" s="346"/>
      <c r="K82" s="117"/>
      <c r="L82" s="74"/>
      <c r="M82" s="74"/>
      <c r="N82" s="74"/>
      <c r="O82" s="74">
        <v>10820</v>
      </c>
      <c r="P82" s="74">
        <v>6130</v>
      </c>
      <c r="Q82" s="74"/>
      <c r="R82" s="74"/>
      <c r="S82" s="74"/>
      <c r="T82" s="74"/>
      <c r="U82" s="74"/>
    </row>
    <row r="83" spans="1:21" x14ac:dyDescent="0.25">
      <c r="A83" s="155"/>
      <c r="B83" s="156" t="s">
        <v>59</v>
      </c>
      <c r="C83" s="157"/>
      <c r="D83" s="281"/>
      <c r="E83" s="88">
        <v>80240</v>
      </c>
      <c r="F83" s="161">
        <v>0.34599999999999997</v>
      </c>
      <c r="G83" s="341">
        <f>E83*0.346</f>
        <v>27763.039999999997</v>
      </c>
      <c r="H83" s="342"/>
      <c r="I83" s="345">
        <v>27</v>
      </c>
      <c r="J83" s="346"/>
      <c r="K83" s="117"/>
      <c r="L83" s="74"/>
      <c r="M83" s="74"/>
      <c r="N83" s="74"/>
      <c r="O83" s="74">
        <v>9020</v>
      </c>
      <c r="P83" s="74"/>
      <c r="Q83" s="74"/>
      <c r="R83" s="74"/>
      <c r="S83" s="74"/>
      <c r="T83" s="74"/>
      <c r="U83" s="74"/>
    </row>
    <row r="84" spans="1:21" x14ac:dyDescent="0.25">
      <c r="A84" s="338" t="s">
        <v>49</v>
      </c>
      <c r="B84" s="339"/>
      <c r="C84" s="340"/>
      <c r="D84" s="281"/>
      <c r="E84" s="88">
        <v>78490</v>
      </c>
      <c r="F84" s="161">
        <v>0.38800000000000001</v>
      </c>
      <c r="G84" s="341">
        <f>E84*0.388</f>
        <v>30454.120000000003</v>
      </c>
      <c r="H84" s="342"/>
      <c r="I84" s="343">
        <v>30</v>
      </c>
      <c r="J84" s="344"/>
      <c r="K84" s="117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1:21" x14ac:dyDescent="0.25">
      <c r="A85" s="338" t="s">
        <v>50</v>
      </c>
      <c r="B85" s="338"/>
      <c r="C85" s="338"/>
      <c r="D85" s="88"/>
      <c r="E85" s="88">
        <v>47380</v>
      </c>
      <c r="F85" s="161">
        <v>0.41399999999999998</v>
      </c>
      <c r="G85" s="341">
        <f>E85*0.414</f>
        <v>19615.32</v>
      </c>
      <c r="H85" s="342"/>
      <c r="I85" s="343">
        <v>19</v>
      </c>
      <c r="J85" s="347"/>
      <c r="K85" s="117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spans="1:21" x14ac:dyDescent="0.25">
      <c r="A86" s="338" t="s">
        <v>62</v>
      </c>
      <c r="B86" s="339"/>
      <c r="C86" s="340"/>
      <c r="D86" s="282"/>
      <c r="E86" s="88">
        <v>72590</v>
      </c>
      <c r="F86" s="161">
        <v>0.47</v>
      </c>
      <c r="G86" s="341">
        <f>E86*0.47</f>
        <v>34117.299999999996</v>
      </c>
      <c r="H86" s="342"/>
      <c r="I86" s="343">
        <v>34</v>
      </c>
      <c r="J86" s="344"/>
      <c r="K86" s="117"/>
      <c r="L86" s="117"/>
      <c r="M86" s="117"/>
      <c r="N86" s="117">
        <f>SUM(N79:N85)</f>
        <v>38730</v>
      </c>
      <c r="O86" s="117">
        <f>SUM(O79:O85)</f>
        <v>53990</v>
      </c>
      <c r="P86" s="117">
        <f>SUM(P79:P85)</f>
        <v>41350</v>
      </c>
      <c r="Q86" s="117">
        <f>SUM(Q79:Q85)</f>
        <v>23600</v>
      </c>
      <c r="R86" s="117"/>
      <c r="S86" s="117"/>
      <c r="T86" s="117"/>
      <c r="U86" s="117"/>
    </row>
    <row r="87" spans="1:21" x14ac:dyDescent="0.25">
      <c r="A87" s="338" t="s">
        <v>68</v>
      </c>
      <c r="B87" s="339"/>
      <c r="C87" s="340"/>
      <c r="D87" s="282"/>
      <c r="E87" s="89"/>
      <c r="F87" s="75"/>
      <c r="G87" s="341">
        <f>D87*0.296</f>
        <v>0</v>
      </c>
      <c r="H87" s="342"/>
      <c r="I87" s="343"/>
      <c r="J87" s="344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</row>
    <row r="88" spans="1:21" x14ac:dyDescent="0.25">
      <c r="A88" s="155"/>
      <c r="B88" s="156" t="s">
        <v>69</v>
      </c>
      <c r="C88" s="157"/>
      <c r="D88" s="282"/>
      <c r="E88" s="89"/>
      <c r="F88" s="75"/>
      <c r="G88" s="341">
        <f>D88*0.36</f>
        <v>0</v>
      </c>
      <c r="H88" s="342"/>
      <c r="I88" s="343"/>
      <c r="J88" s="344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</row>
    <row r="89" spans="1:21" x14ac:dyDescent="0.25">
      <c r="A89" s="338" t="s">
        <v>96</v>
      </c>
      <c r="B89" s="339"/>
      <c r="C89" s="340"/>
      <c r="D89" s="284"/>
      <c r="E89" s="88">
        <v>23850</v>
      </c>
      <c r="F89" s="161">
        <v>0.40400000000000003</v>
      </c>
      <c r="G89" s="341">
        <f>E89*0.404</f>
        <v>9635.4000000000015</v>
      </c>
      <c r="H89" s="342"/>
      <c r="I89" s="343">
        <v>9</v>
      </c>
      <c r="J89" s="344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</row>
    <row r="90" spans="1:21" x14ac:dyDescent="0.25">
      <c r="A90" s="155"/>
      <c r="B90" s="156" t="s">
        <v>144</v>
      </c>
      <c r="C90" s="157"/>
      <c r="D90" s="284"/>
      <c r="E90" s="88">
        <v>67040</v>
      </c>
      <c r="F90" s="161">
        <v>0.29299999999999998</v>
      </c>
      <c r="G90" s="341">
        <f>E90*0.293</f>
        <v>19642.719999999998</v>
      </c>
      <c r="H90" s="342"/>
      <c r="I90" s="343">
        <v>19</v>
      </c>
      <c r="J90" s="344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</row>
    <row r="91" spans="1:21" x14ac:dyDescent="0.25">
      <c r="A91" s="348" t="s">
        <v>29</v>
      </c>
      <c r="B91" s="349"/>
      <c r="C91" s="350"/>
      <c r="D91" s="52">
        <f>SUM(D79:D90)</f>
        <v>0</v>
      </c>
      <c r="E91" s="90">
        <f>SUM(E79:E90)</f>
        <v>539630</v>
      </c>
      <c r="F91" s="62"/>
      <c r="G91" s="351">
        <f>SUM(G79:G90)</f>
        <v>208375.71</v>
      </c>
      <c r="H91" s="352"/>
      <c r="I91" s="348">
        <f>SUM(I79:I90)</f>
        <v>204</v>
      </c>
      <c r="J91" s="350"/>
    </row>
    <row r="93" spans="1:21" x14ac:dyDescent="0.25">
      <c r="D93" s="278" t="s">
        <v>134</v>
      </c>
      <c r="E93">
        <v>173500</v>
      </c>
    </row>
    <row r="94" spans="1:21" x14ac:dyDescent="0.25">
      <c r="D94" s="278" t="s">
        <v>135</v>
      </c>
      <c r="E94">
        <v>145370</v>
      </c>
    </row>
  </sheetData>
  <mergeCells count="45">
    <mergeCell ref="A80:C80"/>
    <mergeCell ref="G80:H80"/>
    <mergeCell ref="I80:J80"/>
    <mergeCell ref="A76:C76"/>
    <mergeCell ref="G76:H76"/>
    <mergeCell ref="I76:J76"/>
    <mergeCell ref="L77:U77"/>
    <mergeCell ref="A79:C79"/>
    <mergeCell ref="G79:H79"/>
    <mergeCell ref="I79:J79"/>
    <mergeCell ref="K1:L1"/>
    <mergeCell ref="A1:C1"/>
    <mergeCell ref="G1:J1"/>
    <mergeCell ref="D64:E64"/>
    <mergeCell ref="D73:M73"/>
    <mergeCell ref="A91:C91"/>
    <mergeCell ref="G91:H91"/>
    <mergeCell ref="I91:J91"/>
    <mergeCell ref="A86:C86"/>
    <mergeCell ref="I86:J86"/>
    <mergeCell ref="A89:C89"/>
    <mergeCell ref="G89:H89"/>
    <mergeCell ref="I89:J89"/>
    <mergeCell ref="A87:C87"/>
    <mergeCell ref="G87:H87"/>
    <mergeCell ref="G88:H88"/>
    <mergeCell ref="I87:J87"/>
    <mergeCell ref="I88:J88"/>
    <mergeCell ref="G90:H90"/>
    <mergeCell ref="I90:J90"/>
    <mergeCell ref="A85:C85"/>
    <mergeCell ref="G85:H85"/>
    <mergeCell ref="I85:J85"/>
    <mergeCell ref="G86:H86"/>
    <mergeCell ref="G83:H83"/>
    <mergeCell ref="A84:C84"/>
    <mergeCell ref="G84:H84"/>
    <mergeCell ref="I84:J84"/>
    <mergeCell ref="I83:J83"/>
    <mergeCell ref="A81:C81"/>
    <mergeCell ref="G81:H81"/>
    <mergeCell ref="I81:J81"/>
    <mergeCell ref="A82:C82"/>
    <mergeCell ref="G82:H82"/>
    <mergeCell ref="I82:J82"/>
  </mergeCells>
  <phoneticPr fontId="15" type="noConversion"/>
  <pageMargins left="0.7" right="0.7" top="0.75" bottom="0.75" header="0.3" footer="0.3"/>
  <pageSetup paperSize="9"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8F10-AD85-4279-9722-27316ED05976}">
  <sheetPr codeName="Foglio2">
    <pageSetUpPr fitToPage="1"/>
  </sheetPr>
  <dimension ref="A1:T106"/>
  <sheetViews>
    <sheetView tabSelected="1" zoomScale="90" zoomScaleNormal="90" workbookViewId="0">
      <pane ySplit="2" topLeftCell="A45" activePane="bottomLeft" state="frozen"/>
      <selection pane="bottomLeft" activeCell="C1" sqref="C1"/>
    </sheetView>
  </sheetViews>
  <sheetFormatPr defaultRowHeight="15" x14ac:dyDescent="0.25"/>
  <cols>
    <col min="1" max="1" width="10.5703125" customWidth="1"/>
    <col min="2" max="2" width="11.42578125" customWidth="1"/>
    <col min="3" max="3" width="44" customWidth="1"/>
    <col min="4" max="4" width="12.7109375" customWidth="1"/>
    <col min="5" max="5" width="10.140625" customWidth="1"/>
    <col min="6" max="6" width="10.42578125" customWidth="1"/>
    <col min="7" max="7" width="11" customWidth="1"/>
    <col min="8" max="8" width="13.28515625" customWidth="1"/>
    <col min="9" max="9" width="12" customWidth="1"/>
    <col min="10" max="10" width="18.140625" customWidth="1"/>
    <col min="11" max="11" width="12.28515625" customWidth="1"/>
    <col min="12" max="12" width="11.85546875" customWidth="1"/>
    <col min="13" max="13" width="10.42578125" bestFit="1" customWidth="1"/>
    <col min="14" max="14" width="13.5703125" customWidth="1"/>
    <col min="15" max="15" width="11.42578125" customWidth="1"/>
    <col min="16" max="16" width="11.28515625" customWidth="1"/>
    <col min="18" max="18" width="12.5703125" customWidth="1"/>
    <col min="19" max="19" width="10.42578125" customWidth="1"/>
  </cols>
  <sheetData>
    <row r="1" spans="1:20" ht="27" thickBot="1" x14ac:dyDescent="0.45">
      <c r="A1" s="332" t="s">
        <v>0</v>
      </c>
      <c r="B1" s="332"/>
      <c r="C1" s="257">
        <v>46226</v>
      </c>
      <c r="D1" s="3"/>
      <c r="E1" s="333" t="s">
        <v>44</v>
      </c>
      <c r="F1" s="334"/>
      <c r="G1" s="334"/>
      <c r="H1" s="334"/>
      <c r="I1" s="334"/>
      <c r="J1" s="335" t="s">
        <v>70</v>
      </c>
      <c r="K1" s="336"/>
      <c r="L1" s="337"/>
      <c r="M1" s="337"/>
      <c r="N1" s="337"/>
      <c r="O1" s="337"/>
      <c r="P1" s="337"/>
      <c r="Q1" s="337"/>
      <c r="R1" s="337"/>
      <c r="S1" s="337"/>
      <c r="T1" s="337"/>
    </row>
    <row r="2" spans="1:20" ht="36.75" thickTop="1" x14ac:dyDescent="0.25">
      <c r="A2" s="166" t="s">
        <v>2</v>
      </c>
      <c r="B2" s="167" t="s">
        <v>71</v>
      </c>
      <c r="C2" s="46" t="s">
        <v>3</v>
      </c>
      <c r="D2" s="168" t="s">
        <v>30</v>
      </c>
      <c r="E2" s="46" t="s">
        <v>5</v>
      </c>
      <c r="F2" s="46" t="s">
        <v>72</v>
      </c>
      <c r="G2" s="46" t="s">
        <v>73</v>
      </c>
      <c r="H2" s="46" t="s">
        <v>74</v>
      </c>
      <c r="I2" s="168" t="s">
        <v>8</v>
      </c>
      <c r="J2" s="46" t="s">
        <v>23</v>
      </c>
      <c r="K2" s="169" t="s">
        <v>9</v>
      </c>
      <c r="L2" s="160" t="s">
        <v>31</v>
      </c>
      <c r="M2" s="142" t="s">
        <v>32</v>
      </c>
      <c r="N2" s="56" t="s">
        <v>75</v>
      </c>
      <c r="O2" s="170" t="s">
        <v>76</v>
      </c>
      <c r="P2" s="170" t="s">
        <v>77</v>
      </c>
      <c r="Q2" s="170" t="s">
        <v>78</v>
      </c>
      <c r="R2" s="170" t="s">
        <v>79</v>
      </c>
      <c r="S2" s="171" t="s">
        <v>36</v>
      </c>
      <c r="T2" s="170" t="s">
        <v>98</v>
      </c>
    </row>
    <row r="3" spans="1:20" x14ac:dyDescent="0.25">
      <c r="A3" s="166"/>
      <c r="B3" s="167"/>
      <c r="C3" s="46"/>
      <c r="D3" s="168"/>
      <c r="E3" s="46"/>
      <c r="F3" s="46"/>
      <c r="G3" s="46"/>
      <c r="H3" s="46"/>
      <c r="I3" s="168"/>
      <c r="J3" s="46"/>
      <c r="K3" s="169"/>
      <c r="L3" s="258"/>
      <c r="M3" s="259"/>
      <c r="N3" s="260"/>
      <c r="O3" s="170"/>
      <c r="P3" s="170"/>
      <c r="Q3" s="170"/>
      <c r="R3" s="170"/>
      <c r="S3" s="171"/>
      <c r="T3" s="170"/>
    </row>
    <row r="4" spans="1:20" ht="15.75" x14ac:dyDescent="0.25">
      <c r="A4" s="172"/>
      <c r="B4" s="173"/>
      <c r="C4" s="174" t="s">
        <v>80</v>
      </c>
      <c r="D4" s="175"/>
      <c r="E4" s="176"/>
      <c r="F4" s="176"/>
      <c r="G4" s="176"/>
      <c r="H4" s="176"/>
      <c r="I4" s="175"/>
      <c r="J4" s="177"/>
      <c r="K4" s="178"/>
      <c r="L4" s="178"/>
      <c r="M4" s="178"/>
      <c r="N4" s="179"/>
      <c r="O4" s="180"/>
      <c r="P4" s="181"/>
      <c r="Q4" s="182"/>
      <c r="R4" s="181"/>
      <c r="S4" s="180"/>
      <c r="T4" s="189"/>
    </row>
    <row r="5" spans="1:20" ht="15.75" x14ac:dyDescent="0.25">
      <c r="A5" s="85" t="s">
        <v>163</v>
      </c>
      <c r="B5" s="81" t="s">
        <v>173</v>
      </c>
      <c r="C5" s="72" t="s">
        <v>172</v>
      </c>
      <c r="D5" s="73">
        <v>1000</v>
      </c>
      <c r="E5" s="183"/>
      <c r="F5" s="183"/>
      <c r="G5" s="183"/>
      <c r="H5" s="183"/>
      <c r="I5" s="80">
        <f t="shared" ref="I5:I7" si="0">D5-E5</f>
        <v>1000</v>
      </c>
      <c r="J5" s="72" t="s">
        <v>171</v>
      </c>
      <c r="K5" s="184"/>
      <c r="L5" s="185">
        <v>1000</v>
      </c>
      <c r="M5" s="186"/>
      <c r="N5" s="187"/>
      <c r="O5" s="18">
        <v>3.0000000000000001E-3</v>
      </c>
      <c r="P5" s="18">
        <v>1.4999999999999999E-2</v>
      </c>
      <c r="Q5" s="188">
        <v>0</v>
      </c>
      <c r="R5" s="18">
        <v>2.5000000000000001E-2</v>
      </c>
      <c r="S5" s="18">
        <v>0</v>
      </c>
      <c r="T5" s="189"/>
    </row>
    <row r="6" spans="1:20" ht="15.75" x14ac:dyDescent="0.25">
      <c r="A6" s="85" t="s">
        <v>163</v>
      </c>
      <c r="B6" s="81" t="s">
        <v>173</v>
      </c>
      <c r="C6" s="72" t="s">
        <v>172</v>
      </c>
      <c r="D6" s="73">
        <v>1000</v>
      </c>
      <c r="E6" s="183"/>
      <c r="F6" s="183"/>
      <c r="G6" s="183"/>
      <c r="H6" s="183"/>
      <c r="I6" s="80">
        <f t="shared" si="0"/>
        <v>1000</v>
      </c>
      <c r="J6" s="72" t="s">
        <v>174</v>
      </c>
      <c r="K6" s="184"/>
      <c r="L6" s="185">
        <v>1000</v>
      </c>
      <c r="M6" s="186"/>
      <c r="N6" s="187"/>
      <c r="O6" s="18">
        <v>4.0000000000000001E-3</v>
      </c>
      <c r="P6" s="18">
        <v>0.03</v>
      </c>
      <c r="Q6" s="188">
        <v>0</v>
      </c>
      <c r="R6" s="18">
        <v>0.01</v>
      </c>
      <c r="S6" s="18">
        <v>0</v>
      </c>
      <c r="T6" s="189"/>
    </row>
    <row r="7" spans="1:20" ht="15.75" x14ac:dyDescent="0.25">
      <c r="A7" s="85" t="s">
        <v>163</v>
      </c>
      <c r="B7" s="81" t="s">
        <v>173</v>
      </c>
      <c r="C7" s="72" t="s">
        <v>172</v>
      </c>
      <c r="D7" s="73">
        <v>1000</v>
      </c>
      <c r="E7" s="183"/>
      <c r="F7" s="183"/>
      <c r="G7" s="183"/>
      <c r="H7" s="183"/>
      <c r="I7" s="80">
        <f t="shared" si="0"/>
        <v>1000</v>
      </c>
      <c r="J7" s="72" t="s">
        <v>175</v>
      </c>
      <c r="K7" s="184"/>
      <c r="L7" s="185">
        <v>1000</v>
      </c>
      <c r="M7" s="186"/>
      <c r="N7" s="187"/>
      <c r="O7" s="18">
        <v>2E-3</v>
      </c>
      <c r="P7" s="18">
        <v>0.02</v>
      </c>
      <c r="Q7" s="188">
        <v>0</v>
      </c>
      <c r="R7" s="18">
        <v>1.4999999999999999E-2</v>
      </c>
      <c r="S7" s="18">
        <v>0</v>
      </c>
      <c r="T7" s="189"/>
    </row>
    <row r="8" spans="1:20" ht="15.75" x14ac:dyDescent="0.25">
      <c r="A8" s="85"/>
      <c r="B8" s="81"/>
      <c r="C8" s="72"/>
      <c r="D8" s="80"/>
      <c r="E8" s="183"/>
      <c r="F8" s="183"/>
      <c r="G8" s="183"/>
      <c r="H8" s="183"/>
      <c r="I8" s="80"/>
      <c r="J8" s="72"/>
      <c r="K8" s="184"/>
      <c r="L8" s="185"/>
      <c r="M8" s="186"/>
      <c r="N8" s="187"/>
      <c r="O8" s="18"/>
      <c r="P8" s="18"/>
      <c r="Q8" s="188"/>
      <c r="R8" s="18"/>
      <c r="S8" s="18"/>
      <c r="T8" s="189"/>
    </row>
    <row r="9" spans="1:20" ht="15.75" x14ac:dyDescent="0.25">
      <c r="A9" s="21"/>
      <c r="B9" s="192"/>
      <c r="C9" s="22" t="s">
        <v>21</v>
      </c>
      <c r="D9" s="193"/>
      <c r="E9" s="193"/>
      <c r="F9" s="193"/>
      <c r="G9" s="193"/>
      <c r="H9" s="193"/>
      <c r="I9" s="193"/>
      <c r="J9" s="23"/>
      <c r="K9" s="184"/>
      <c r="L9" s="185"/>
      <c r="M9" s="190"/>
      <c r="N9" s="191"/>
      <c r="O9" s="18"/>
      <c r="P9" s="19"/>
      <c r="Q9" s="19"/>
      <c r="R9" s="19"/>
      <c r="S9" s="14"/>
      <c r="T9" s="20"/>
    </row>
    <row r="10" spans="1:20" ht="15.75" x14ac:dyDescent="0.25">
      <c r="A10" s="21"/>
      <c r="B10" s="192"/>
      <c r="C10" s="22"/>
      <c r="D10" s="193"/>
      <c r="E10" s="193"/>
      <c r="F10" s="193"/>
      <c r="G10" s="193"/>
      <c r="H10" s="193"/>
      <c r="I10" s="193"/>
      <c r="J10" s="23"/>
      <c r="K10" s="184"/>
      <c r="L10" s="185"/>
      <c r="M10" s="190"/>
      <c r="N10" s="191"/>
      <c r="O10" s="18"/>
      <c r="P10" s="19"/>
      <c r="Q10" s="19"/>
      <c r="R10" s="19"/>
      <c r="S10" s="14"/>
      <c r="T10" s="189"/>
    </row>
    <row r="11" spans="1:20" ht="15.75" x14ac:dyDescent="0.25">
      <c r="A11" s="194"/>
      <c r="B11" s="195"/>
      <c r="C11" s="196"/>
      <c r="D11" s="193"/>
      <c r="E11" s="193"/>
      <c r="F11" s="193"/>
      <c r="G11" s="193"/>
      <c r="H11" s="193"/>
      <c r="I11" s="193"/>
      <c r="J11" s="23"/>
      <c r="K11" s="197"/>
      <c r="L11" s="185"/>
      <c r="M11" s="190"/>
      <c r="N11" s="191"/>
      <c r="O11" s="14"/>
      <c r="P11" s="14"/>
      <c r="Q11" s="14"/>
      <c r="R11" s="14"/>
      <c r="S11" s="14"/>
      <c r="T11" s="189"/>
    </row>
    <row r="12" spans="1:20" ht="15.75" thickBot="1" x14ac:dyDescent="0.3">
      <c r="A12" s="198"/>
      <c r="B12" s="199"/>
      <c r="C12" s="200" t="s">
        <v>81</v>
      </c>
      <c r="D12" s="200">
        <f>SUM(D4:D11)</f>
        <v>3000</v>
      </c>
      <c r="E12" s="200">
        <f>SUM(E4:E11)</f>
        <v>0</v>
      </c>
      <c r="F12" s="200"/>
      <c r="G12" s="200"/>
      <c r="H12" s="200"/>
      <c r="I12" s="200">
        <f>D12-E12</f>
        <v>3000</v>
      </c>
      <c r="J12" s="201" t="s">
        <v>16</v>
      </c>
      <c r="K12" s="202">
        <f>SUM(K4:K11)</f>
        <v>0</v>
      </c>
      <c r="L12" s="202">
        <f>SUM(L5:L11)</f>
        <v>3000</v>
      </c>
      <c r="M12" s="202">
        <f>SUM(M4:M11)</f>
        <v>0</v>
      </c>
      <c r="N12" s="202">
        <f>SUM(N4:N11)</f>
        <v>0</v>
      </c>
      <c r="O12" s="203"/>
      <c r="P12" s="203"/>
      <c r="Q12" s="203"/>
      <c r="R12" s="203"/>
      <c r="S12" s="203"/>
      <c r="T12" s="189"/>
    </row>
    <row r="13" spans="1:20" ht="16.5" thickTop="1" x14ac:dyDescent="0.25">
      <c r="A13" s="204"/>
      <c r="B13" s="205"/>
      <c r="C13" s="206" t="s">
        <v>82</v>
      </c>
      <c r="D13" s="207"/>
      <c r="E13" s="208"/>
      <c r="F13" s="209"/>
      <c r="G13" s="208"/>
      <c r="H13" s="208"/>
      <c r="I13" s="210"/>
      <c r="J13" s="211"/>
      <c r="K13" s="212"/>
      <c r="L13" s="212"/>
      <c r="M13" s="213"/>
      <c r="N13" s="213"/>
      <c r="O13" s="214"/>
      <c r="P13" s="215"/>
      <c r="Q13" s="215"/>
      <c r="R13" s="215"/>
      <c r="S13" s="216"/>
      <c r="T13" s="189"/>
    </row>
    <row r="14" spans="1:20" ht="15.75" x14ac:dyDescent="0.25">
      <c r="A14" s="85"/>
      <c r="B14" s="81"/>
      <c r="C14" s="72"/>
      <c r="D14" s="73"/>
      <c r="E14" s="189"/>
      <c r="F14" s="217"/>
      <c r="G14" s="189"/>
      <c r="H14" s="285"/>
      <c r="I14" s="80"/>
      <c r="J14" s="72"/>
      <c r="K14" s="218"/>
      <c r="L14" s="219"/>
      <c r="M14" s="220"/>
      <c r="N14" s="221"/>
      <c r="O14" s="99"/>
      <c r="P14" s="20"/>
      <c r="Q14" s="20"/>
      <c r="R14" s="20"/>
      <c r="S14" s="28"/>
      <c r="T14" s="189"/>
    </row>
    <row r="15" spans="1:20" ht="15.75" x14ac:dyDescent="0.25">
      <c r="A15" s="189"/>
      <c r="B15" s="85"/>
      <c r="C15" s="72"/>
      <c r="D15" s="73"/>
      <c r="E15" s="73"/>
      <c r="F15" s="217"/>
      <c r="G15" s="189"/>
      <c r="H15" s="189"/>
      <c r="I15" s="80"/>
      <c r="J15" s="72"/>
      <c r="K15" s="218"/>
      <c r="L15" s="219"/>
      <c r="M15" s="220"/>
      <c r="N15" s="221"/>
      <c r="O15" s="99"/>
      <c r="P15" s="20"/>
      <c r="Q15" s="20"/>
      <c r="R15" s="20"/>
      <c r="S15" s="28"/>
      <c r="T15" s="20"/>
    </row>
    <row r="16" spans="1:20" x14ac:dyDescent="0.25">
      <c r="A16" s="85"/>
      <c r="B16" s="47"/>
      <c r="C16" s="189"/>
      <c r="D16" s="189"/>
      <c r="E16" s="189"/>
      <c r="F16" s="217"/>
      <c r="G16" s="189"/>
      <c r="H16" s="189"/>
      <c r="I16" s="80"/>
      <c r="J16" s="13"/>
      <c r="K16" s="29"/>
      <c r="L16" s="30"/>
      <c r="M16" s="220"/>
      <c r="N16" s="221"/>
      <c r="O16" s="31"/>
      <c r="P16" s="20"/>
      <c r="Q16" s="20"/>
      <c r="R16" s="20"/>
      <c r="S16" s="28"/>
      <c r="T16" s="189"/>
    </row>
    <row r="17" spans="1:20" x14ac:dyDescent="0.25">
      <c r="A17" s="222"/>
      <c r="B17" s="32"/>
      <c r="C17" s="33" t="s">
        <v>18</v>
      </c>
      <c r="D17" s="223"/>
      <c r="E17" s="223"/>
      <c r="F17" s="223"/>
      <c r="G17" s="223"/>
      <c r="H17" s="223"/>
      <c r="I17" s="223"/>
      <c r="J17" s="35"/>
      <c r="K17" s="29"/>
      <c r="L17" s="30"/>
      <c r="M17" s="220"/>
      <c r="N17" s="221"/>
      <c r="O17" s="31"/>
      <c r="P17" s="20"/>
      <c r="Q17" s="20"/>
      <c r="R17" s="20"/>
      <c r="S17" s="28"/>
      <c r="T17" s="189"/>
    </row>
    <row r="18" spans="1:20" x14ac:dyDescent="0.25">
      <c r="A18" s="222"/>
      <c r="B18" s="32"/>
      <c r="C18" s="33"/>
      <c r="D18" s="223"/>
      <c r="E18" s="223"/>
      <c r="F18" s="223"/>
      <c r="G18" s="223"/>
      <c r="H18" s="223"/>
      <c r="I18" s="223"/>
      <c r="J18" s="35"/>
      <c r="K18" s="29"/>
      <c r="L18" s="30"/>
      <c r="M18" s="220"/>
      <c r="N18" s="221"/>
      <c r="O18" s="31"/>
      <c r="P18" s="20"/>
      <c r="Q18" s="20"/>
      <c r="R18" s="20"/>
      <c r="S18" s="28"/>
      <c r="T18" s="189"/>
    </row>
    <row r="19" spans="1:20" ht="15.75" thickBot="1" x14ac:dyDescent="0.3">
      <c r="A19" s="199"/>
      <c r="B19" s="224"/>
      <c r="C19" s="200" t="s">
        <v>83</v>
      </c>
      <c r="D19" s="200">
        <f>SUM(D13:D18)</f>
        <v>0</v>
      </c>
      <c r="E19" s="200">
        <f>SUM(E13:E18)</f>
        <v>0</v>
      </c>
      <c r="F19" s="200"/>
      <c r="G19" s="200"/>
      <c r="H19" s="200"/>
      <c r="I19" s="200">
        <f>D19-E19</f>
        <v>0</v>
      </c>
      <c r="J19" s="201" t="s">
        <v>16</v>
      </c>
      <c r="K19" s="202">
        <f>SUM(K13:K17)</f>
        <v>0</v>
      </c>
      <c r="L19" s="202">
        <f>SUM(L13:L17)</f>
        <v>0</v>
      </c>
      <c r="M19" s="202">
        <f>SUM(M13:M17)</f>
        <v>0</v>
      </c>
      <c r="N19" s="202">
        <f>SUM(N13:N17)</f>
        <v>0</v>
      </c>
      <c r="O19" s="203"/>
      <c r="P19" s="203"/>
      <c r="Q19" s="203"/>
      <c r="R19" s="203"/>
      <c r="S19" s="203"/>
      <c r="T19" s="189"/>
    </row>
    <row r="20" spans="1:20" ht="16.5" thickTop="1" x14ac:dyDescent="0.25">
      <c r="A20" s="225"/>
      <c r="B20" s="205"/>
      <c r="C20" s="206" t="s">
        <v>84</v>
      </c>
      <c r="D20" s="207"/>
      <c r="E20" s="208"/>
      <c r="F20" s="208"/>
      <c r="G20" s="208"/>
      <c r="H20" s="208"/>
      <c r="I20" s="210"/>
      <c r="J20" s="211"/>
      <c r="K20" s="226"/>
      <c r="L20" s="227"/>
      <c r="M20" s="228"/>
      <c r="N20" s="213"/>
      <c r="O20" s="215"/>
      <c r="P20" s="215"/>
      <c r="Q20" s="215"/>
      <c r="R20" s="215"/>
      <c r="S20" s="216"/>
      <c r="T20" s="189"/>
    </row>
    <row r="21" spans="1:20" ht="15.75" x14ac:dyDescent="0.25">
      <c r="A21" s="74"/>
      <c r="B21" s="81"/>
      <c r="C21" s="72"/>
      <c r="D21" s="73"/>
      <c r="E21" s="189"/>
      <c r="F21" s="189"/>
      <c r="G21" s="189"/>
      <c r="H21" s="189"/>
      <c r="I21" s="80"/>
      <c r="J21" s="72"/>
      <c r="K21" s="218"/>
      <c r="L21" s="229"/>
      <c r="M21" s="246"/>
      <c r="N21" s="221"/>
      <c r="O21" s="20"/>
      <c r="P21" s="20"/>
      <c r="Q21" s="20"/>
      <c r="R21" s="20"/>
      <c r="S21" s="28"/>
      <c r="T21" s="189"/>
    </row>
    <row r="22" spans="1:20" ht="15.75" x14ac:dyDescent="0.25">
      <c r="A22" s="114" t="s">
        <v>115</v>
      </c>
      <c r="B22" s="81" t="s">
        <v>116</v>
      </c>
      <c r="C22" s="72" t="s">
        <v>94</v>
      </c>
      <c r="D22" s="73">
        <v>1000</v>
      </c>
      <c r="E22" s="189"/>
      <c r="F22" s="189"/>
      <c r="G22" s="189"/>
      <c r="H22" s="189"/>
      <c r="I22" s="80">
        <f t="shared" ref="I22:I34" si="1">D22-E22</f>
        <v>1000</v>
      </c>
      <c r="J22" s="72" t="s">
        <v>117</v>
      </c>
      <c r="K22" s="218"/>
      <c r="L22" s="229">
        <v>1000</v>
      </c>
      <c r="M22" s="69"/>
      <c r="N22" s="221"/>
      <c r="O22" s="20">
        <v>1E-3</v>
      </c>
      <c r="P22" s="20">
        <v>1.66E-2</v>
      </c>
      <c r="Q22" s="20">
        <v>0</v>
      </c>
      <c r="R22" s="20">
        <v>0.1366</v>
      </c>
      <c r="S22" s="28">
        <v>0</v>
      </c>
      <c r="T22" s="189"/>
    </row>
    <row r="23" spans="1:20" ht="15.75" x14ac:dyDescent="0.25">
      <c r="A23" s="114" t="s">
        <v>115</v>
      </c>
      <c r="B23" s="81" t="s">
        <v>116</v>
      </c>
      <c r="C23" s="72" t="s">
        <v>94</v>
      </c>
      <c r="D23" s="73">
        <v>1000</v>
      </c>
      <c r="E23" s="189"/>
      <c r="F23" s="189"/>
      <c r="G23" s="189"/>
      <c r="H23" s="189"/>
      <c r="I23" s="80">
        <f t="shared" si="1"/>
        <v>1000</v>
      </c>
      <c r="J23" s="72" t="s">
        <v>101</v>
      </c>
      <c r="K23" s="218"/>
      <c r="L23" s="229">
        <v>1000</v>
      </c>
      <c r="M23" s="69"/>
      <c r="N23" s="221"/>
      <c r="O23" s="20">
        <v>1E-3</v>
      </c>
      <c r="P23" s="20">
        <v>0.02</v>
      </c>
      <c r="Q23" s="20">
        <v>9.6600000000000005E-2</v>
      </c>
      <c r="R23" s="20">
        <v>0</v>
      </c>
      <c r="S23" s="28">
        <v>0</v>
      </c>
      <c r="T23" s="189"/>
    </row>
    <row r="24" spans="1:20" ht="15.75" x14ac:dyDescent="0.25">
      <c r="A24" s="74" t="s">
        <v>115</v>
      </c>
      <c r="B24" s="81" t="s">
        <v>116</v>
      </c>
      <c r="C24" s="72" t="s">
        <v>94</v>
      </c>
      <c r="D24" s="73">
        <v>1000</v>
      </c>
      <c r="E24" s="189"/>
      <c r="F24" s="189"/>
      <c r="G24" s="189"/>
      <c r="H24" s="189"/>
      <c r="I24" s="80">
        <f t="shared" si="1"/>
        <v>1000</v>
      </c>
      <c r="J24" s="72" t="s">
        <v>128</v>
      </c>
      <c r="K24" s="218"/>
      <c r="L24" s="229">
        <v>1000</v>
      </c>
      <c r="M24" s="69"/>
      <c r="N24" s="221"/>
      <c r="O24" s="20">
        <v>0</v>
      </c>
      <c r="P24" s="20">
        <v>6.6E-3</v>
      </c>
      <c r="Q24" s="20">
        <v>0</v>
      </c>
      <c r="R24" s="20">
        <v>8.3299999999999999E-2</v>
      </c>
      <c r="S24" s="28">
        <v>0</v>
      </c>
      <c r="T24" s="189"/>
    </row>
    <row r="25" spans="1:20" ht="15.75" x14ac:dyDescent="0.25">
      <c r="A25" s="74" t="s">
        <v>115</v>
      </c>
      <c r="B25" s="81" t="s">
        <v>116</v>
      </c>
      <c r="C25" s="72" t="s">
        <v>94</v>
      </c>
      <c r="D25" s="73">
        <v>1000</v>
      </c>
      <c r="E25" s="189"/>
      <c r="F25" s="189"/>
      <c r="G25" s="189"/>
      <c r="H25" s="189"/>
      <c r="I25" s="80">
        <f t="shared" si="1"/>
        <v>1000</v>
      </c>
      <c r="J25" s="72" t="s">
        <v>102</v>
      </c>
      <c r="K25" s="218"/>
      <c r="L25" s="229">
        <v>1000</v>
      </c>
      <c r="M25" s="69"/>
      <c r="N25" s="221"/>
      <c r="O25" s="20">
        <v>1E-3</v>
      </c>
      <c r="P25" s="20">
        <v>0.02</v>
      </c>
      <c r="Q25" s="20">
        <v>0</v>
      </c>
      <c r="R25" s="20">
        <v>8.6599999999999996E-2</v>
      </c>
      <c r="S25" s="28">
        <v>0</v>
      </c>
      <c r="T25" s="189"/>
    </row>
    <row r="26" spans="1:20" ht="15.75" x14ac:dyDescent="0.25">
      <c r="A26" s="74" t="s">
        <v>115</v>
      </c>
      <c r="B26" s="81" t="s">
        <v>116</v>
      </c>
      <c r="C26" s="72" t="s">
        <v>94</v>
      </c>
      <c r="D26" s="73">
        <v>1000</v>
      </c>
      <c r="E26" s="189"/>
      <c r="F26" s="189"/>
      <c r="G26" s="189"/>
      <c r="H26" s="189"/>
      <c r="I26" s="80">
        <f t="shared" si="1"/>
        <v>1000</v>
      </c>
      <c r="J26" s="72" t="s">
        <v>130</v>
      </c>
      <c r="K26" s="218"/>
      <c r="L26" s="229">
        <v>1000</v>
      </c>
      <c r="M26" s="69"/>
      <c r="N26" s="221"/>
      <c r="O26" s="20">
        <v>1E-3</v>
      </c>
      <c r="P26" s="20">
        <v>1.66E-2</v>
      </c>
      <c r="Q26" s="20">
        <v>0</v>
      </c>
      <c r="R26" s="20">
        <v>8.6599999999999996E-2</v>
      </c>
      <c r="S26" s="28">
        <v>0</v>
      </c>
      <c r="T26" s="189"/>
    </row>
    <row r="27" spans="1:20" ht="15.75" x14ac:dyDescent="0.25">
      <c r="A27" s="114" t="s">
        <v>133</v>
      </c>
      <c r="B27" s="81" t="s">
        <v>116</v>
      </c>
      <c r="C27" s="72" t="s">
        <v>94</v>
      </c>
      <c r="D27" s="73">
        <v>700</v>
      </c>
      <c r="E27" s="189"/>
      <c r="F27" s="189" t="s">
        <v>147</v>
      </c>
      <c r="G27" s="189" t="s">
        <v>243</v>
      </c>
      <c r="H27" s="189"/>
      <c r="I27" s="80">
        <f t="shared" si="1"/>
        <v>700</v>
      </c>
      <c r="J27" s="72" t="s">
        <v>148</v>
      </c>
      <c r="K27" s="218"/>
      <c r="L27" s="229"/>
      <c r="M27" s="69">
        <v>700</v>
      </c>
      <c r="N27" s="221"/>
      <c r="O27" s="20">
        <v>0</v>
      </c>
      <c r="P27" s="20">
        <v>2.3300000000000001E-2</v>
      </c>
      <c r="Q27" s="20">
        <v>0</v>
      </c>
      <c r="R27" s="20">
        <v>0.11</v>
      </c>
      <c r="S27" s="28">
        <v>0</v>
      </c>
      <c r="T27" s="189"/>
    </row>
    <row r="28" spans="1:20" ht="15.75" x14ac:dyDescent="0.25">
      <c r="A28" s="114" t="s">
        <v>140</v>
      </c>
      <c r="B28" s="81" t="s">
        <v>141</v>
      </c>
      <c r="C28" s="72" t="s">
        <v>94</v>
      </c>
      <c r="D28" s="73">
        <v>680</v>
      </c>
      <c r="E28" s="189"/>
      <c r="F28" s="189"/>
      <c r="G28" s="189"/>
      <c r="H28" s="189"/>
      <c r="I28" s="80">
        <f t="shared" si="1"/>
        <v>680</v>
      </c>
      <c r="J28" s="72" t="s">
        <v>117</v>
      </c>
      <c r="K28" s="218"/>
      <c r="L28" s="229">
        <v>680</v>
      </c>
      <c r="M28" s="69"/>
      <c r="N28" s="221"/>
      <c r="O28" s="20">
        <v>2E-3</v>
      </c>
      <c r="P28" s="20">
        <v>2.6599999999999999E-2</v>
      </c>
      <c r="Q28" s="20">
        <v>0</v>
      </c>
      <c r="R28" s="20">
        <v>0.1133</v>
      </c>
      <c r="S28" s="28">
        <v>0</v>
      </c>
      <c r="T28" s="189"/>
    </row>
    <row r="29" spans="1:20" ht="15.75" x14ac:dyDescent="0.25">
      <c r="A29" s="114" t="s">
        <v>176</v>
      </c>
      <c r="B29" s="81" t="s">
        <v>177</v>
      </c>
      <c r="C29" s="72" t="s">
        <v>94</v>
      </c>
      <c r="D29" s="73">
        <v>1000</v>
      </c>
      <c r="E29" s="189"/>
      <c r="F29" s="189"/>
      <c r="G29" s="189"/>
      <c r="H29" s="189"/>
      <c r="I29" s="80">
        <f t="shared" si="1"/>
        <v>1000</v>
      </c>
      <c r="J29" s="72" t="s">
        <v>178</v>
      </c>
      <c r="K29" s="218"/>
      <c r="L29" s="229">
        <v>1000</v>
      </c>
      <c r="M29" s="69"/>
      <c r="N29" s="221"/>
      <c r="O29" s="20">
        <v>0</v>
      </c>
      <c r="P29" s="20">
        <v>5.0000000000000001E-3</v>
      </c>
      <c r="Q29" s="20">
        <v>0</v>
      </c>
      <c r="R29" s="20">
        <v>2.5000000000000001E-2</v>
      </c>
      <c r="S29" s="28">
        <v>0</v>
      </c>
      <c r="T29" s="189"/>
    </row>
    <row r="30" spans="1:20" ht="15.75" x14ac:dyDescent="0.25">
      <c r="A30" s="114" t="s">
        <v>176</v>
      </c>
      <c r="B30" s="81" t="s">
        <v>177</v>
      </c>
      <c r="C30" s="72" t="s">
        <v>94</v>
      </c>
      <c r="D30" s="73">
        <v>1000</v>
      </c>
      <c r="E30" s="189"/>
      <c r="F30" s="189"/>
      <c r="G30" s="189"/>
      <c r="H30" s="189"/>
      <c r="I30" s="80">
        <f t="shared" si="1"/>
        <v>1000</v>
      </c>
      <c r="J30" s="72" t="s">
        <v>179</v>
      </c>
      <c r="K30" s="218"/>
      <c r="L30" s="229">
        <v>1000</v>
      </c>
      <c r="M30" s="69"/>
      <c r="N30" s="221"/>
      <c r="O30" s="20">
        <v>0</v>
      </c>
      <c r="P30" s="20">
        <v>0.02</v>
      </c>
      <c r="Q30" s="20">
        <v>0</v>
      </c>
      <c r="R30" s="20">
        <v>0.01</v>
      </c>
      <c r="S30" s="28">
        <v>0</v>
      </c>
      <c r="T30" s="189"/>
    </row>
    <row r="31" spans="1:20" ht="15.75" x14ac:dyDescent="0.25">
      <c r="A31" s="114"/>
      <c r="B31" s="81"/>
      <c r="C31" s="72"/>
      <c r="D31" s="73"/>
      <c r="E31" s="189"/>
      <c r="F31" s="189"/>
      <c r="G31" s="189"/>
      <c r="H31" s="189"/>
      <c r="I31" s="80">
        <f t="shared" si="1"/>
        <v>0</v>
      </c>
      <c r="J31" s="72"/>
      <c r="K31" s="218"/>
      <c r="L31" s="229"/>
      <c r="M31" s="69"/>
      <c r="N31" s="221"/>
      <c r="O31" s="20"/>
      <c r="P31" s="20"/>
      <c r="Q31" s="20"/>
      <c r="R31" s="20"/>
      <c r="S31" s="28"/>
      <c r="T31" s="189"/>
    </row>
    <row r="32" spans="1:20" ht="15.75" x14ac:dyDescent="0.25">
      <c r="A32" s="114"/>
      <c r="B32" s="81"/>
      <c r="C32" s="72"/>
      <c r="D32" s="73"/>
      <c r="E32" s="189"/>
      <c r="F32" s="189"/>
      <c r="G32" s="189"/>
      <c r="H32" s="189"/>
      <c r="I32" s="80">
        <f t="shared" si="1"/>
        <v>0</v>
      </c>
      <c r="J32" s="72"/>
      <c r="K32" s="218"/>
      <c r="L32" s="229"/>
      <c r="M32" s="69"/>
      <c r="N32" s="221"/>
      <c r="O32" s="20"/>
      <c r="P32" s="20"/>
      <c r="Q32" s="20"/>
      <c r="R32" s="20"/>
      <c r="S32" s="28"/>
      <c r="T32" s="189"/>
    </row>
    <row r="33" spans="1:20" ht="15.75" x14ac:dyDescent="0.25">
      <c r="A33" s="114"/>
      <c r="B33" s="81"/>
      <c r="C33" s="72"/>
      <c r="D33" s="73"/>
      <c r="E33" s="189"/>
      <c r="F33" s="189"/>
      <c r="G33" s="189"/>
      <c r="H33" s="189"/>
      <c r="I33" s="80"/>
      <c r="J33" s="72"/>
      <c r="K33" s="218"/>
      <c r="L33" s="229"/>
      <c r="M33" s="69"/>
      <c r="N33" s="221"/>
      <c r="O33" s="20"/>
      <c r="P33" s="20"/>
      <c r="Q33" s="20"/>
      <c r="R33" s="20"/>
      <c r="S33" s="28"/>
      <c r="T33" s="189"/>
    </row>
    <row r="34" spans="1:20" ht="15.75" x14ac:dyDescent="0.25">
      <c r="A34" s="308" t="s">
        <v>112</v>
      </c>
      <c r="B34" s="303" t="s">
        <v>111</v>
      </c>
      <c r="C34" s="304" t="s">
        <v>94</v>
      </c>
      <c r="D34" s="305"/>
      <c r="E34" s="306"/>
      <c r="F34" s="306" t="s">
        <v>218</v>
      </c>
      <c r="G34" s="306"/>
      <c r="H34" s="306" t="s">
        <v>252</v>
      </c>
      <c r="I34" s="307">
        <f t="shared" si="1"/>
        <v>0</v>
      </c>
      <c r="J34" s="304" t="s">
        <v>219</v>
      </c>
      <c r="K34" s="65"/>
      <c r="L34" s="229"/>
      <c r="M34" s="69"/>
      <c r="N34" s="221"/>
      <c r="O34" s="20">
        <v>0</v>
      </c>
      <c r="P34" s="20">
        <v>2.3300000000000001E-2</v>
      </c>
      <c r="Q34" s="20">
        <v>0</v>
      </c>
      <c r="R34" s="20">
        <v>0.04</v>
      </c>
      <c r="S34" s="28"/>
      <c r="T34" s="20"/>
    </row>
    <row r="35" spans="1:20" ht="15.75" x14ac:dyDescent="0.25">
      <c r="A35" s="308" t="s">
        <v>112</v>
      </c>
      <c r="B35" s="303" t="s">
        <v>111</v>
      </c>
      <c r="C35" s="304" t="s">
        <v>94</v>
      </c>
      <c r="D35" s="305"/>
      <c r="E35" s="306"/>
      <c r="F35" s="306" t="s">
        <v>218</v>
      </c>
      <c r="G35" s="306"/>
      <c r="H35" s="306" t="s">
        <v>252</v>
      </c>
      <c r="I35" s="307">
        <f t="shared" ref="I35:I36" si="2">D35-E35</f>
        <v>0</v>
      </c>
      <c r="J35" s="304" t="s">
        <v>113</v>
      </c>
      <c r="K35" s="65"/>
      <c r="L35" s="229"/>
      <c r="M35" s="69"/>
      <c r="N35" s="221"/>
      <c r="O35" s="20">
        <v>0</v>
      </c>
      <c r="P35" s="20">
        <v>1.66E-2</v>
      </c>
      <c r="Q35" s="20">
        <v>0</v>
      </c>
      <c r="R35" s="20">
        <v>4.3299999999999998E-2</v>
      </c>
      <c r="S35" s="28"/>
      <c r="T35" s="20"/>
    </row>
    <row r="36" spans="1:20" ht="15.75" x14ac:dyDescent="0.25">
      <c r="A36" s="308" t="s">
        <v>112</v>
      </c>
      <c r="B36" s="303" t="s">
        <v>111</v>
      </c>
      <c r="C36" s="304" t="s">
        <v>94</v>
      </c>
      <c r="D36" s="305"/>
      <c r="E36" s="306"/>
      <c r="F36" s="306" t="s">
        <v>218</v>
      </c>
      <c r="G36" s="306"/>
      <c r="H36" s="306" t="s">
        <v>252</v>
      </c>
      <c r="I36" s="307">
        <f t="shared" si="2"/>
        <v>0</v>
      </c>
      <c r="J36" s="304" t="s">
        <v>114</v>
      </c>
      <c r="K36" s="65"/>
      <c r="L36" s="229"/>
      <c r="M36" s="69"/>
      <c r="N36" s="221"/>
      <c r="O36" s="20">
        <v>0</v>
      </c>
      <c r="P36" s="20">
        <v>0.01</v>
      </c>
      <c r="Q36" s="20">
        <v>0</v>
      </c>
      <c r="R36" s="20">
        <v>4.3299999999999998E-2</v>
      </c>
      <c r="S36" s="28"/>
      <c r="T36" s="20"/>
    </row>
    <row r="37" spans="1:20" ht="15.75" x14ac:dyDescent="0.25">
      <c r="A37" s="308" t="s">
        <v>129</v>
      </c>
      <c r="B37" s="303" t="s">
        <v>131</v>
      </c>
      <c r="C37" s="304" t="s">
        <v>94</v>
      </c>
      <c r="D37" s="305"/>
      <c r="E37" s="306"/>
      <c r="F37" s="306" t="s">
        <v>218</v>
      </c>
      <c r="G37" s="306"/>
      <c r="H37" s="306" t="s">
        <v>252</v>
      </c>
      <c r="I37" s="307">
        <f t="shared" ref="I37" si="3">D37-E37</f>
        <v>0</v>
      </c>
      <c r="J37" s="304" t="s">
        <v>132</v>
      </c>
      <c r="K37" s="65"/>
      <c r="L37" s="229"/>
      <c r="M37" s="69"/>
      <c r="N37" s="221"/>
      <c r="O37" s="20">
        <v>0</v>
      </c>
      <c r="P37" s="20">
        <v>2.3300000000000001E-2</v>
      </c>
      <c r="Q37" s="20">
        <v>0</v>
      </c>
      <c r="R37" s="20">
        <v>6.6600000000000006E-2</v>
      </c>
      <c r="S37" s="28"/>
      <c r="T37" s="20">
        <v>0</v>
      </c>
    </row>
    <row r="38" spans="1:20" ht="15.75" x14ac:dyDescent="0.25">
      <c r="A38" s="302" t="s">
        <v>140</v>
      </c>
      <c r="B38" s="303" t="s">
        <v>142</v>
      </c>
      <c r="C38" s="304" t="s">
        <v>94</v>
      </c>
      <c r="D38" s="305"/>
      <c r="E38" s="306"/>
      <c r="F38" s="306" t="s">
        <v>218</v>
      </c>
      <c r="G38" s="306"/>
      <c r="H38" s="306" t="s">
        <v>252</v>
      </c>
      <c r="I38" s="307">
        <f t="shared" ref="I38:I41" si="4">D38-E38</f>
        <v>0</v>
      </c>
      <c r="J38" s="304" t="s">
        <v>143</v>
      </c>
      <c r="K38" s="65"/>
      <c r="L38" s="229"/>
      <c r="M38" s="69"/>
      <c r="N38" s="221"/>
      <c r="O38" s="20">
        <v>0</v>
      </c>
      <c r="P38" s="20">
        <v>0.01</v>
      </c>
      <c r="Q38" s="20">
        <v>0</v>
      </c>
      <c r="R38" s="20">
        <v>4.6600000000000003E-2</v>
      </c>
      <c r="S38" s="28"/>
      <c r="T38" s="20"/>
    </row>
    <row r="39" spans="1:20" ht="15.75" x14ac:dyDescent="0.25">
      <c r="A39" s="302" t="s">
        <v>153</v>
      </c>
      <c r="B39" s="303" t="s">
        <v>142</v>
      </c>
      <c r="C39" s="304" t="s">
        <v>94</v>
      </c>
      <c r="D39" s="305"/>
      <c r="E39" s="306"/>
      <c r="F39" s="306" t="s">
        <v>218</v>
      </c>
      <c r="G39" s="306"/>
      <c r="H39" s="306" t="s">
        <v>252</v>
      </c>
      <c r="I39" s="307">
        <f t="shared" si="4"/>
        <v>0</v>
      </c>
      <c r="J39" s="304" t="s">
        <v>155</v>
      </c>
      <c r="K39" s="65"/>
      <c r="L39" s="229"/>
      <c r="M39" s="69"/>
      <c r="N39" s="221"/>
      <c r="O39" s="20">
        <v>0</v>
      </c>
      <c r="P39" s="20">
        <v>1.3299999999999999E-2</v>
      </c>
      <c r="Q39" s="20">
        <v>0</v>
      </c>
      <c r="R39" s="20">
        <v>7.3300000000000004E-2</v>
      </c>
      <c r="S39" s="20"/>
      <c r="T39" s="20"/>
    </row>
    <row r="40" spans="1:20" ht="15.75" x14ac:dyDescent="0.25">
      <c r="A40" s="302" t="s">
        <v>153</v>
      </c>
      <c r="B40" s="303" t="s">
        <v>142</v>
      </c>
      <c r="C40" s="304" t="s">
        <v>94</v>
      </c>
      <c r="D40" s="305"/>
      <c r="E40" s="306"/>
      <c r="F40" s="306" t="s">
        <v>218</v>
      </c>
      <c r="G40" s="306"/>
      <c r="H40" s="306" t="s">
        <v>252</v>
      </c>
      <c r="I40" s="307">
        <f t="shared" si="4"/>
        <v>0</v>
      </c>
      <c r="J40" s="304" t="s">
        <v>156</v>
      </c>
      <c r="K40" s="65"/>
      <c r="L40" s="229"/>
      <c r="M40" s="69"/>
      <c r="N40" s="221"/>
      <c r="O40" s="20">
        <v>0</v>
      </c>
      <c r="P40" s="20">
        <v>2.6599999999999999E-2</v>
      </c>
      <c r="Q40" s="20">
        <v>0</v>
      </c>
      <c r="R40" s="20">
        <v>0.04</v>
      </c>
      <c r="S40" s="20"/>
      <c r="T40" s="20"/>
    </row>
    <row r="41" spans="1:20" ht="15.75" x14ac:dyDescent="0.25">
      <c r="A41" s="302" t="s">
        <v>153</v>
      </c>
      <c r="B41" s="303" t="s">
        <v>154</v>
      </c>
      <c r="C41" s="304" t="s">
        <v>94</v>
      </c>
      <c r="D41" s="305"/>
      <c r="E41" s="306"/>
      <c r="F41" s="306" t="s">
        <v>218</v>
      </c>
      <c r="G41" s="306"/>
      <c r="H41" s="306" t="s">
        <v>252</v>
      </c>
      <c r="I41" s="307">
        <f t="shared" si="4"/>
        <v>0</v>
      </c>
      <c r="J41" s="304" t="s">
        <v>157</v>
      </c>
      <c r="K41" s="65"/>
      <c r="L41" s="229"/>
      <c r="M41" s="69"/>
      <c r="N41" s="221"/>
      <c r="O41" s="20">
        <v>0</v>
      </c>
      <c r="P41" s="20">
        <v>2.6599999999999999E-2</v>
      </c>
      <c r="Q41" s="20">
        <v>0</v>
      </c>
      <c r="R41" s="20">
        <v>5.6599999999999998E-2</v>
      </c>
      <c r="S41" s="20"/>
      <c r="T41" s="20"/>
    </row>
    <row r="42" spans="1:20" ht="15.75" x14ac:dyDescent="0.25">
      <c r="A42" s="302" t="s">
        <v>167</v>
      </c>
      <c r="B42" s="303" t="s">
        <v>168</v>
      </c>
      <c r="C42" s="304" t="s">
        <v>94</v>
      </c>
      <c r="D42" s="305"/>
      <c r="E42" s="306"/>
      <c r="F42" s="306" t="s">
        <v>218</v>
      </c>
      <c r="G42" s="306"/>
      <c r="H42" s="306" t="s">
        <v>252</v>
      </c>
      <c r="I42" s="307">
        <f t="shared" ref="I42:I43" si="5">D42-E42</f>
        <v>0</v>
      </c>
      <c r="J42" s="304" t="s">
        <v>169</v>
      </c>
      <c r="K42" s="65"/>
      <c r="L42" s="229"/>
      <c r="M42" s="69"/>
      <c r="N42" s="221"/>
      <c r="O42" s="20">
        <v>0</v>
      </c>
      <c r="P42" s="20">
        <v>1.66E-2</v>
      </c>
      <c r="Q42" s="20">
        <v>0</v>
      </c>
      <c r="R42" s="20">
        <v>5.6599999999999998E-2</v>
      </c>
      <c r="S42" s="28"/>
      <c r="T42" s="20"/>
    </row>
    <row r="43" spans="1:20" ht="15.75" x14ac:dyDescent="0.25">
      <c r="A43" s="302" t="s">
        <v>167</v>
      </c>
      <c r="B43" s="303" t="s">
        <v>168</v>
      </c>
      <c r="C43" s="304" t="s">
        <v>94</v>
      </c>
      <c r="D43" s="305"/>
      <c r="E43" s="306"/>
      <c r="F43" s="306" t="s">
        <v>218</v>
      </c>
      <c r="G43" s="306"/>
      <c r="H43" s="306" t="s">
        <v>252</v>
      </c>
      <c r="I43" s="307">
        <f t="shared" si="5"/>
        <v>0</v>
      </c>
      <c r="J43" s="304" t="s">
        <v>170</v>
      </c>
      <c r="K43" s="65"/>
      <c r="L43" s="229"/>
      <c r="M43" s="69"/>
      <c r="N43" s="221"/>
      <c r="O43" s="20">
        <v>0</v>
      </c>
      <c r="P43" s="20">
        <v>0.03</v>
      </c>
      <c r="Q43" s="20">
        <v>0</v>
      </c>
      <c r="R43" s="20">
        <v>4.3299999999999998E-2</v>
      </c>
      <c r="S43" s="28"/>
      <c r="T43" s="20"/>
    </row>
    <row r="44" spans="1:20" ht="15.75" x14ac:dyDescent="0.25">
      <c r="A44" s="85"/>
      <c r="B44" s="81"/>
      <c r="C44" s="72"/>
      <c r="D44" s="73"/>
      <c r="E44" s="189"/>
      <c r="F44" s="189"/>
      <c r="G44" s="189"/>
      <c r="H44" s="189"/>
      <c r="I44" s="80"/>
      <c r="J44" s="72"/>
      <c r="K44" s="65"/>
      <c r="L44" s="229"/>
      <c r="M44" s="69"/>
      <c r="N44" s="221"/>
      <c r="O44" s="20"/>
      <c r="P44" s="20"/>
      <c r="Q44" s="20"/>
      <c r="R44" s="20"/>
      <c r="S44" s="28"/>
      <c r="T44" s="20"/>
    </row>
    <row r="45" spans="1:20" ht="15.75" x14ac:dyDescent="0.25">
      <c r="A45" s="85"/>
      <c r="B45" s="81"/>
      <c r="C45" s="72"/>
      <c r="D45" s="73"/>
      <c r="E45" s="189"/>
      <c r="F45" s="189"/>
      <c r="G45" s="189"/>
      <c r="H45" s="189"/>
      <c r="I45" s="80"/>
      <c r="J45" s="72"/>
      <c r="K45" s="65"/>
      <c r="L45" s="229"/>
      <c r="M45" s="69"/>
      <c r="N45" s="221"/>
      <c r="O45" s="20"/>
      <c r="P45" s="20"/>
      <c r="Q45" s="20"/>
      <c r="R45" s="20"/>
      <c r="S45" s="28"/>
      <c r="T45" s="189"/>
    </row>
    <row r="46" spans="1:20" x14ac:dyDescent="0.25">
      <c r="A46" s="36"/>
      <c r="B46" s="37"/>
      <c r="C46" s="38" t="s">
        <v>85</v>
      </c>
      <c r="D46" s="230"/>
      <c r="E46" s="230"/>
      <c r="F46" s="230"/>
      <c r="G46" s="230"/>
      <c r="H46" s="230"/>
      <c r="I46" s="231"/>
      <c r="J46" s="40"/>
      <c r="K46" s="29"/>
      <c r="L46" s="30"/>
      <c r="M46" s="220"/>
      <c r="N46" s="221"/>
      <c r="O46" s="20"/>
      <c r="P46" s="20"/>
      <c r="Q46" s="31"/>
      <c r="R46" s="20"/>
      <c r="S46" s="28"/>
      <c r="T46" s="189"/>
    </row>
    <row r="47" spans="1:20" x14ac:dyDescent="0.25">
      <c r="A47" s="36"/>
      <c r="B47" s="37"/>
      <c r="C47" s="38" t="s">
        <v>253</v>
      </c>
      <c r="D47" s="230"/>
      <c r="E47" s="230"/>
      <c r="F47" s="232"/>
      <c r="G47" s="230">
        <v>2</v>
      </c>
      <c r="H47" s="331">
        <v>46174</v>
      </c>
      <c r="I47" s="231"/>
      <c r="J47" s="40"/>
      <c r="K47" s="29"/>
      <c r="L47" s="30"/>
      <c r="M47" s="220"/>
      <c r="N47" s="221"/>
      <c r="O47" s="20"/>
      <c r="P47" s="20"/>
      <c r="Q47" s="31"/>
      <c r="R47" s="20"/>
      <c r="S47" s="28"/>
      <c r="T47" s="189"/>
    </row>
    <row r="48" spans="1:20" x14ac:dyDescent="0.25">
      <c r="A48" s="36"/>
      <c r="B48" s="37"/>
      <c r="C48" s="233"/>
      <c r="D48" s="230"/>
      <c r="E48" s="230"/>
      <c r="F48" s="232"/>
      <c r="G48" s="234"/>
      <c r="H48" s="261"/>
      <c r="I48" s="231"/>
      <c r="J48" s="40"/>
      <c r="K48" s="29"/>
      <c r="L48" s="30"/>
      <c r="M48" s="220"/>
      <c r="N48" s="221"/>
      <c r="O48" s="20"/>
      <c r="P48" s="20"/>
      <c r="Q48" s="31"/>
      <c r="R48" s="20"/>
      <c r="S48" s="28"/>
      <c r="T48" s="189"/>
    </row>
    <row r="49" spans="1:20" x14ac:dyDescent="0.25">
      <c r="A49" s="36"/>
      <c r="B49" s="37"/>
      <c r="C49" s="233"/>
      <c r="D49" s="230"/>
      <c r="E49" s="230"/>
      <c r="F49" s="232"/>
      <c r="G49" s="234"/>
      <c r="H49" s="234"/>
      <c r="I49" s="231"/>
      <c r="J49" s="40"/>
      <c r="K49" s="29"/>
      <c r="L49" s="30"/>
      <c r="M49" s="220"/>
      <c r="N49" s="221"/>
      <c r="O49" s="20"/>
      <c r="P49" s="20"/>
      <c r="Q49" s="31"/>
      <c r="R49" s="20"/>
      <c r="S49" s="28"/>
      <c r="T49" s="189"/>
    </row>
    <row r="50" spans="1:20" ht="15.75" thickBot="1" x14ac:dyDescent="0.3">
      <c r="A50" s="199"/>
      <c r="B50" s="235"/>
      <c r="C50" s="200" t="s">
        <v>86</v>
      </c>
      <c r="D50" s="200">
        <f>SUM(D20:D49)</f>
        <v>8380</v>
      </c>
      <c r="E50" s="200">
        <f>SUM(E20:E49)</f>
        <v>0</v>
      </c>
      <c r="F50" s="200"/>
      <c r="G50" s="200"/>
      <c r="H50" s="200"/>
      <c r="I50" s="200">
        <f>D50-E50</f>
        <v>8380</v>
      </c>
      <c r="J50" s="201" t="s">
        <v>16</v>
      </c>
      <c r="K50" s="202">
        <f>SUM(K20:K49)</f>
        <v>0</v>
      </c>
      <c r="L50" s="202">
        <f>SUM(L20:L49)</f>
        <v>7680</v>
      </c>
      <c r="M50" s="202">
        <f>SUM(M20:M49)</f>
        <v>700</v>
      </c>
      <c r="N50" s="202">
        <f>SUM(N20:N49)</f>
        <v>0</v>
      </c>
      <c r="O50" s="203"/>
      <c r="P50" s="203"/>
      <c r="Q50" s="203"/>
      <c r="R50" s="236"/>
      <c r="S50" s="203"/>
      <c r="T50" s="189"/>
    </row>
    <row r="51" spans="1:20" ht="16.5" thickTop="1" x14ac:dyDescent="0.25">
      <c r="A51" s="318"/>
      <c r="B51" s="319"/>
      <c r="C51" s="237" t="s">
        <v>87</v>
      </c>
      <c r="D51" s="320"/>
      <c r="E51" s="321"/>
      <c r="F51" s="320"/>
      <c r="G51" s="320"/>
      <c r="H51" s="320"/>
      <c r="I51" s="322"/>
      <c r="J51" s="323"/>
      <c r="K51" s="324"/>
      <c r="L51" s="324"/>
      <c r="M51" s="325"/>
      <c r="N51" s="325"/>
      <c r="O51" s="326"/>
      <c r="P51" s="327"/>
      <c r="Q51" s="327"/>
      <c r="R51" s="327"/>
      <c r="S51" s="326"/>
      <c r="T51" s="189"/>
    </row>
    <row r="52" spans="1:20" ht="15.75" x14ac:dyDescent="0.25">
      <c r="A52" s="318" t="s">
        <v>244</v>
      </c>
      <c r="B52" s="319" t="s">
        <v>245</v>
      </c>
      <c r="C52" s="240" t="s">
        <v>246</v>
      </c>
      <c r="D52" s="320">
        <v>1000</v>
      </c>
      <c r="E52" s="321"/>
      <c r="F52" s="320" t="s">
        <v>247</v>
      </c>
      <c r="G52" s="320"/>
      <c r="H52" s="320"/>
      <c r="I52" s="80">
        <f t="shared" ref="I52:I76" si="6">D52-E52</f>
        <v>1000</v>
      </c>
      <c r="J52" s="323" t="s">
        <v>66</v>
      </c>
      <c r="K52" s="218"/>
      <c r="L52" s="219">
        <v>1000</v>
      </c>
      <c r="M52" s="241"/>
      <c r="N52" s="242"/>
      <c r="O52" s="326">
        <v>5.5E-2</v>
      </c>
      <c r="P52" s="327">
        <v>0</v>
      </c>
      <c r="Q52" s="327">
        <v>0</v>
      </c>
      <c r="R52" s="327">
        <v>0</v>
      </c>
      <c r="S52" s="326">
        <v>5.0000000000000001E-3</v>
      </c>
      <c r="T52" s="189"/>
    </row>
    <row r="53" spans="1:20" ht="15.75" x14ac:dyDescent="0.25">
      <c r="A53" s="318" t="s">
        <v>244</v>
      </c>
      <c r="B53" s="81" t="s">
        <v>93</v>
      </c>
      <c r="C53" s="240" t="s">
        <v>246</v>
      </c>
      <c r="D53" s="240">
        <v>1000</v>
      </c>
      <c r="E53" s="49"/>
      <c r="F53" s="320" t="s">
        <v>247</v>
      </c>
      <c r="G53" s="240"/>
      <c r="H53" s="240"/>
      <c r="I53" s="80">
        <f t="shared" si="6"/>
        <v>1000</v>
      </c>
      <c r="J53" s="79" t="s">
        <v>66</v>
      </c>
      <c r="K53" s="218"/>
      <c r="L53" s="219">
        <v>1000</v>
      </c>
      <c r="M53" s="241"/>
      <c r="N53" s="242"/>
      <c r="O53" s="20">
        <v>0.1066</v>
      </c>
      <c r="P53" s="31">
        <v>0</v>
      </c>
      <c r="Q53" s="31">
        <v>0</v>
      </c>
      <c r="R53" s="31">
        <v>0</v>
      </c>
      <c r="S53" s="20">
        <v>3.0000000000000001E-3</v>
      </c>
      <c r="T53" s="189"/>
    </row>
    <row r="54" spans="1:20" ht="15.75" x14ac:dyDescent="0.25">
      <c r="A54" s="318" t="s">
        <v>244</v>
      </c>
      <c r="B54" s="81" t="s">
        <v>93</v>
      </c>
      <c r="C54" s="240" t="s">
        <v>246</v>
      </c>
      <c r="D54" s="240">
        <v>1000</v>
      </c>
      <c r="E54" s="49"/>
      <c r="F54" s="320" t="s">
        <v>247</v>
      </c>
      <c r="G54" s="240"/>
      <c r="H54" s="240"/>
      <c r="I54" s="80">
        <f t="shared" si="6"/>
        <v>1000</v>
      </c>
      <c r="J54" s="79" t="s">
        <v>66</v>
      </c>
      <c r="K54" s="218"/>
      <c r="L54" s="219">
        <v>1000</v>
      </c>
      <c r="M54" s="241"/>
      <c r="N54" s="242"/>
      <c r="O54" s="20">
        <v>6.8000000000000005E-2</v>
      </c>
      <c r="P54" s="31">
        <v>0</v>
      </c>
      <c r="Q54" s="31">
        <v>0</v>
      </c>
      <c r="R54" s="31">
        <v>0</v>
      </c>
      <c r="S54" s="20">
        <v>3.0000000000000001E-3</v>
      </c>
      <c r="T54" s="189"/>
    </row>
    <row r="55" spans="1:20" ht="15.75" x14ac:dyDescent="0.25">
      <c r="A55" s="318" t="s">
        <v>244</v>
      </c>
      <c r="B55" s="81" t="s">
        <v>100</v>
      </c>
      <c r="C55" s="240" t="s">
        <v>246</v>
      </c>
      <c r="D55" s="240">
        <v>1000</v>
      </c>
      <c r="E55" s="49"/>
      <c r="F55" s="320" t="s">
        <v>247</v>
      </c>
      <c r="G55" s="240"/>
      <c r="H55" s="240"/>
      <c r="I55" s="80">
        <f t="shared" si="6"/>
        <v>1000</v>
      </c>
      <c r="J55" s="79" t="s">
        <v>66</v>
      </c>
      <c r="K55" s="218"/>
      <c r="L55" s="219">
        <v>1000</v>
      </c>
      <c r="M55" s="241"/>
      <c r="N55" s="242"/>
      <c r="O55" s="20">
        <v>7.3999999999999996E-2</v>
      </c>
      <c r="P55" s="31">
        <v>0</v>
      </c>
      <c r="Q55" s="31">
        <v>0</v>
      </c>
      <c r="R55" s="31">
        <v>0</v>
      </c>
      <c r="S55" s="20">
        <v>3.0000000000000001E-3</v>
      </c>
      <c r="T55" s="189"/>
    </row>
    <row r="56" spans="1:20" ht="15.75" x14ac:dyDescent="0.25">
      <c r="A56" s="318" t="s">
        <v>244</v>
      </c>
      <c r="B56" s="81" t="s">
        <v>100</v>
      </c>
      <c r="C56" s="240" t="s">
        <v>246</v>
      </c>
      <c r="D56" s="240">
        <v>1000</v>
      </c>
      <c r="E56" s="49"/>
      <c r="F56" s="320" t="s">
        <v>247</v>
      </c>
      <c r="G56" s="240"/>
      <c r="H56" s="240"/>
      <c r="I56" s="80">
        <f t="shared" si="6"/>
        <v>1000</v>
      </c>
      <c r="J56" s="79" t="s">
        <v>66</v>
      </c>
      <c r="K56" s="218"/>
      <c r="L56" s="219">
        <v>1000</v>
      </c>
      <c r="M56" s="241"/>
      <c r="N56" s="242"/>
      <c r="O56" s="20">
        <v>6.8000000000000005E-2</v>
      </c>
      <c r="P56" s="31">
        <v>0</v>
      </c>
      <c r="Q56" s="31">
        <v>0</v>
      </c>
      <c r="R56" s="31">
        <v>0</v>
      </c>
      <c r="S56" s="20">
        <v>2E-3</v>
      </c>
      <c r="T56" s="189"/>
    </row>
    <row r="57" spans="1:20" ht="15.75" x14ac:dyDescent="0.25">
      <c r="A57" s="318" t="s">
        <v>244</v>
      </c>
      <c r="B57" s="81" t="s">
        <v>100</v>
      </c>
      <c r="C57" s="240" t="s">
        <v>246</v>
      </c>
      <c r="D57" s="240">
        <v>1000</v>
      </c>
      <c r="E57" s="49"/>
      <c r="F57" s="320" t="s">
        <v>247</v>
      </c>
      <c r="G57" s="240"/>
      <c r="H57" s="240"/>
      <c r="I57" s="80">
        <f t="shared" si="6"/>
        <v>1000</v>
      </c>
      <c r="J57" s="79" t="s">
        <v>66</v>
      </c>
      <c r="K57" s="218"/>
      <c r="L57" s="219">
        <v>1000</v>
      </c>
      <c r="M57" s="241"/>
      <c r="N57" s="242"/>
      <c r="O57" s="20">
        <v>8.5999999999999993E-2</v>
      </c>
      <c r="P57" s="31">
        <v>0</v>
      </c>
      <c r="Q57" s="31">
        <v>0</v>
      </c>
      <c r="R57" s="31">
        <v>0</v>
      </c>
      <c r="S57" s="20">
        <v>3.0000000000000001E-3</v>
      </c>
      <c r="T57" s="189"/>
    </row>
    <row r="58" spans="1:20" ht="15.75" x14ac:dyDescent="0.25">
      <c r="A58" s="318" t="s">
        <v>244</v>
      </c>
      <c r="B58" s="81" t="s">
        <v>100</v>
      </c>
      <c r="C58" s="240" t="s">
        <v>246</v>
      </c>
      <c r="D58" s="240"/>
      <c r="E58" s="49"/>
      <c r="F58" s="320" t="s">
        <v>247</v>
      </c>
      <c r="G58" s="240"/>
      <c r="H58" s="240"/>
      <c r="I58" s="80">
        <f t="shared" si="6"/>
        <v>0</v>
      </c>
      <c r="J58" s="79" t="s">
        <v>66</v>
      </c>
      <c r="K58" s="218"/>
      <c r="L58" s="219"/>
      <c r="M58" s="241"/>
      <c r="N58" s="242"/>
      <c r="O58" s="20">
        <v>0.12</v>
      </c>
      <c r="P58" s="31">
        <v>0</v>
      </c>
      <c r="Q58" s="31">
        <v>0</v>
      </c>
      <c r="R58" s="31">
        <v>0</v>
      </c>
      <c r="S58" s="20">
        <v>6.0000000000000001E-3</v>
      </c>
      <c r="T58" s="189"/>
    </row>
    <row r="59" spans="1:20" ht="15.75" x14ac:dyDescent="0.25">
      <c r="A59" s="114"/>
      <c r="B59" s="81"/>
      <c r="C59" s="240"/>
      <c r="D59" s="240"/>
      <c r="E59" s="49"/>
      <c r="F59" s="240"/>
      <c r="G59" s="240"/>
      <c r="H59" s="240"/>
      <c r="I59" s="80"/>
      <c r="J59" s="79"/>
      <c r="K59" s="218"/>
      <c r="L59" s="219"/>
      <c r="M59" s="241"/>
      <c r="N59" s="242"/>
      <c r="O59" s="20"/>
      <c r="P59" s="31"/>
      <c r="Q59" s="31"/>
      <c r="R59" s="31"/>
      <c r="S59" s="20"/>
      <c r="T59" s="189"/>
    </row>
    <row r="60" spans="1:20" ht="15.75" x14ac:dyDescent="0.25">
      <c r="A60" s="114"/>
      <c r="B60" s="81"/>
      <c r="C60" s="240"/>
      <c r="D60" s="240"/>
      <c r="E60" s="49"/>
      <c r="F60" s="240"/>
      <c r="G60" s="240"/>
      <c r="H60" s="240"/>
      <c r="I60" s="80"/>
      <c r="J60" s="79"/>
      <c r="K60" s="218"/>
      <c r="L60" s="219"/>
      <c r="M60" s="241"/>
      <c r="N60" s="242"/>
      <c r="O60" s="20"/>
      <c r="P60" s="31"/>
      <c r="Q60" s="31"/>
      <c r="R60" s="31"/>
      <c r="S60" s="20"/>
      <c r="T60" s="189"/>
    </row>
    <row r="61" spans="1:20" ht="15.75" x14ac:dyDescent="0.25">
      <c r="A61" s="114" t="s">
        <v>180</v>
      </c>
      <c r="B61" s="81" t="s">
        <v>181</v>
      </c>
      <c r="C61" s="274" t="s">
        <v>182</v>
      </c>
      <c r="D61" s="309">
        <v>1000</v>
      </c>
      <c r="E61" s="49"/>
      <c r="F61" s="240"/>
      <c r="G61" s="240"/>
      <c r="H61" s="240"/>
      <c r="I61" s="80">
        <f t="shared" si="6"/>
        <v>1000</v>
      </c>
      <c r="J61" s="79" t="s">
        <v>67</v>
      </c>
      <c r="K61" s="218"/>
      <c r="L61" s="219">
        <v>1000</v>
      </c>
      <c r="M61" s="241"/>
      <c r="N61" s="242"/>
      <c r="O61" s="20">
        <v>2.9000000000000001E-2</v>
      </c>
      <c r="P61" s="31">
        <v>0</v>
      </c>
      <c r="Q61" s="31">
        <v>0</v>
      </c>
      <c r="R61" s="31">
        <v>0</v>
      </c>
      <c r="S61" s="20">
        <v>0</v>
      </c>
      <c r="T61" s="189"/>
    </row>
    <row r="62" spans="1:20" ht="15.75" x14ac:dyDescent="0.25">
      <c r="A62" s="114" t="s">
        <v>180</v>
      </c>
      <c r="B62" s="81" t="s">
        <v>181</v>
      </c>
      <c r="C62" s="274" t="s">
        <v>182</v>
      </c>
      <c r="D62" s="309">
        <v>1000</v>
      </c>
      <c r="E62" s="49"/>
      <c r="F62" s="240"/>
      <c r="G62" s="240"/>
      <c r="H62" s="240"/>
      <c r="I62" s="80">
        <f t="shared" si="6"/>
        <v>1000</v>
      </c>
      <c r="J62" s="79" t="s">
        <v>91</v>
      </c>
      <c r="K62" s="218"/>
      <c r="L62" s="219">
        <v>1000</v>
      </c>
      <c r="M62" s="241"/>
      <c r="N62" s="242"/>
      <c r="O62" s="20">
        <v>3.5999999999999997E-2</v>
      </c>
      <c r="P62" s="31">
        <v>0</v>
      </c>
      <c r="Q62" s="31">
        <v>0</v>
      </c>
      <c r="R62" s="31">
        <v>0</v>
      </c>
      <c r="S62" s="20">
        <v>0</v>
      </c>
      <c r="T62" s="189"/>
    </row>
    <row r="63" spans="1:20" ht="15.75" x14ac:dyDescent="0.25">
      <c r="A63" s="114" t="s">
        <v>180</v>
      </c>
      <c r="B63" s="81" t="s">
        <v>181</v>
      </c>
      <c r="C63" s="274" t="s">
        <v>182</v>
      </c>
      <c r="D63" s="309">
        <v>1000</v>
      </c>
      <c r="E63" s="49"/>
      <c r="F63" s="240"/>
      <c r="G63" s="240"/>
      <c r="H63" s="240"/>
      <c r="I63" s="80">
        <f t="shared" si="6"/>
        <v>1000</v>
      </c>
      <c r="J63" s="79" t="s">
        <v>103</v>
      </c>
      <c r="K63" s="218"/>
      <c r="L63" s="219">
        <v>1000</v>
      </c>
      <c r="M63" s="241"/>
      <c r="N63" s="242"/>
      <c r="O63" s="20">
        <v>2.5999999999999999E-2</v>
      </c>
      <c r="P63" s="31">
        <v>0</v>
      </c>
      <c r="Q63" s="31">
        <v>0</v>
      </c>
      <c r="R63" s="31">
        <v>0</v>
      </c>
      <c r="S63" s="20">
        <v>0</v>
      </c>
      <c r="T63" s="189"/>
    </row>
    <row r="64" spans="1:20" ht="15.75" x14ac:dyDescent="0.25">
      <c r="A64" s="114" t="s">
        <v>180</v>
      </c>
      <c r="B64" s="81" t="s">
        <v>181</v>
      </c>
      <c r="C64" s="274" t="s">
        <v>182</v>
      </c>
      <c r="D64" s="309"/>
      <c r="E64" s="49"/>
      <c r="F64" s="240" t="s">
        <v>255</v>
      </c>
      <c r="G64" s="240"/>
      <c r="H64" s="240"/>
      <c r="I64" s="80">
        <f t="shared" si="6"/>
        <v>0</v>
      </c>
      <c r="J64" s="79" t="s">
        <v>104</v>
      </c>
      <c r="K64" s="218"/>
      <c r="L64" s="219"/>
      <c r="M64" s="241"/>
      <c r="N64" s="242"/>
      <c r="O64" s="20">
        <v>0.08</v>
      </c>
      <c r="P64" s="31">
        <v>0</v>
      </c>
      <c r="Q64" s="31">
        <v>0</v>
      </c>
      <c r="R64" s="31">
        <v>0</v>
      </c>
      <c r="S64" s="20">
        <v>1E-3</v>
      </c>
      <c r="T64" s="189"/>
    </row>
    <row r="65" spans="1:20" ht="15.75" x14ac:dyDescent="0.25">
      <c r="A65" s="114" t="s">
        <v>180</v>
      </c>
      <c r="B65" s="81" t="s">
        <v>181</v>
      </c>
      <c r="C65" s="274" t="s">
        <v>182</v>
      </c>
      <c r="D65" s="309">
        <v>1000</v>
      </c>
      <c r="E65" s="49"/>
      <c r="F65" s="240"/>
      <c r="G65" s="240"/>
      <c r="H65" s="240"/>
      <c r="I65" s="80">
        <f t="shared" si="6"/>
        <v>1000</v>
      </c>
      <c r="J65" s="79" t="s">
        <v>105</v>
      </c>
      <c r="K65" s="218"/>
      <c r="L65" s="219">
        <v>1000</v>
      </c>
      <c r="M65" s="241"/>
      <c r="N65" s="242"/>
      <c r="O65" s="20">
        <v>8.5999999999999993E-2</v>
      </c>
      <c r="P65" s="31">
        <v>0</v>
      </c>
      <c r="Q65" s="31">
        <v>0</v>
      </c>
      <c r="R65" s="31">
        <v>0</v>
      </c>
      <c r="S65" s="20">
        <v>2E-3</v>
      </c>
      <c r="T65" s="189"/>
    </row>
    <row r="66" spans="1:20" ht="15.75" x14ac:dyDescent="0.25">
      <c r="A66" s="114" t="s">
        <v>180</v>
      </c>
      <c r="B66" s="81" t="s">
        <v>181</v>
      </c>
      <c r="C66" s="274" t="s">
        <v>182</v>
      </c>
      <c r="D66" s="309"/>
      <c r="E66" s="49"/>
      <c r="F66" s="240" t="s">
        <v>255</v>
      </c>
      <c r="G66" s="240"/>
      <c r="H66" s="240"/>
      <c r="I66" s="80">
        <f t="shared" si="6"/>
        <v>0</v>
      </c>
      <c r="J66" s="79" t="s">
        <v>106</v>
      </c>
      <c r="K66" s="218"/>
      <c r="L66" s="219"/>
      <c r="M66" s="241"/>
      <c r="N66" s="242"/>
      <c r="O66" s="20">
        <v>7.2999999999999995E-2</v>
      </c>
      <c r="P66" s="31">
        <v>0</v>
      </c>
      <c r="Q66" s="31">
        <v>0</v>
      </c>
      <c r="R66" s="31">
        <v>0</v>
      </c>
      <c r="S66" s="20">
        <v>0</v>
      </c>
      <c r="T66" s="189"/>
    </row>
    <row r="67" spans="1:20" ht="15.75" x14ac:dyDescent="0.25">
      <c r="A67" s="114" t="s">
        <v>180</v>
      </c>
      <c r="B67" s="81" t="s">
        <v>181</v>
      </c>
      <c r="C67" s="274" t="s">
        <v>182</v>
      </c>
      <c r="D67" s="309"/>
      <c r="E67" s="49"/>
      <c r="F67" s="240" t="s">
        <v>255</v>
      </c>
      <c r="G67" s="240"/>
      <c r="H67" s="240"/>
      <c r="I67" s="80">
        <f t="shared" si="6"/>
        <v>0</v>
      </c>
      <c r="J67" s="79" t="s">
        <v>149</v>
      </c>
      <c r="K67" s="218"/>
      <c r="L67" s="219"/>
      <c r="M67" s="241"/>
      <c r="N67" s="242"/>
      <c r="O67" s="20">
        <v>5.7000000000000002E-2</v>
      </c>
      <c r="P67" s="31">
        <v>0</v>
      </c>
      <c r="Q67" s="31">
        <v>0</v>
      </c>
      <c r="R67" s="31">
        <v>0</v>
      </c>
      <c r="S67" s="20">
        <v>0</v>
      </c>
      <c r="T67" s="189"/>
    </row>
    <row r="68" spans="1:20" ht="15.75" x14ac:dyDescent="0.25">
      <c r="A68" s="114"/>
      <c r="B68" s="81"/>
      <c r="C68" s="274"/>
      <c r="D68" s="240"/>
      <c r="E68" s="49"/>
      <c r="F68" s="240"/>
      <c r="G68" s="240"/>
      <c r="H68" s="240"/>
      <c r="I68" s="80"/>
      <c r="J68" s="79"/>
      <c r="K68" s="218"/>
      <c r="L68" s="219"/>
      <c r="M68" s="241"/>
      <c r="N68" s="242"/>
      <c r="O68" s="20"/>
      <c r="P68" s="31"/>
      <c r="Q68" s="31" t="s">
        <v>136</v>
      </c>
      <c r="R68" s="31" t="s">
        <v>137</v>
      </c>
      <c r="S68" s="20" t="s">
        <v>138</v>
      </c>
      <c r="T68" s="20" t="s">
        <v>139</v>
      </c>
    </row>
    <row r="69" spans="1:20" ht="15.75" x14ac:dyDescent="0.25">
      <c r="A69" s="114"/>
      <c r="B69" s="81"/>
      <c r="C69" s="274"/>
      <c r="D69" s="240"/>
      <c r="E69" s="49"/>
      <c r="F69" s="240"/>
      <c r="G69" s="240"/>
      <c r="H69" s="240"/>
      <c r="I69" s="80"/>
      <c r="J69" s="79"/>
      <c r="K69" s="218"/>
      <c r="L69" s="219"/>
      <c r="M69" s="241"/>
      <c r="N69" s="242"/>
      <c r="O69" s="20"/>
      <c r="P69" s="31"/>
      <c r="Q69" s="283"/>
      <c r="R69" s="283"/>
      <c r="S69" s="283"/>
      <c r="T69" s="283"/>
    </row>
    <row r="70" spans="1:20" ht="15.75" x14ac:dyDescent="0.25">
      <c r="A70" s="85"/>
      <c r="B70" s="81"/>
      <c r="C70" s="274"/>
      <c r="D70" s="240"/>
      <c r="E70" s="49"/>
      <c r="F70" s="240"/>
      <c r="G70" s="240"/>
      <c r="H70" s="240"/>
      <c r="I70" s="80"/>
      <c r="J70" s="79"/>
      <c r="K70" s="218"/>
      <c r="L70" s="219"/>
      <c r="M70" s="241"/>
      <c r="N70" s="242"/>
      <c r="O70" s="20"/>
      <c r="P70" s="31"/>
      <c r="Q70" s="31"/>
      <c r="R70" s="31"/>
      <c r="S70" s="20"/>
      <c r="T70" s="189"/>
    </row>
    <row r="71" spans="1:20" ht="15.75" x14ac:dyDescent="0.25">
      <c r="A71" s="85"/>
      <c r="B71" s="272"/>
      <c r="C71" s="276" t="s">
        <v>118</v>
      </c>
      <c r="D71" s="273"/>
      <c r="E71" s="49"/>
      <c r="F71" s="240"/>
      <c r="G71" s="240"/>
      <c r="H71" s="240"/>
      <c r="I71" s="80"/>
      <c r="J71" s="79"/>
      <c r="K71" s="218"/>
      <c r="L71" s="219"/>
      <c r="M71" s="241"/>
      <c r="N71" s="242"/>
      <c r="O71" s="20"/>
      <c r="P71" s="31"/>
      <c r="Q71" s="31"/>
      <c r="R71" s="31"/>
      <c r="S71" s="20"/>
      <c r="T71" s="189"/>
    </row>
    <row r="72" spans="1:20" ht="15.75" x14ac:dyDescent="0.25">
      <c r="A72" s="85"/>
      <c r="B72" s="81"/>
      <c r="C72" s="275" t="s">
        <v>119</v>
      </c>
      <c r="D72" s="240"/>
      <c r="E72" s="49">
        <v>11429</v>
      </c>
      <c r="F72" s="240"/>
      <c r="G72" s="240" t="s">
        <v>120</v>
      </c>
      <c r="H72" s="240" t="s">
        <v>121</v>
      </c>
      <c r="I72" s="80"/>
      <c r="J72" s="79"/>
      <c r="K72" s="218"/>
      <c r="L72" s="219"/>
      <c r="M72" s="241"/>
      <c r="N72" s="242"/>
      <c r="O72" s="20"/>
      <c r="P72" s="31"/>
      <c r="Q72" s="31"/>
      <c r="R72" s="31"/>
      <c r="S72" s="20"/>
      <c r="T72" s="189"/>
    </row>
    <row r="73" spans="1:20" ht="15.75" x14ac:dyDescent="0.25">
      <c r="A73" s="85"/>
      <c r="B73" s="81"/>
      <c r="C73" s="240"/>
      <c r="D73" s="240"/>
      <c r="E73" s="49"/>
      <c r="F73" s="240"/>
      <c r="G73" s="240"/>
      <c r="H73" s="240"/>
      <c r="I73" s="80"/>
      <c r="J73" s="79"/>
      <c r="K73" s="218"/>
      <c r="L73" s="219"/>
      <c r="M73" s="241"/>
      <c r="N73" s="242"/>
      <c r="O73" s="20"/>
      <c r="P73" s="31"/>
      <c r="Q73" s="31"/>
      <c r="R73" s="31"/>
      <c r="S73" s="20"/>
      <c r="T73" s="189"/>
    </row>
    <row r="74" spans="1:20" ht="15.75" x14ac:dyDescent="0.25">
      <c r="A74" s="85"/>
      <c r="B74" s="81"/>
      <c r="C74" s="240"/>
      <c r="D74" s="240"/>
      <c r="E74" s="49"/>
      <c r="F74" s="240"/>
      <c r="G74" s="240"/>
      <c r="H74" s="240"/>
      <c r="I74" s="80"/>
      <c r="J74" s="79"/>
      <c r="K74" s="218"/>
      <c r="L74" s="219"/>
      <c r="M74" s="241"/>
      <c r="N74" s="242"/>
      <c r="O74" s="20"/>
      <c r="P74" s="31"/>
      <c r="Q74" s="31"/>
      <c r="R74" s="31"/>
      <c r="S74" s="20"/>
      <c r="T74" s="189"/>
    </row>
    <row r="75" spans="1:20" ht="15.75" x14ac:dyDescent="0.25">
      <c r="A75" s="85"/>
      <c r="B75" s="81"/>
      <c r="C75" s="240"/>
      <c r="D75" s="240"/>
      <c r="E75" s="49"/>
      <c r="F75" s="240"/>
      <c r="G75" s="240"/>
      <c r="H75" s="240"/>
      <c r="I75" s="80">
        <f t="shared" si="6"/>
        <v>0</v>
      </c>
      <c r="J75" s="79"/>
      <c r="K75" s="218"/>
      <c r="L75" s="219"/>
      <c r="M75" s="241"/>
      <c r="N75" s="242"/>
      <c r="O75" s="20"/>
      <c r="P75" s="31"/>
      <c r="Q75" s="31"/>
      <c r="R75" s="31"/>
      <c r="S75" s="20"/>
      <c r="T75" s="189"/>
    </row>
    <row r="76" spans="1:20" ht="15.75" thickBot="1" x14ac:dyDescent="0.3">
      <c r="A76" s="243"/>
      <c r="B76" s="243"/>
      <c r="C76" s="200" t="s">
        <v>88</v>
      </c>
      <c r="D76" s="200">
        <f>SUM(D51:D75)</f>
        <v>10000</v>
      </c>
      <c r="E76" s="200">
        <f>SUM(E51:E75)</f>
        <v>11429</v>
      </c>
      <c r="F76" s="200"/>
      <c r="G76" s="200"/>
      <c r="H76" s="200"/>
      <c r="I76" s="200">
        <f t="shared" si="6"/>
        <v>-1429</v>
      </c>
      <c r="J76" s="201" t="s">
        <v>16</v>
      </c>
      <c r="K76" s="202">
        <f>SUM(K51:K75)</f>
        <v>0</v>
      </c>
      <c r="L76" s="202">
        <f>SUM(L51:L75)</f>
        <v>10000</v>
      </c>
      <c r="M76" s="202">
        <f>SUM(M51:M75)</f>
        <v>0</v>
      </c>
      <c r="N76" s="202">
        <f>SUM(N51:N75)</f>
        <v>0</v>
      </c>
      <c r="O76" s="203"/>
      <c r="P76" s="203"/>
      <c r="Q76" s="203"/>
      <c r="R76" s="203"/>
      <c r="S76" s="203"/>
      <c r="T76" s="189"/>
    </row>
    <row r="77" spans="1:20" ht="16.5" thickTop="1" x14ac:dyDescent="0.25">
      <c r="A77" s="225"/>
      <c r="B77" s="225"/>
      <c r="C77" s="237" t="s">
        <v>89</v>
      </c>
      <c r="D77" s="244"/>
      <c r="E77" s="244"/>
      <c r="F77" s="244"/>
      <c r="G77" s="244"/>
      <c r="H77" s="244"/>
      <c r="I77" s="210"/>
      <c r="J77" s="244"/>
      <c r="K77" s="212"/>
      <c r="L77" s="238"/>
      <c r="M77" s="212"/>
      <c r="N77" s="238"/>
      <c r="O77" s="216"/>
      <c r="P77" s="216"/>
      <c r="Q77" s="216"/>
      <c r="R77" s="216"/>
      <c r="S77" s="239"/>
      <c r="T77" s="189"/>
    </row>
    <row r="78" spans="1:20" ht="15.75" x14ac:dyDescent="0.25">
      <c r="A78" s="85"/>
      <c r="B78" s="81"/>
      <c r="C78" s="73"/>
      <c r="D78" s="240"/>
      <c r="E78" s="59"/>
      <c r="F78" s="59"/>
      <c r="G78" s="59"/>
      <c r="H78" s="59"/>
      <c r="I78" s="80"/>
      <c r="J78" s="245"/>
      <c r="K78" s="218"/>
      <c r="L78" s="219"/>
      <c r="M78" s="246"/>
      <c r="N78" s="242"/>
      <c r="O78" s="20"/>
      <c r="P78" s="31"/>
      <c r="Q78" s="31"/>
      <c r="R78" s="20"/>
      <c r="S78" s="99"/>
      <c r="T78" s="99"/>
    </row>
    <row r="79" spans="1:20" ht="15.75" x14ac:dyDescent="0.25">
      <c r="A79" s="74"/>
      <c r="B79" s="81"/>
      <c r="C79" s="240"/>
      <c r="D79" s="240"/>
      <c r="E79" s="59"/>
      <c r="F79" s="59"/>
      <c r="G79" s="59"/>
      <c r="H79" s="59"/>
      <c r="I79" s="80"/>
      <c r="J79" s="245"/>
      <c r="K79" s="218"/>
      <c r="L79" s="219"/>
      <c r="M79" s="246"/>
      <c r="N79" s="242"/>
      <c r="O79" s="20"/>
      <c r="P79" s="31"/>
      <c r="Q79" s="31"/>
      <c r="R79" s="20"/>
      <c r="S79" s="99"/>
      <c r="T79" s="99"/>
    </row>
    <row r="80" spans="1:20" ht="15.75" x14ac:dyDescent="0.25">
      <c r="A80" s="114"/>
      <c r="B80" s="81"/>
      <c r="C80" s="240"/>
      <c r="D80" s="240"/>
      <c r="E80" s="59"/>
      <c r="F80" s="59"/>
      <c r="G80" s="59"/>
      <c r="H80" s="59"/>
      <c r="I80" s="80"/>
      <c r="J80" s="245"/>
      <c r="K80" s="218"/>
      <c r="L80" s="219"/>
      <c r="M80" s="246"/>
      <c r="N80" s="242"/>
      <c r="O80" s="20"/>
      <c r="P80" s="31"/>
      <c r="Q80" s="31"/>
      <c r="R80" s="20"/>
      <c r="S80" s="99"/>
      <c r="T80" s="189"/>
    </row>
    <row r="81" spans="1:20" ht="15.75" x14ac:dyDescent="0.25">
      <c r="A81" s="114"/>
      <c r="B81" s="81"/>
      <c r="C81" s="189"/>
      <c r="D81" s="240"/>
      <c r="E81" s="59"/>
      <c r="F81" s="59"/>
      <c r="G81" s="59"/>
      <c r="H81" s="59"/>
      <c r="I81" s="80"/>
      <c r="J81" s="245"/>
      <c r="K81" s="218"/>
      <c r="L81" s="219"/>
      <c r="M81" s="246"/>
      <c r="N81" s="242"/>
      <c r="O81" s="20"/>
      <c r="P81" s="31"/>
      <c r="Q81" s="31"/>
      <c r="R81" s="20"/>
      <c r="S81" s="99"/>
      <c r="T81" s="189"/>
    </row>
    <row r="82" spans="1:20" ht="15.75" x14ac:dyDescent="0.25">
      <c r="A82" s="74"/>
      <c r="B82" s="85"/>
      <c r="C82" s="189"/>
      <c r="D82" s="189"/>
      <c r="E82" s="189"/>
      <c r="F82" s="189"/>
      <c r="G82" s="189"/>
      <c r="H82" s="189"/>
      <c r="I82" s="80"/>
      <c r="J82" s="189"/>
      <c r="K82" s="247"/>
      <c r="L82" s="248"/>
      <c r="M82" s="249"/>
      <c r="N82" s="242"/>
      <c r="O82" s="28"/>
      <c r="P82" s="28"/>
      <c r="Q82" s="28"/>
      <c r="R82" s="20"/>
      <c r="S82" s="31"/>
      <c r="T82" s="189"/>
    </row>
    <row r="83" spans="1:20" ht="16.5" thickBot="1" x14ac:dyDescent="0.3">
      <c r="A83" s="235"/>
      <c r="B83" s="250"/>
      <c r="C83" s="200" t="s">
        <v>15</v>
      </c>
      <c r="D83" s="200">
        <f>SUM(D77:D82)</f>
        <v>0</v>
      </c>
      <c r="E83" s="200">
        <f>SUM(E77:E82)</f>
        <v>0</v>
      </c>
      <c r="F83" s="200"/>
      <c r="G83" s="200"/>
      <c r="H83" s="200"/>
      <c r="I83" s="200">
        <f t="shared" ref="I83" si="7">D83-E83</f>
        <v>0</v>
      </c>
      <c r="J83" s="201" t="s">
        <v>16</v>
      </c>
      <c r="K83" s="251">
        <f>SUM(K77:K82)</f>
        <v>0</v>
      </c>
      <c r="L83" s="251">
        <f>SUM(L77:L82)</f>
        <v>0</v>
      </c>
      <c r="M83" s="251">
        <f>SUM(M77:M82)</f>
        <v>0</v>
      </c>
      <c r="N83" s="251">
        <f>SUM(N82:N82)</f>
        <v>0</v>
      </c>
      <c r="O83" s="203"/>
      <c r="P83" s="203"/>
      <c r="Q83" s="203"/>
      <c r="R83" s="203"/>
      <c r="S83" s="252"/>
      <c r="T83" s="189"/>
    </row>
    <row r="84" spans="1:20" ht="16.5" thickTop="1" x14ac:dyDescent="0.25">
      <c r="A84" s="225"/>
      <c r="B84" s="225"/>
      <c r="C84" s="237" t="s">
        <v>158</v>
      </c>
      <c r="D84" s="244"/>
      <c r="E84" s="244"/>
      <c r="F84" s="244"/>
      <c r="G84" s="244"/>
      <c r="H84" s="244"/>
      <c r="I84" s="210"/>
      <c r="J84" s="244"/>
      <c r="K84" s="212"/>
      <c r="L84" s="238"/>
      <c r="M84" s="212"/>
      <c r="N84" s="238"/>
      <c r="O84" s="216"/>
      <c r="P84" s="216"/>
      <c r="Q84" s="216"/>
      <c r="R84" s="216"/>
      <c r="S84" s="239"/>
      <c r="T84" s="189"/>
    </row>
    <row r="85" spans="1:20" ht="15.75" x14ac:dyDescent="0.25">
      <c r="A85" s="114"/>
      <c r="B85" s="81"/>
      <c r="C85" s="189"/>
      <c r="D85" s="240"/>
      <c r="E85" s="59"/>
      <c r="F85" s="59"/>
      <c r="G85" s="59"/>
      <c r="H85" s="59"/>
      <c r="I85" s="80"/>
      <c r="J85" s="245"/>
      <c r="K85" s="218"/>
      <c r="L85" s="219"/>
      <c r="M85" s="246"/>
      <c r="N85" s="242"/>
      <c r="O85" s="20"/>
      <c r="P85" s="31"/>
      <c r="Q85" s="31"/>
      <c r="R85" s="20"/>
      <c r="S85" s="99"/>
      <c r="T85" s="189"/>
    </row>
    <row r="86" spans="1:20" ht="38.25" x14ac:dyDescent="0.25">
      <c r="A86" s="166" t="s">
        <v>2</v>
      </c>
      <c r="B86" s="167" t="s">
        <v>71</v>
      </c>
      <c r="C86" s="46" t="s">
        <v>3</v>
      </c>
      <c r="D86" s="168" t="s">
        <v>30</v>
      </c>
      <c r="E86" s="168" t="s">
        <v>159</v>
      </c>
      <c r="F86" s="46" t="s">
        <v>136</v>
      </c>
      <c r="G86" s="46" t="s">
        <v>160</v>
      </c>
      <c r="H86" s="46"/>
      <c r="I86" s="168"/>
      <c r="J86" s="46" t="s">
        <v>23</v>
      </c>
      <c r="K86" s="169" t="s">
        <v>9</v>
      </c>
      <c r="L86" s="160" t="s">
        <v>31</v>
      </c>
      <c r="M86" s="142" t="s">
        <v>32</v>
      </c>
      <c r="N86" s="56" t="s">
        <v>75</v>
      </c>
      <c r="O86" s="170" t="s">
        <v>76</v>
      </c>
      <c r="P86" s="170" t="s">
        <v>77</v>
      </c>
      <c r="Q86" s="170" t="s">
        <v>78</v>
      </c>
      <c r="R86" s="170" t="s">
        <v>79</v>
      </c>
      <c r="S86" s="170" t="s">
        <v>36</v>
      </c>
      <c r="T86" s="170" t="s">
        <v>98</v>
      </c>
    </row>
    <row r="87" spans="1:20" ht="15.75" x14ac:dyDescent="0.25">
      <c r="A87" s="114" t="s">
        <v>248</v>
      </c>
      <c r="B87" s="81"/>
      <c r="C87" s="73" t="s">
        <v>249</v>
      </c>
      <c r="D87" s="240"/>
      <c r="E87" s="20"/>
      <c r="F87" s="20"/>
      <c r="G87" s="20"/>
      <c r="H87" s="315"/>
      <c r="I87" s="80">
        <f t="shared" ref="I87:I96" si="8">D87-E87</f>
        <v>0</v>
      </c>
      <c r="J87" s="245"/>
      <c r="K87" s="218"/>
      <c r="L87" s="219"/>
      <c r="M87" s="246"/>
      <c r="N87" s="242"/>
      <c r="O87" s="20"/>
      <c r="P87" s="20"/>
      <c r="Q87" s="20"/>
      <c r="R87" s="20"/>
      <c r="S87" s="99"/>
      <c r="T87" s="189"/>
    </row>
    <row r="88" spans="1:20" ht="15.75" x14ac:dyDescent="0.25">
      <c r="A88" s="114" t="s">
        <v>248</v>
      </c>
      <c r="B88" s="81"/>
      <c r="C88" s="73" t="s">
        <v>249</v>
      </c>
      <c r="D88" s="240"/>
      <c r="E88" s="20"/>
      <c r="F88" s="20"/>
      <c r="G88" s="20"/>
      <c r="H88" s="315"/>
      <c r="I88" s="80">
        <f t="shared" si="8"/>
        <v>0</v>
      </c>
      <c r="J88" s="245"/>
      <c r="K88" s="218"/>
      <c r="L88" s="219"/>
      <c r="M88" s="246"/>
      <c r="N88" s="242"/>
      <c r="O88" s="20"/>
      <c r="P88" s="20"/>
      <c r="Q88" s="20"/>
      <c r="R88" s="20"/>
      <c r="S88" s="99"/>
      <c r="T88" s="189"/>
    </row>
    <row r="89" spans="1:20" ht="15.75" x14ac:dyDescent="0.25">
      <c r="A89" s="114" t="s">
        <v>248</v>
      </c>
      <c r="B89" s="81"/>
      <c r="C89" s="73" t="s">
        <v>249</v>
      </c>
      <c r="D89" s="240"/>
      <c r="E89" s="20"/>
      <c r="F89" s="20"/>
      <c r="G89" s="20"/>
      <c r="H89" s="315"/>
      <c r="I89" s="80">
        <f t="shared" si="8"/>
        <v>0</v>
      </c>
      <c r="J89" s="245"/>
      <c r="K89" s="218"/>
      <c r="L89" s="219"/>
      <c r="M89" s="246"/>
      <c r="N89" s="242"/>
      <c r="O89" s="20"/>
      <c r="P89" s="20"/>
      <c r="Q89" s="20"/>
      <c r="R89" s="20"/>
      <c r="S89" s="99"/>
      <c r="T89" s="189"/>
    </row>
    <row r="90" spans="1:20" ht="15.75" x14ac:dyDescent="0.25">
      <c r="A90" s="114" t="s">
        <v>248</v>
      </c>
      <c r="B90" s="81"/>
      <c r="C90" s="73" t="s">
        <v>249</v>
      </c>
      <c r="D90" s="240"/>
      <c r="E90" s="20"/>
      <c r="F90" s="20"/>
      <c r="G90" s="20"/>
      <c r="H90" s="286"/>
      <c r="I90" s="80">
        <f t="shared" si="8"/>
        <v>0</v>
      </c>
      <c r="J90" s="245"/>
      <c r="K90" s="218"/>
      <c r="L90" s="219"/>
      <c r="M90" s="246"/>
      <c r="N90" s="242"/>
      <c r="O90" s="20"/>
      <c r="P90" s="20"/>
      <c r="Q90" s="20"/>
      <c r="R90" s="20"/>
      <c r="S90" s="99"/>
      <c r="T90" s="189"/>
    </row>
    <row r="91" spans="1:20" ht="15.75" x14ac:dyDescent="0.25">
      <c r="A91" s="114" t="s">
        <v>248</v>
      </c>
      <c r="B91" s="81"/>
      <c r="C91" s="73" t="s">
        <v>249</v>
      </c>
      <c r="D91" s="240"/>
      <c r="E91" s="20"/>
      <c r="F91" s="20"/>
      <c r="G91" s="20"/>
      <c r="H91" s="286"/>
      <c r="I91" s="80">
        <f t="shared" si="8"/>
        <v>0</v>
      </c>
      <c r="J91" s="245"/>
      <c r="K91" s="218"/>
      <c r="L91" s="219"/>
      <c r="M91" s="246"/>
      <c r="N91" s="242"/>
      <c r="O91" s="20"/>
      <c r="P91" s="20"/>
      <c r="Q91" s="20"/>
      <c r="R91" s="20"/>
      <c r="S91" s="99"/>
      <c r="T91" s="189"/>
    </row>
    <row r="92" spans="1:20" ht="15.75" x14ac:dyDescent="0.25">
      <c r="A92" s="114" t="s">
        <v>248</v>
      </c>
      <c r="B92" s="81"/>
      <c r="C92" s="73" t="s">
        <v>249</v>
      </c>
      <c r="D92" s="73"/>
      <c r="E92" s="20"/>
      <c r="F92" s="20"/>
      <c r="G92" s="20"/>
      <c r="H92" s="286"/>
      <c r="I92" s="80">
        <f t="shared" si="8"/>
        <v>0</v>
      </c>
      <c r="J92" s="245"/>
      <c r="K92" s="218"/>
      <c r="L92" s="219"/>
      <c r="M92" s="246"/>
      <c r="N92" s="242"/>
      <c r="O92" s="20"/>
      <c r="P92" s="20"/>
      <c r="Q92" s="20"/>
      <c r="R92" s="20"/>
      <c r="S92" s="99"/>
      <c r="T92" s="189"/>
    </row>
    <row r="93" spans="1:20" ht="15.75" x14ac:dyDescent="0.25">
      <c r="A93" s="114" t="s">
        <v>248</v>
      </c>
      <c r="B93" s="81"/>
      <c r="C93" s="73" t="s">
        <v>249</v>
      </c>
      <c r="D93" s="73"/>
      <c r="E93" s="20"/>
      <c r="F93" s="20"/>
      <c r="G93" s="20"/>
      <c r="H93" s="286"/>
      <c r="I93" s="80">
        <f t="shared" si="8"/>
        <v>0</v>
      </c>
      <c r="J93" s="245"/>
      <c r="K93" s="218"/>
      <c r="L93" s="219"/>
      <c r="M93" s="246"/>
      <c r="N93" s="242"/>
      <c r="O93" s="20"/>
      <c r="P93" s="20"/>
      <c r="Q93" s="20"/>
      <c r="R93" s="20"/>
      <c r="S93" s="99"/>
      <c r="T93" s="189"/>
    </row>
    <row r="94" spans="1:20" ht="15.75" x14ac:dyDescent="0.25">
      <c r="A94" s="114" t="s">
        <v>248</v>
      </c>
      <c r="B94" s="81"/>
      <c r="C94" s="73" t="s">
        <v>249</v>
      </c>
      <c r="D94" s="73"/>
      <c r="E94" s="20"/>
      <c r="F94" s="20"/>
      <c r="G94" s="20"/>
      <c r="H94" s="286"/>
      <c r="I94" s="80">
        <f t="shared" si="8"/>
        <v>0</v>
      </c>
      <c r="J94" s="245"/>
      <c r="K94" s="218"/>
      <c r="L94" s="219"/>
      <c r="M94" s="246"/>
      <c r="N94" s="242"/>
      <c r="O94" s="20"/>
      <c r="P94" s="20"/>
      <c r="Q94" s="20"/>
      <c r="R94" s="20"/>
      <c r="S94" s="99"/>
      <c r="T94" s="189"/>
    </row>
    <row r="95" spans="1:20" ht="15.75" x14ac:dyDescent="0.25">
      <c r="A95" s="114" t="s">
        <v>248</v>
      </c>
      <c r="B95" s="81"/>
      <c r="C95" s="73" t="s">
        <v>249</v>
      </c>
      <c r="D95" s="73"/>
      <c r="E95" s="20"/>
      <c r="F95" s="20"/>
      <c r="G95" s="20"/>
      <c r="H95" s="286"/>
      <c r="I95" s="80">
        <f t="shared" si="8"/>
        <v>0</v>
      </c>
      <c r="J95" s="245"/>
      <c r="K95" s="218"/>
      <c r="L95" s="219"/>
      <c r="M95" s="246"/>
      <c r="N95" s="242"/>
      <c r="O95" s="20"/>
      <c r="P95" s="20"/>
      <c r="Q95" s="20"/>
      <c r="R95" s="20"/>
      <c r="S95" s="99"/>
      <c r="T95" s="189"/>
    </row>
    <row r="96" spans="1:20" ht="15.75" x14ac:dyDescent="0.25">
      <c r="A96" s="114" t="s">
        <v>248</v>
      </c>
      <c r="B96" s="81"/>
      <c r="C96" s="73" t="s">
        <v>249</v>
      </c>
      <c r="D96" s="73"/>
      <c r="E96" s="20"/>
      <c r="F96" s="20"/>
      <c r="G96" s="20"/>
      <c r="H96" s="286"/>
      <c r="I96" s="80">
        <f t="shared" si="8"/>
        <v>0</v>
      </c>
      <c r="J96" s="245"/>
      <c r="K96" s="218"/>
      <c r="L96" s="219"/>
      <c r="M96" s="246"/>
      <c r="N96" s="242"/>
      <c r="O96" s="20"/>
      <c r="P96" s="20"/>
      <c r="Q96" s="20"/>
      <c r="R96" s="20"/>
      <c r="S96" s="99"/>
      <c r="T96" s="189"/>
    </row>
    <row r="97" spans="1:20" ht="15.75" x14ac:dyDescent="0.25">
      <c r="A97" s="114"/>
      <c r="B97" s="81"/>
      <c r="C97" s="240"/>
      <c r="D97" s="73"/>
      <c r="E97" s="20"/>
      <c r="F97" s="20"/>
      <c r="G97" s="20"/>
      <c r="H97" s="286"/>
      <c r="I97" s="80"/>
      <c r="J97" s="245"/>
      <c r="K97" s="218"/>
      <c r="L97" s="219"/>
      <c r="M97" s="246"/>
      <c r="N97" s="242"/>
      <c r="O97" s="20"/>
      <c r="P97" s="20"/>
      <c r="Q97" s="20"/>
      <c r="R97" s="20"/>
      <c r="S97" s="99"/>
      <c r="T97" s="189"/>
    </row>
    <row r="98" spans="1:20" ht="15.75" x14ac:dyDescent="0.25">
      <c r="A98" s="114"/>
      <c r="B98" s="81"/>
      <c r="C98" s="240"/>
      <c r="D98" s="73"/>
      <c r="E98" s="20"/>
      <c r="F98" s="20"/>
      <c r="G98" s="20"/>
      <c r="H98" s="286"/>
      <c r="I98" s="80"/>
      <c r="J98" s="245"/>
      <c r="K98" s="218"/>
      <c r="L98" s="219"/>
      <c r="M98" s="246"/>
      <c r="N98" s="242"/>
      <c r="O98" s="20"/>
      <c r="P98" s="20"/>
      <c r="Q98" s="20"/>
      <c r="R98" s="20"/>
      <c r="S98" s="99"/>
      <c r="T98" s="189"/>
    </row>
    <row r="99" spans="1:20" ht="15.75" x14ac:dyDescent="0.25">
      <c r="A99" s="114"/>
      <c r="B99" s="81"/>
      <c r="C99" s="240"/>
      <c r="D99" s="73"/>
      <c r="E99" s="20"/>
      <c r="F99" s="20"/>
      <c r="G99" s="20"/>
      <c r="H99" s="286"/>
      <c r="I99" s="80"/>
      <c r="J99" s="245"/>
      <c r="K99" s="218"/>
      <c r="L99" s="219"/>
      <c r="M99" s="246"/>
      <c r="N99" s="242"/>
      <c r="O99" s="20"/>
      <c r="P99" s="20"/>
      <c r="Q99" s="20"/>
      <c r="R99" s="20"/>
      <c r="S99" s="99"/>
      <c r="T99" s="189"/>
    </row>
    <row r="100" spans="1:20" ht="15.75" x14ac:dyDescent="0.25">
      <c r="A100" s="114"/>
      <c r="B100" s="81"/>
      <c r="C100" s="240"/>
      <c r="D100" s="240"/>
      <c r="E100" s="20"/>
      <c r="F100" s="20"/>
      <c r="G100" s="20"/>
      <c r="H100" s="286"/>
      <c r="I100" s="80"/>
      <c r="J100" s="245"/>
      <c r="K100" s="218"/>
      <c r="L100" s="219"/>
      <c r="M100" s="246"/>
      <c r="N100" s="242"/>
      <c r="O100" s="20"/>
      <c r="P100" s="20"/>
      <c r="Q100" s="20"/>
      <c r="R100" s="20"/>
      <c r="S100" s="99"/>
      <c r="T100" s="189"/>
    </row>
    <row r="101" spans="1:20" ht="15.75" x14ac:dyDescent="0.25">
      <c r="A101" s="114"/>
      <c r="B101" s="81"/>
      <c r="C101" s="240"/>
      <c r="D101" s="240"/>
      <c r="E101" s="20"/>
      <c r="F101" s="20"/>
      <c r="G101" s="20"/>
      <c r="H101" s="286"/>
      <c r="I101" s="80"/>
      <c r="J101" s="245"/>
      <c r="K101" s="218"/>
      <c r="L101" s="219"/>
      <c r="M101" s="246"/>
      <c r="N101" s="242"/>
      <c r="O101" s="20"/>
      <c r="P101" s="20"/>
      <c r="Q101" s="20"/>
      <c r="R101" s="20"/>
      <c r="S101" s="99"/>
      <c r="T101" s="189"/>
    </row>
    <row r="102" spans="1:20" ht="15.75" x14ac:dyDescent="0.25">
      <c r="A102" s="114"/>
      <c r="B102" s="81"/>
      <c r="C102" s="240"/>
      <c r="D102" s="240"/>
      <c r="E102" s="20"/>
      <c r="F102" s="20"/>
      <c r="G102" s="20"/>
      <c r="H102" s="286"/>
      <c r="I102" s="80"/>
      <c r="J102" s="245"/>
      <c r="K102" s="218"/>
      <c r="L102" s="219"/>
      <c r="M102" s="246"/>
      <c r="N102" s="242"/>
      <c r="O102" s="20"/>
      <c r="P102" s="20"/>
      <c r="Q102" s="20"/>
      <c r="R102" s="20"/>
      <c r="S102" s="99"/>
      <c r="T102" s="189"/>
    </row>
    <row r="103" spans="1:20" ht="16.5" thickBot="1" x14ac:dyDescent="0.3">
      <c r="A103" s="235"/>
      <c r="B103" s="250"/>
      <c r="C103" s="200" t="s">
        <v>15</v>
      </c>
      <c r="D103" s="200">
        <f>SUM(D87:D102)</f>
        <v>0</v>
      </c>
      <c r="E103" s="200"/>
      <c r="F103" s="200"/>
      <c r="G103" s="200"/>
      <c r="H103" s="200"/>
      <c r="I103" s="200">
        <f t="shared" ref="I103" si="9">D103-E103</f>
        <v>0</v>
      </c>
      <c r="J103" s="201" t="s">
        <v>16</v>
      </c>
      <c r="K103" s="251">
        <f>SUM(K79:K102)</f>
        <v>0</v>
      </c>
      <c r="L103" s="251">
        <f>SUM(L87:L102)</f>
        <v>0</v>
      </c>
      <c r="M103" s="251">
        <f>SUM(M87:M102)</f>
        <v>0</v>
      </c>
      <c r="N103" s="251">
        <f>SUM(N102:N102)</f>
        <v>0</v>
      </c>
      <c r="O103" s="203"/>
      <c r="P103" s="203"/>
      <c r="Q103" s="203"/>
      <c r="R103" s="203"/>
      <c r="S103" s="252"/>
      <c r="T103" s="189"/>
    </row>
    <row r="104" spans="1:20" ht="16.5" thickTop="1" x14ac:dyDescent="0.25">
      <c r="A104" s="74"/>
      <c r="B104" s="74"/>
      <c r="C104" s="165" t="s">
        <v>90</v>
      </c>
      <c r="D104" s="44">
        <f>D12+D19+D50+D76+D83+D103</f>
        <v>21380</v>
      </c>
      <c r="E104" s="44"/>
      <c r="F104" s="41"/>
      <c r="G104" s="41"/>
      <c r="H104" s="41"/>
      <c r="I104" s="44">
        <f>D104-E104</f>
        <v>21380</v>
      </c>
      <c r="J104" s="42" t="s">
        <v>16</v>
      </c>
      <c r="K104" s="44">
        <f>K12+K19+K50+K76+K83</f>
        <v>0</v>
      </c>
      <c r="L104" s="41">
        <f>L12+L19+L50+L76+L83+L103</f>
        <v>20680</v>
      </c>
      <c r="M104" s="44">
        <f>M12+M19+M50+M76+M83+M103</f>
        <v>700</v>
      </c>
      <c r="N104" s="41">
        <f>N12+N19+N50+N76</f>
        <v>0</v>
      </c>
      <c r="O104" s="253"/>
      <c r="P104" s="253"/>
      <c r="Q104" s="253"/>
      <c r="R104" s="253"/>
      <c r="S104" s="254"/>
      <c r="T104" s="189"/>
    </row>
    <row r="105" spans="1:20" x14ac:dyDescent="0.25">
      <c r="O105" s="255"/>
      <c r="P105" s="255"/>
      <c r="Q105" s="255"/>
      <c r="R105" s="255"/>
    </row>
    <row r="106" spans="1:20" ht="18" x14ac:dyDescent="0.25">
      <c r="C106" s="43"/>
      <c r="J106" s="44" t="s">
        <v>20</v>
      </c>
      <c r="K106" s="44">
        <f>D104-K104-L104-M104</f>
        <v>0</v>
      </c>
    </row>
  </sheetData>
  <mergeCells count="3">
    <mergeCell ref="A1:B1"/>
    <mergeCell ref="E1:I1"/>
    <mergeCell ref="J1:T1"/>
  </mergeCells>
  <phoneticPr fontId="15" type="noConversion"/>
  <pageMargins left="0.7" right="0.7" top="0.75" bottom="0.75" header="0.3" footer="0.3"/>
  <pageSetup paperSize="9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C30B-60FE-4803-A34A-FC87DD6C3347}">
  <sheetPr codeName="Foglio4"/>
  <dimension ref="A1:U81"/>
  <sheetViews>
    <sheetView topLeftCell="A29" workbookViewId="0">
      <selection activeCell="D1" sqref="D1"/>
    </sheetView>
  </sheetViews>
  <sheetFormatPr defaultRowHeight="15" x14ac:dyDescent="0.25"/>
  <cols>
    <col min="1" max="1" width="12.28515625" customWidth="1"/>
    <col min="2" max="3" width="12" customWidth="1"/>
    <col min="4" max="4" width="33.140625" customWidth="1"/>
    <col min="5" max="5" width="21" customWidth="1"/>
    <col min="6" max="6" width="14.42578125" customWidth="1"/>
    <col min="7" max="7" width="13.85546875" customWidth="1"/>
    <col min="8" max="8" width="13.7109375" customWidth="1"/>
    <col min="9" max="9" width="12.7109375" customWidth="1"/>
    <col min="10" max="10" width="12.140625" customWidth="1"/>
    <col min="11" max="11" width="18.7109375" customWidth="1"/>
    <col min="12" max="12" width="10.7109375" customWidth="1"/>
    <col min="13" max="13" width="10.5703125" customWidth="1"/>
    <col min="14" max="14" width="11.140625" customWidth="1"/>
    <col min="15" max="15" width="10.85546875" customWidth="1"/>
  </cols>
  <sheetData>
    <row r="1" spans="1:21" ht="27" thickBot="1" x14ac:dyDescent="0.45">
      <c r="A1" s="332" t="s">
        <v>0</v>
      </c>
      <c r="B1" s="332"/>
      <c r="C1" s="332"/>
      <c r="D1" s="1">
        <v>46202</v>
      </c>
      <c r="E1" s="2"/>
      <c r="F1" s="3"/>
      <c r="G1" s="333" t="s">
        <v>52</v>
      </c>
      <c r="H1" s="334"/>
      <c r="I1" s="334"/>
      <c r="J1" s="334"/>
      <c r="K1" s="334"/>
      <c r="L1" s="334"/>
      <c r="M1" s="334"/>
      <c r="N1" s="356"/>
    </row>
    <row r="2" spans="1:21" ht="15.75" thickTop="1" x14ac:dyDescent="0.25">
      <c r="A2" s="4"/>
      <c r="B2" s="4"/>
      <c r="C2" s="4"/>
      <c r="D2" s="4"/>
      <c r="E2" s="5"/>
    </row>
    <row r="3" spans="1:21" ht="51" customHeight="1" x14ac:dyDescent="0.25">
      <c r="A3" s="6" t="s">
        <v>2</v>
      </c>
      <c r="B3" s="77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60" t="s">
        <v>31</v>
      </c>
      <c r="N3" s="142" t="s">
        <v>32</v>
      </c>
      <c r="O3" s="56" t="s">
        <v>41</v>
      </c>
      <c r="P3" s="12" t="s">
        <v>10</v>
      </c>
      <c r="Q3" s="12" t="s">
        <v>11</v>
      </c>
      <c r="R3" s="12" t="s">
        <v>12</v>
      </c>
      <c r="S3" s="12" t="s">
        <v>13</v>
      </c>
      <c r="T3" s="70" t="s">
        <v>36</v>
      </c>
      <c r="U3" s="144"/>
    </row>
    <row r="4" spans="1:21" x14ac:dyDescent="0.25">
      <c r="A4" s="114" t="s">
        <v>145</v>
      </c>
      <c r="B4" s="74" t="s">
        <v>110</v>
      </c>
      <c r="C4" s="83" t="s">
        <v>146</v>
      </c>
      <c r="D4" s="76" t="s">
        <v>107</v>
      </c>
      <c r="E4" s="76" t="s">
        <v>14</v>
      </c>
      <c r="F4" s="100">
        <v>1000</v>
      </c>
      <c r="G4" s="80"/>
      <c r="H4" s="80"/>
      <c r="I4" s="80"/>
      <c r="J4" s="80">
        <f t="shared" ref="J4:J11" si="0">F4-G4</f>
        <v>1000</v>
      </c>
      <c r="K4" s="76" t="s">
        <v>60</v>
      </c>
      <c r="L4" s="65"/>
      <c r="M4" s="147"/>
      <c r="N4" s="268">
        <v>1000</v>
      </c>
      <c r="O4" s="148"/>
      <c r="P4" s="18">
        <v>1E-3</v>
      </c>
      <c r="Q4" s="20">
        <v>0.01</v>
      </c>
      <c r="R4" s="20">
        <v>4.3299999999999998E-2</v>
      </c>
      <c r="S4" s="18">
        <v>0</v>
      </c>
      <c r="T4" s="14">
        <v>0</v>
      </c>
      <c r="U4" s="125"/>
    </row>
    <row r="5" spans="1:21" ht="29.25" x14ac:dyDescent="0.25">
      <c r="A5" s="85" t="s">
        <v>150</v>
      </c>
      <c r="B5" s="81" t="s">
        <v>151</v>
      </c>
      <c r="C5" s="287" t="s">
        <v>152</v>
      </c>
      <c r="D5" s="76" t="s">
        <v>107</v>
      </c>
      <c r="E5" s="76" t="s">
        <v>14</v>
      </c>
      <c r="F5" s="100"/>
      <c r="G5" s="80"/>
      <c r="H5" s="80" t="s">
        <v>250</v>
      </c>
      <c r="I5" s="80"/>
      <c r="J5" s="80">
        <f t="shared" si="0"/>
        <v>0</v>
      </c>
      <c r="K5" s="76" t="s">
        <v>60</v>
      </c>
      <c r="L5" s="65"/>
      <c r="M5" s="147"/>
      <c r="N5" s="268"/>
      <c r="O5" s="148"/>
      <c r="P5" s="18">
        <v>0</v>
      </c>
      <c r="Q5" s="20">
        <v>6.6E-3</v>
      </c>
      <c r="R5" s="20">
        <v>0.05</v>
      </c>
      <c r="S5" s="18">
        <v>0</v>
      </c>
      <c r="T5" s="14">
        <v>0</v>
      </c>
      <c r="U5" s="125"/>
    </row>
    <row r="6" spans="1:21" x14ac:dyDescent="0.25">
      <c r="A6" s="85" t="s">
        <v>150</v>
      </c>
      <c r="B6" s="81" t="s">
        <v>151</v>
      </c>
      <c r="C6" s="287" t="s">
        <v>152</v>
      </c>
      <c r="D6" s="76" t="s">
        <v>107</v>
      </c>
      <c r="E6" s="76" t="s">
        <v>14</v>
      </c>
      <c r="F6" s="100">
        <v>1000</v>
      </c>
      <c r="G6" s="80"/>
      <c r="H6" s="80"/>
      <c r="I6" s="80"/>
      <c r="J6" s="80">
        <f t="shared" si="0"/>
        <v>1000</v>
      </c>
      <c r="K6" s="76" t="s">
        <v>61</v>
      </c>
      <c r="L6" s="65"/>
      <c r="M6" s="147"/>
      <c r="N6" s="268">
        <v>1000</v>
      </c>
      <c r="O6" s="148"/>
      <c r="P6" s="18">
        <v>1E-3</v>
      </c>
      <c r="Q6" s="20">
        <v>0.03</v>
      </c>
      <c r="R6" s="20">
        <v>3.6600000000000001E-2</v>
      </c>
      <c r="S6" s="18">
        <v>0</v>
      </c>
      <c r="T6" s="14">
        <v>0</v>
      </c>
      <c r="U6" s="125"/>
    </row>
    <row r="7" spans="1:21" x14ac:dyDescent="0.25">
      <c r="A7" s="85" t="s">
        <v>161</v>
      </c>
      <c r="B7" s="81" t="s">
        <v>151</v>
      </c>
      <c r="C7" s="287" t="s">
        <v>162</v>
      </c>
      <c r="D7" s="76" t="s">
        <v>107</v>
      </c>
      <c r="E7" s="76" t="s">
        <v>14</v>
      </c>
      <c r="F7" s="100">
        <v>1000</v>
      </c>
      <c r="G7" s="80"/>
      <c r="H7" s="80"/>
      <c r="I7" s="80"/>
      <c r="J7" s="80">
        <f t="shared" si="0"/>
        <v>1000</v>
      </c>
      <c r="K7" s="76" t="s">
        <v>60</v>
      </c>
      <c r="L7" s="65"/>
      <c r="M7" s="147"/>
      <c r="N7" s="268">
        <v>1000</v>
      </c>
      <c r="O7" s="148"/>
      <c r="P7" s="18">
        <v>1E-3</v>
      </c>
      <c r="Q7" s="20">
        <v>0.02</v>
      </c>
      <c r="R7" s="20">
        <v>5.33E-2</v>
      </c>
      <c r="S7" s="18">
        <v>0</v>
      </c>
      <c r="T7" s="14">
        <v>0</v>
      </c>
      <c r="U7" s="125"/>
    </row>
    <row r="8" spans="1:21" x14ac:dyDescent="0.25">
      <c r="A8" s="85" t="s">
        <v>161</v>
      </c>
      <c r="B8" s="81" t="s">
        <v>151</v>
      </c>
      <c r="C8" s="287" t="s">
        <v>162</v>
      </c>
      <c r="D8" s="76" t="s">
        <v>107</v>
      </c>
      <c r="E8" s="76" t="s">
        <v>14</v>
      </c>
      <c r="F8" s="100">
        <v>1000</v>
      </c>
      <c r="G8" s="80"/>
      <c r="H8" s="80"/>
      <c r="I8" s="80"/>
      <c r="J8" s="80">
        <f t="shared" si="0"/>
        <v>1000</v>
      </c>
      <c r="K8" s="76" t="s">
        <v>61</v>
      </c>
      <c r="L8" s="65"/>
      <c r="M8" s="147"/>
      <c r="N8" s="268">
        <v>1000</v>
      </c>
      <c r="O8" s="148"/>
      <c r="P8" s="18">
        <v>1E-3</v>
      </c>
      <c r="Q8" s="20">
        <v>1.66E-2</v>
      </c>
      <c r="R8" s="20">
        <v>0.05</v>
      </c>
      <c r="S8" s="18">
        <v>0</v>
      </c>
      <c r="T8" s="14">
        <v>0</v>
      </c>
      <c r="U8" s="125"/>
    </row>
    <row r="9" spans="1:21" x14ac:dyDescent="0.25">
      <c r="A9" s="85" t="s">
        <v>161</v>
      </c>
      <c r="B9" s="81" t="s">
        <v>151</v>
      </c>
      <c r="C9" s="287" t="s">
        <v>162</v>
      </c>
      <c r="D9" s="76" t="s">
        <v>107</v>
      </c>
      <c r="E9" s="76" t="s">
        <v>14</v>
      </c>
      <c r="F9" s="100">
        <v>1000</v>
      </c>
      <c r="G9" s="80"/>
      <c r="H9" s="80"/>
      <c r="I9" s="80"/>
      <c r="J9" s="80">
        <f t="shared" si="0"/>
        <v>1000</v>
      </c>
      <c r="K9" s="76" t="s">
        <v>63</v>
      </c>
      <c r="L9" s="65"/>
      <c r="M9" s="147"/>
      <c r="N9" s="268">
        <v>1000</v>
      </c>
      <c r="O9" s="148"/>
      <c r="P9" s="18">
        <v>2E-3</v>
      </c>
      <c r="Q9" s="20">
        <v>2.3300000000000001E-2</v>
      </c>
      <c r="R9" s="20">
        <v>6.6600000000000006E-2</v>
      </c>
      <c r="S9" s="18">
        <v>0</v>
      </c>
      <c r="T9" s="14">
        <v>0</v>
      </c>
      <c r="U9" s="125"/>
    </row>
    <row r="10" spans="1:21" x14ac:dyDescent="0.25">
      <c r="A10" s="85" t="s">
        <v>161</v>
      </c>
      <c r="B10" s="81" t="s">
        <v>151</v>
      </c>
      <c r="C10" s="287" t="s">
        <v>162</v>
      </c>
      <c r="D10" s="76" t="s">
        <v>107</v>
      </c>
      <c r="E10" s="76" t="s">
        <v>14</v>
      </c>
      <c r="F10" s="100">
        <v>1000</v>
      </c>
      <c r="G10" s="80"/>
      <c r="H10" s="80"/>
      <c r="I10" s="80"/>
      <c r="J10" s="80">
        <f t="shared" si="0"/>
        <v>1000</v>
      </c>
      <c r="K10" s="76" t="s">
        <v>64</v>
      </c>
      <c r="L10" s="65"/>
      <c r="M10" s="147"/>
      <c r="N10" s="268">
        <v>1000</v>
      </c>
      <c r="O10" s="148"/>
      <c r="P10" s="18">
        <v>2E-3</v>
      </c>
      <c r="Q10" s="20">
        <v>1.66E-2</v>
      </c>
      <c r="R10" s="20">
        <v>4.6600000000000003E-2</v>
      </c>
      <c r="S10" s="18">
        <v>0</v>
      </c>
      <c r="T10" s="14">
        <v>0</v>
      </c>
      <c r="U10" s="125"/>
    </row>
    <row r="11" spans="1:21" x14ac:dyDescent="0.25">
      <c r="A11" s="85" t="s">
        <v>161</v>
      </c>
      <c r="B11" s="81" t="s">
        <v>151</v>
      </c>
      <c r="C11" s="287" t="s">
        <v>162</v>
      </c>
      <c r="D11" s="76" t="s">
        <v>107</v>
      </c>
      <c r="E11" s="76" t="s">
        <v>14</v>
      </c>
      <c r="F11" s="100">
        <v>1000</v>
      </c>
      <c r="G11" s="80"/>
      <c r="H11" s="80"/>
      <c r="I11" s="80"/>
      <c r="J11" s="80">
        <f t="shared" si="0"/>
        <v>1000</v>
      </c>
      <c r="K11" s="76" t="s">
        <v>65</v>
      </c>
      <c r="L11" s="65"/>
      <c r="M11" s="146"/>
      <c r="N11" s="268">
        <v>1000</v>
      </c>
      <c r="O11" s="55"/>
      <c r="P11" s="18">
        <v>0</v>
      </c>
      <c r="Q11" s="20">
        <v>6.6E-3</v>
      </c>
      <c r="R11" s="20">
        <v>4.3299999999999998E-2</v>
      </c>
      <c r="S11" s="18">
        <v>0</v>
      </c>
      <c r="T11" s="14">
        <v>0</v>
      </c>
      <c r="U11" s="125"/>
    </row>
    <row r="12" spans="1:21" x14ac:dyDescent="0.25">
      <c r="A12" s="21"/>
      <c r="B12" s="78"/>
      <c r="C12" s="102"/>
      <c r="D12" s="22" t="s">
        <v>21</v>
      </c>
      <c r="E12" s="103"/>
      <c r="F12" s="104"/>
      <c r="G12" s="104"/>
      <c r="H12" s="104"/>
      <c r="I12" s="104"/>
      <c r="J12" s="104"/>
      <c r="K12" s="23"/>
      <c r="L12" s="16"/>
      <c r="M12" s="149"/>
      <c r="N12" s="17"/>
      <c r="O12" s="55"/>
      <c r="P12" s="18"/>
      <c r="Q12" s="19"/>
      <c r="R12" s="19"/>
      <c r="S12" s="19"/>
      <c r="T12" s="14"/>
      <c r="U12" s="125"/>
    </row>
    <row r="13" spans="1:21" x14ac:dyDescent="0.25">
      <c r="A13" s="21"/>
      <c r="B13" s="78"/>
      <c r="C13" s="102"/>
      <c r="D13" s="22"/>
      <c r="E13" s="103"/>
      <c r="F13" s="104"/>
      <c r="G13" s="104"/>
      <c r="H13" s="104"/>
      <c r="I13" s="104"/>
      <c r="J13" s="104"/>
      <c r="K13" s="23"/>
      <c r="L13" s="16"/>
      <c r="M13" s="149"/>
      <c r="N13" s="17"/>
      <c r="O13" s="55"/>
      <c r="P13" s="18"/>
      <c r="Q13" s="19"/>
      <c r="R13" s="19"/>
      <c r="S13" s="19"/>
      <c r="T13" s="14"/>
      <c r="U13" s="125"/>
    </row>
    <row r="14" spans="1:21" x14ac:dyDescent="0.25">
      <c r="A14" s="118"/>
      <c r="B14" s="102"/>
      <c r="C14" s="105"/>
      <c r="D14" s="106"/>
      <c r="E14" s="126"/>
      <c r="F14" s="104"/>
      <c r="G14" s="104"/>
      <c r="H14" s="104"/>
      <c r="I14" s="104"/>
      <c r="J14" s="104"/>
      <c r="K14" s="23"/>
      <c r="L14" s="24"/>
      <c r="M14" s="149"/>
      <c r="N14" s="17"/>
      <c r="O14" s="55"/>
      <c r="P14" s="14"/>
      <c r="Q14" s="14"/>
      <c r="R14" s="14"/>
      <c r="S14" s="14"/>
      <c r="T14" s="14"/>
      <c r="U14" s="125"/>
    </row>
    <row r="15" spans="1:21" x14ac:dyDescent="0.25">
      <c r="A15" s="118"/>
      <c r="B15" s="118"/>
      <c r="C15" s="105"/>
      <c r="D15" s="106"/>
      <c r="E15" s="103"/>
      <c r="F15" s="104"/>
      <c r="G15" s="104"/>
      <c r="H15" s="104"/>
      <c r="I15" s="104"/>
      <c r="J15" s="104"/>
      <c r="K15" s="23"/>
      <c r="L15" s="24"/>
      <c r="M15" s="149"/>
      <c r="N15" s="17"/>
      <c r="O15" s="55"/>
      <c r="P15" s="14"/>
      <c r="Q15" s="14"/>
      <c r="R15" s="14"/>
      <c r="S15" s="14"/>
      <c r="T15" s="14"/>
      <c r="U15" s="125"/>
    </row>
    <row r="16" spans="1:21" x14ac:dyDescent="0.25">
      <c r="A16" s="118"/>
      <c r="B16" s="118"/>
      <c r="C16" s="105"/>
      <c r="D16" s="106"/>
      <c r="E16" s="103"/>
      <c r="F16" s="104"/>
      <c r="G16" s="104"/>
      <c r="H16" s="104"/>
      <c r="I16" s="104"/>
      <c r="J16" s="104"/>
      <c r="K16" s="23"/>
      <c r="L16" s="24"/>
      <c r="M16" s="149"/>
      <c r="N16" s="17"/>
      <c r="O16" s="55"/>
      <c r="P16" s="14"/>
      <c r="Q16" s="14"/>
      <c r="R16" s="14"/>
      <c r="S16" s="14"/>
      <c r="T16" s="14"/>
      <c r="U16" s="125"/>
    </row>
    <row r="17" spans="1:21" x14ac:dyDescent="0.25">
      <c r="A17" s="119"/>
      <c r="B17" s="117"/>
      <c r="C17" s="74"/>
      <c r="D17" s="25" t="s">
        <v>15</v>
      </c>
      <c r="E17" s="53" t="s">
        <v>14</v>
      </c>
      <c r="F17" s="25">
        <f>SUM(F4:F16)</f>
        <v>7000</v>
      </c>
      <c r="G17" s="25">
        <f>SUM(G4:G16)</f>
        <v>0</v>
      </c>
      <c r="H17" s="25"/>
      <c r="I17" s="25"/>
      <c r="J17" s="25">
        <f>F17-G17</f>
        <v>7000</v>
      </c>
      <c r="K17" s="26" t="s">
        <v>16</v>
      </c>
      <c r="L17" s="27">
        <f>SUM(L4:L11)</f>
        <v>0</v>
      </c>
      <c r="M17" s="27">
        <f>SUM(M4:M11)</f>
        <v>0</v>
      </c>
      <c r="N17" s="27">
        <f>SUM(N4:N14)</f>
        <v>7000</v>
      </c>
      <c r="O17" s="27">
        <f>SUM(O4:O11)</f>
        <v>0</v>
      </c>
      <c r="P17" s="28"/>
      <c r="Q17" s="28"/>
      <c r="R17" s="28"/>
      <c r="S17" s="28"/>
      <c r="T17" s="28"/>
      <c r="U17" s="125"/>
    </row>
    <row r="18" spans="1:21" x14ac:dyDescent="0.25">
      <c r="A18" s="114"/>
      <c r="B18" s="83"/>
      <c r="C18" s="83"/>
      <c r="D18" s="76"/>
      <c r="E18" s="76"/>
      <c r="F18" s="271"/>
      <c r="G18" s="74"/>
      <c r="H18" s="74"/>
      <c r="I18" s="74"/>
      <c r="J18" s="80">
        <f t="shared" ref="J18:J22" si="1">F18-G18</f>
        <v>0</v>
      </c>
      <c r="K18" s="76"/>
      <c r="L18" s="65"/>
      <c r="M18" s="146"/>
      <c r="N18" s="268"/>
      <c r="O18" s="101"/>
      <c r="P18" s="20"/>
      <c r="Q18" s="20"/>
      <c r="R18" s="20"/>
      <c r="S18" s="20"/>
      <c r="T18" s="28"/>
      <c r="U18" s="125"/>
    </row>
    <row r="19" spans="1:21" x14ac:dyDescent="0.25">
      <c r="A19" s="114"/>
      <c r="B19" s="83"/>
      <c r="C19" s="83"/>
      <c r="D19" s="76"/>
      <c r="E19" s="76"/>
      <c r="F19" s="271"/>
      <c r="G19" s="74"/>
      <c r="H19" s="74"/>
      <c r="I19" s="74"/>
      <c r="J19" s="80">
        <f t="shared" si="1"/>
        <v>0</v>
      </c>
      <c r="K19" s="76"/>
      <c r="L19" s="65"/>
      <c r="M19" s="146"/>
      <c r="N19" s="268"/>
      <c r="O19" s="101"/>
      <c r="P19" s="20"/>
      <c r="Q19" s="20"/>
      <c r="R19" s="20"/>
      <c r="S19" s="20"/>
      <c r="T19" s="28"/>
      <c r="U19" s="125"/>
    </row>
    <row r="20" spans="1:21" x14ac:dyDescent="0.25">
      <c r="A20" s="114"/>
      <c r="B20" s="83"/>
      <c r="C20" s="83"/>
      <c r="D20" s="76"/>
      <c r="E20" s="76"/>
      <c r="F20" s="271"/>
      <c r="G20" s="74"/>
      <c r="H20" s="74"/>
      <c r="I20" s="74"/>
      <c r="J20" s="80">
        <f t="shared" si="1"/>
        <v>0</v>
      </c>
      <c r="K20" s="76"/>
      <c r="L20" s="65"/>
      <c r="M20" s="146"/>
      <c r="N20" s="268"/>
      <c r="O20" s="101"/>
      <c r="P20" s="20"/>
      <c r="Q20" s="20"/>
      <c r="R20" s="20"/>
      <c r="S20" s="20"/>
      <c r="T20" s="28"/>
      <c r="U20" s="125"/>
    </row>
    <row r="21" spans="1:21" x14ac:dyDescent="0.25">
      <c r="A21" s="114"/>
      <c r="B21" s="83"/>
      <c r="C21" s="83"/>
      <c r="D21" s="76"/>
      <c r="E21" s="76"/>
      <c r="F21" s="271"/>
      <c r="G21" s="74"/>
      <c r="H21" s="74"/>
      <c r="I21" s="74"/>
      <c r="J21" s="80">
        <f t="shared" si="1"/>
        <v>0</v>
      </c>
      <c r="K21" s="76"/>
      <c r="L21" s="65"/>
      <c r="M21" s="146"/>
      <c r="N21" s="268"/>
      <c r="O21" s="101"/>
      <c r="P21" s="20"/>
      <c r="Q21" s="20"/>
      <c r="R21" s="20"/>
      <c r="S21" s="20"/>
      <c r="T21" s="28"/>
      <c r="U21" s="125"/>
    </row>
    <row r="22" spans="1:21" x14ac:dyDescent="0.25">
      <c r="A22" s="114"/>
      <c r="B22" s="83"/>
      <c r="C22" s="83"/>
      <c r="D22" s="76"/>
      <c r="E22" s="76"/>
      <c r="F22" s="271"/>
      <c r="G22" s="74"/>
      <c r="H22" s="74"/>
      <c r="I22" s="74"/>
      <c r="J22" s="80">
        <f t="shared" si="1"/>
        <v>0</v>
      </c>
      <c r="K22" s="76"/>
      <c r="L22" s="65"/>
      <c r="M22" s="146"/>
      <c r="N22" s="268"/>
      <c r="O22" s="101"/>
      <c r="P22" s="20"/>
      <c r="Q22" s="20"/>
      <c r="R22" s="20"/>
      <c r="S22" s="20"/>
      <c r="T22" s="28"/>
      <c r="U22" s="125"/>
    </row>
    <row r="23" spans="1:21" x14ac:dyDescent="0.25">
      <c r="A23" s="120"/>
      <c r="B23" s="82"/>
      <c r="C23" s="32"/>
      <c r="D23" s="33" t="s">
        <v>18</v>
      </c>
      <c r="E23" s="34"/>
      <c r="F23" s="110"/>
      <c r="G23" s="110"/>
      <c r="H23" s="110"/>
      <c r="I23" s="110"/>
      <c r="J23" s="110"/>
      <c r="K23" s="35"/>
      <c r="L23" s="29"/>
      <c r="M23" s="146"/>
      <c r="N23" s="109"/>
      <c r="O23" s="101"/>
      <c r="P23" s="20"/>
      <c r="Q23" s="20"/>
      <c r="R23" s="20"/>
      <c r="S23" s="20"/>
      <c r="T23" s="28"/>
      <c r="U23" s="125"/>
    </row>
    <row r="24" spans="1:21" x14ac:dyDescent="0.25">
      <c r="A24" s="120"/>
      <c r="B24" s="82"/>
      <c r="C24" s="32"/>
      <c r="D24" s="33"/>
      <c r="E24" s="34" t="s">
        <v>124</v>
      </c>
      <c r="F24" s="110"/>
      <c r="G24" s="110"/>
      <c r="H24" s="110" t="s">
        <v>122</v>
      </c>
      <c r="I24" s="110" t="s">
        <v>123</v>
      </c>
      <c r="J24" s="110"/>
      <c r="K24" s="35"/>
      <c r="L24" s="29"/>
      <c r="M24" s="146"/>
      <c r="N24" s="109"/>
      <c r="O24" s="101"/>
      <c r="P24" s="20"/>
      <c r="Q24" s="20"/>
      <c r="R24" s="20"/>
      <c r="S24" s="20"/>
      <c r="T24" s="28"/>
      <c r="U24" s="125"/>
    </row>
    <row r="25" spans="1:21" x14ac:dyDescent="0.25">
      <c r="A25" s="120"/>
      <c r="B25" s="82"/>
      <c r="C25" s="32"/>
      <c r="D25" s="33"/>
      <c r="E25" s="34"/>
      <c r="F25" s="110"/>
      <c r="G25" s="110"/>
      <c r="H25" s="110"/>
      <c r="I25" s="110"/>
      <c r="J25" s="110"/>
      <c r="K25" s="35"/>
      <c r="L25" s="29"/>
      <c r="M25" s="146"/>
      <c r="N25" s="109"/>
      <c r="O25" s="101"/>
      <c r="P25" s="20"/>
      <c r="Q25" s="20"/>
      <c r="R25" s="20"/>
      <c r="S25" s="20"/>
      <c r="T25" s="28"/>
      <c r="U25" s="125"/>
    </row>
    <row r="26" spans="1:21" x14ac:dyDescent="0.25">
      <c r="A26" s="120"/>
      <c r="B26" s="82"/>
      <c r="C26" s="32"/>
      <c r="D26" s="33"/>
      <c r="E26" s="34"/>
      <c r="F26" s="110"/>
      <c r="G26" s="110"/>
      <c r="H26" s="110"/>
      <c r="I26" s="110"/>
      <c r="J26" s="110"/>
      <c r="K26" s="35"/>
      <c r="L26" s="29"/>
      <c r="M26" s="146"/>
      <c r="N26" s="109"/>
      <c r="O26" s="101"/>
      <c r="P26" s="20"/>
      <c r="Q26" s="20"/>
      <c r="R26" s="20"/>
      <c r="S26" s="20"/>
      <c r="T26" s="28"/>
      <c r="U26" s="125"/>
    </row>
    <row r="27" spans="1:21" x14ac:dyDescent="0.25">
      <c r="A27" s="120"/>
      <c r="B27" s="82"/>
      <c r="C27" s="32"/>
      <c r="D27" s="33"/>
      <c r="E27" s="34"/>
      <c r="F27" s="110"/>
      <c r="G27" s="110"/>
      <c r="H27" s="110"/>
      <c r="I27" s="110"/>
      <c r="J27" s="110"/>
      <c r="K27" s="35"/>
      <c r="L27" s="29"/>
      <c r="M27" s="146"/>
      <c r="N27" s="109"/>
      <c r="O27" s="101"/>
      <c r="P27" s="20"/>
      <c r="Q27" s="20"/>
      <c r="R27" s="20"/>
      <c r="S27" s="20"/>
      <c r="T27" s="28"/>
      <c r="U27" s="125"/>
    </row>
    <row r="28" spans="1:21" x14ac:dyDescent="0.25">
      <c r="A28" s="120"/>
      <c r="B28" s="82"/>
      <c r="C28" s="82"/>
      <c r="D28" s="127"/>
      <c r="E28" s="87"/>
      <c r="F28" s="110"/>
      <c r="G28" s="110"/>
      <c r="H28" s="116"/>
      <c r="I28" s="111"/>
      <c r="J28" s="110"/>
      <c r="K28" s="35"/>
      <c r="L28" s="29"/>
      <c r="M28" s="146"/>
      <c r="N28" s="109"/>
      <c r="O28" s="101"/>
      <c r="P28" s="20"/>
      <c r="Q28" s="20"/>
      <c r="R28" s="20"/>
      <c r="S28" s="20"/>
      <c r="T28" s="28"/>
      <c r="U28" s="125"/>
    </row>
    <row r="29" spans="1:21" x14ac:dyDescent="0.25">
      <c r="A29" s="74"/>
      <c r="B29" s="83"/>
      <c r="C29" s="83"/>
      <c r="D29" s="25" t="s">
        <v>15</v>
      </c>
      <c r="E29" s="53" t="s">
        <v>17</v>
      </c>
      <c r="F29" s="25">
        <f>SUM(F18:F23)</f>
        <v>0</v>
      </c>
      <c r="G29" s="25">
        <f>SUM(G18:G28)</f>
        <v>0</v>
      </c>
      <c r="H29" s="25"/>
      <c r="I29" s="25"/>
      <c r="J29" s="25">
        <f>F29-G29</f>
        <v>0</v>
      </c>
      <c r="K29" s="26" t="s">
        <v>16</v>
      </c>
      <c r="L29" s="27">
        <f>SUM(L18:L22)</f>
        <v>0</v>
      </c>
      <c r="M29" s="27">
        <f>SUM(M18:M22)</f>
        <v>0</v>
      </c>
      <c r="N29" s="27">
        <f>SUM(N18:N23)</f>
        <v>0</v>
      </c>
      <c r="O29" s="27">
        <f>SUM(O18:O22)</f>
        <v>0</v>
      </c>
      <c r="P29" s="28"/>
      <c r="Q29" s="28"/>
      <c r="R29" s="28"/>
      <c r="S29" s="28"/>
      <c r="T29" s="28"/>
      <c r="U29" s="125"/>
    </row>
    <row r="30" spans="1:21" x14ac:dyDescent="0.25">
      <c r="A30" s="288"/>
      <c r="B30" s="289"/>
      <c r="C30" s="289"/>
      <c r="D30" s="290"/>
      <c r="E30" s="291"/>
      <c r="F30" s="60"/>
      <c r="G30" s="292"/>
      <c r="H30" s="73"/>
      <c r="I30" s="292"/>
      <c r="J30" s="292">
        <f t="shared" ref="J30:J36" si="2">F30-G30</f>
        <v>0</v>
      </c>
      <c r="K30" s="290"/>
      <c r="L30" s="65"/>
      <c r="M30" s="68"/>
      <c r="N30" s="69"/>
      <c r="O30" s="101"/>
      <c r="P30" s="20"/>
      <c r="Q30" s="20"/>
      <c r="R30" s="20"/>
      <c r="S30" s="20"/>
      <c r="T30" s="28"/>
      <c r="U30" s="125"/>
    </row>
    <row r="31" spans="1:21" x14ac:dyDescent="0.25">
      <c r="A31" s="288"/>
      <c r="B31" s="289"/>
      <c r="C31" s="289"/>
      <c r="D31" s="290"/>
      <c r="E31" s="291"/>
      <c r="F31" s="60"/>
      <c r="G31" s="292"/>
      <c r="H31" s="292"/>
      <c r="I31" s="292"/>
      <c r="J31" s="292">
        <f t="shared" si="2"/>
        <v>0</v>
      </c>
      <c r="K31" s="290"/>
      <c r="L31" s="65"/>
      <c r="M31" s="68"/>
      <c r="N31" s="69"/>
      <c r="O31" s="101"/>
      <c r="P31" s="20"/>
      <c r="Q31" s="20"/>
      <c r="R31" s="20"/>
      <c r="S31" s="20"/>
      <c r="T31" s="28"/>
      <c r="U31" s="125"/>
    </row>
    <row r="32" spans="1:21" x14ac:dyDescent="0.25">
      <c r="A32" s="288"/>
      <c r="B32" s="289"/>
      <c r="C32" s="289"/>
      <c r="D32" s="290"/>
      <c r="E32" s="291"/>
      <c r="F32" s="60"/>
      <c r="G32" s="292"/>
      <c r="H32" s="73"/>
      <c r="I32" s="292"/>
      <c r="J32" s="292">
        <f t="shared" si="2"/>
        <v>0</v>
      </c>
      <c r="K32" s="290"/>
      <c r="L32" s="65"/>
      <c r="M32" s="68"/>
      <c r="N32" s="69"/>
      <c r="O32" s="101"/>
      <c r="P32" s="20"/>
      <c r="Q32" s="20"/>
      <c r="R32" s="20"/>
      <c r="S32" s="20"/>
      <c r="T32" s="28"/>
      <c r="U32" s="125"/>
    </row>
    <row r="33" spans="1:21" x14ac:dyDescent="0.25">
      <c r="A33" s="114"/>
      <c r="B33" s="83"/>
      <c r="C33" s="83"/>
      <c r="D33" s="76"/>
      <c r="E33" s="97"/>
      <c r="F33" s="265"/>
      <c r="G33" s="74"/>
      <c r="H33" s="74"/>
      <c r="I33" s="74"/>
      <c r="J33" s="74">
        <f t="shared" si="2"/>
        <v>0</v>
      </c>
      <c r="K33" s="76"/>
      <c r="L33" s="65"/>
      <c r="M33" s="68"/>
      <c r="N33" s="69"/>
      <c r="O33" s="101"/>
      <c r="P33" s="20"/>
      <c r="Q33" s="20"/>
      <c r="R33" s="20"/>
      <c r="S33" s="20"/>
      <c r="T33" s="28"/>
      <c r="U33" s="125"/>
    </row>
    <row r="34" spans="1:21" x14ac:dyDescent="0.25">
      <c r="A34" s="114"/>
      <c r="B34" s="83"/>
      <c r="C34" s="83"/>
      <c r="D34" s="76"/>
      <c r="E34" s="97"/>
      <c r="F34" s="265"/>
      <c r="G34" s="74"/>
      <c r="H34" s="74"/>
      <c r="I34" s="74"/>
      <c r="J34" s="74">
        <f t="shared" si="2"/>
        <v>0</v>
      </c>
      <c r="K34" s="76"/>
      <c r="L34" s="65"/>
      <c r="M34" s="68"/>
      <c r="N34" s="69"/>
      <c r="O34" s="101"/>
      <c r="P34" s="20"/>
      <c r="Q34" s="20"/>
      <c r="R34" s="20"/>
      <c r="S34" s="20"/>
      <c r="T34" s="28"/>
      <c r="U34" s="125"/>
    </row>
    <row r="35" spans="1:21" x14ac:dyDescent="0.25">
      <c r="A35" s="114"/>
      <c r="B35" s="83"/>
      <c r="C35" s="83"/>
      <c r="D35" s="76"/>
      <c r="E35" s="97"/>
      <c r="F35" s="265"/>
      <c r="G35" s="74"/>
      <c r="H35" s="74"/>
      <c r="I35" s="74"/>
      <c r="J35" s="74">
        <f t="shared" si="2"/>
        <v>0</v>
      </c>
      <c r="K35" s="76"/>
      <c r="L35" s="65"/>
      <c r="M35" s="68"/>
      <c r="N35" s="69"/>
      <c r="O35" s="101"/>
      <c r="P35" s="20"/>
      <c r="Q35" s="20"/>
      <c r="R35" s="20"/>
      <c r="S35" s="20"/>
      <c r="T35" s="28"/>
      <c r="U35" s="125"/>
    </row>
    <row r="36" spans="1:21" x14ac:dyDescent="0.25">
      <c r="A36" s="114"/>
      <c r="B36" s="83"/>
      <c r="C36" s="83"/>
      <c r="D36" s="76"/>
      <c r="E36" s="97"/>
      <c r="F36" s="265"/>
      <c r="G36" s="74"/>
      <c r="H36" s="74"/>
      <c r="I36" s="74"/>
      <c r="J36" s="74">
        <f t="shared" si="2"/>
        <v>0</v>
      </c>
      <c r="K36" s="76"/>
      <c r="L36" s="65"/>
      <c r="M36" s="68"/>
      <c r="N36" s="69"/>
      <c r="O36" s="101"/>
      <c r="P36" s="20"/>
      <c r="Q36" s="20"/>
      <c r="R36" s="20"/>
      <c r="S36" s="20"/>
      <c r="T36" s="28"/>
      <c r="U36" s="125"/>
    </row>
    <row r="37" spans="1:21" x14ac:dyDescent="0.25">
      <c r="A37" s="36"/>
      <c r="B37" s="37"/>
      <c r="C37" s="37"/>
      <c r="D37" s="38" t="s">
        <v>42</v>
      </c>
      <c r="E37" s="39"/>
      <c r="F37" s="153"/>
      <c r="G37" s="153"/>
      <c r="H37" s="153"/>
      <c r="I37" s="153"/>
      <c r="J37" s="112"/>
      <c r="K37" s="40"/>
      <c r="L37" s="65"/>
      <c r="M37" s="68"/>
      <c r="N37" s="69"/>
      <c r="O37" s="101"/>
      <c r="P37" s="20"/>
      <c r="Q37" s="20"/>
      <c r="R37" s="20"/>
      <c r="S37" s="20"/>
      <c r="T37" s="28"/>
      <c r="U37" s="125"/>
    </row>
    <row r="38" spans="1:21" x14ac:dyDescent="0.25">
      <c r="A38" s="36"/>
      <c r="B38" s="37"/>
      <c r="C38" s="37"/>
      <c r="D38" s="38"/>
      <c r="E38" s="39" t="s">
        <v>124</v>
      </c>
      <c r="F38" s="153"/>
      <c r="G38" s="153"/>
      <c r="H38" s="153" t="s">
        <v>122</v>
      </c>
      <c r="I38" s="153" t="s">
        <v>123</v>
      </c>
      <c r="J38" s="112"/>
      <c r="K38" s="40"/>
      <c r="L38" s="29"/>
      <c r="M38" s="30"/>
      <c r="N38" s="109"/>
      <c r="O38" s="101"/>
      <c r="P38" s="20"/>
      <c r="Q38" s="31"/>
      <c r="R38" s="31"/>
      <c r="S38" s="31"/>
      <c r="T38" s="28"/>
      <c r="U38" s="125"/>
    </row>
    <row r="39" spans="1:21" x14ac:dyDescent="0.25">
      <c r="A39" s="36"/>
      <c r="B39" s="37"/>
      <c r="C39" s="84"/>
      <c r="D39" s="38"/>
      <c r="E39" s="39"/>
      <c r="F39" s="153"/>
      <c r="G39" s="153"/>
      <c r="H39" s="153"/>
      <c r="I39" s="153"/>
      <c r="J39" s="112"/>
      <c r="K39" s="40"/>
      <c r="L39" s="107"/>
      <c r="M39" s="108"/>
      <c r="N39" s="109"/>
      <c r="O39" s="101"/>
      <c r="P39" s="28"/>
      <c r="Q39" s="28"/>
      <c r="R39" s="28"/>
      <c r="S39" s="28"/>
      <c r="T39" s="28"/>
      <c r="U39" s="125"/>
    </row>
    <row r="40" spans="1:21" x14ac:dyDescent="0.25">
      <c r="A40" s="74"/>
      <c r="B40" s="137"/>
      <c r="C40" s="74"/>
      <c r="D40" s="25" t="s">
        <v>15</v>
      </c>
      <c r="E40" s="26" t="s">
        <v>19</v>
      </c>
      <c r="F40" s="25">
        <f>SUM(F30:F36)</f>
        <v>0</v>
      </c>
      <c r="G40" s="25">
        <f>SUM(G30:G39)</f>
        <v>0</v>
      </c>
      <c r="H40" s="25"/>
      <c r="I40" s="25"/>
      <c r="J40" s="25">
        <f>F40-G40</f>
        <v>0</v>
      </c>
      <c r="K40" s="26" t="s">
        <v>16</v>
      </c>
      <c r="L40" s="27">
        <f>SUM(L30:L36)</f>
        <v>0</v>
      </c>
      <c r="M40" s="27" t="e">
        <f>SUM(#REF!)</f>
        <v>#REF!</v>
      </c>
      <c r="N40" s="27">
        <f>SUM(N30:N39)</f>
        <v>0</v>
      </c>
      <c r="O40" s="27" t="e">
        <f>SUM(#REF!)</f>
        <v>#REF!</v>
      </c>
      <c r="P40" s="28"/>
      <c r="Q40" s="28"/>
      <c r="R40" s="28"/>
      <c r="S40" s="28"/>
      <c r="T40" s="28"/>
      <c r="U40" s="125"/>
    </row>
    <row r="41" spans="1:21" x14ac:dyDescent="0.25">
      <c r="A41" s="288"/>
      <c r="B41" s="289"/>
      <c r="C41" s="289"/>
      <c r="D41" s="240"/>
      <c r="E41" s="79"/>
      <c r="F41" s="240"/>
      <c r="G41" s="49"/>
      <c r="H41" s="80"/>
      <c r="I41" s="49"/>
      <c r="J41" s="292"/>
      <c r="K41" s="79"/>
      <c r="L41" s="65"/>
      <c r="M41" s="68"/>
      <c r="N41" s="113"/>
      <c r="O41" s="121"/>
      <c r="P41" s="294"/>
      <c r="Q41" s="295"/>
      <c r="R41" s="295"/>
      <c r="S41" s="295"/>
      <c r="T41" s="294"/>
      <c r="U41" s="125"/>
    </row>
    <row r="42" spans="1:21" x14ac:dyDescent="0.25">
      <c r="A42" s="288"/>
      <c r="B42" s="289"/>
      <c r="C42" s="289"/>
      <c r="D42" s="240"/>
      <c r="E42" s="79"/>
      <c r="F42" s="240"/>
      <c r="G42" s="49"/>
      <c r="H42" s="80"/>
      <c r="I42" s="49"/>
      <c r="J42" s="292">
        <f t="shared" ref="J42:J47" si="3">F42-G42</f>
        <v>0</v>
      </c>
      <c r="K42" s="79"/>
      <c r="L42" s="65"/>
      <c r="M42" s="68"/>
      <c r="N42" s="113"/>
      <c r="O42" s="121"/>
      <c r="P42" s="294"/>
      <c r="Q42" s="295"/>
      <c r="R42" s="295"/>
      <c r="S42" s="295"/>
      <c r="T42" s="294"/>
      <c r="U42" s="125"/>
    </row>
    <row r="43" spans="1:21" x14ac:dyDescent="0.25">
      <c r="A43" s="114"/>
      <c r="B43" s="83"/>
      <c r="C43" s="83"/>
      <c r="D43" s="73"/>
      <c r="E43" s="72"/>
      <c r="F43" s="73"/>
      <c r="G43" s="48"/>
      <c r="H43" s="48"/>
      <c r="I43" s="48"/>
      <c r="J43" s="74">
        <f t="shared" si="3"/>
        <v>0</v>
      </c>
      <c r="K43" s="72"/>
      <c r="L43" s="65"/>
      <c r="M43" s="30"/>
      <c r="N43" s="267"/>
      <c r="O43" s="101"/>
      <c r="P43" s="20"/>
      <c r="Q43" s="28"/>
      <c r="R43" s="28"/>
      <c r="S43" s="28"/>
      <c r="T43" s="20"/>
      <c r="U43" s="125"/>
    </row>
    <row r="44" spans="1:21" x14ac:dyDescent="0.25">
      <c r="A44" s="114"/>
      <c r="B44" s="83"/>
      <c r="C44" s="83"/>
      <c r="D44" s="73"/>
      <c r="E44" s="72"/>
      <c r="F44" s="73"/>
      <c r="G44" s="48"/>
      <c r="H44" s="48"/>
      <c r="I44" s="48"/>
      <c r="J44" s="74">
        <f t="shared" si="3"/>
        <v>0</v>
      </c>
      <c r="K44" s="72"/>
      <c r="L44" s="65"/>
      <c r="M44" s="30"/>
      <c r="N44" s="267"/>
      <c r="O44" s="101"/>
      <c r="P44" s="20"/>
      <c r="Q44" s="28"/>
      <c r="R44" s="28"/>
      <c r="S44" s="28"/>
      <c r="T44" s="20"/>
      <c r="U44" s="125"/>
    </row>
    <row r="45" spans="1:21" x14ac:dyDescent="0.25">
      <c r="A45" s="114"/>
      <c r="B45" s="83"/>
      <c r="C45" s="83"/>
      <c r="D45" s="73"/>
      <c r="E45" s="72"/>
      <c r="F45" s="73"/>
      <c r="G45" s="48"/>
      <c r="H45" s="48"/>
      <c r="I45" s="48"/>
      <c r="J45" s="74">
        <f t="shared" si="3"/>
        <v>0</v>
      </c>
      <c r="K45" s="72"/>
      <c r="L45" s="65"/>
      <c r="M45" s="30"/>
      <c r="N45" s="267"/>
      <c r="O45" s="101"/>
      <c r="P45" s="20"/>
      <c r="Q45" s="28"/>
      <c r="R45" s="28"/>
      <c r="S45" s="28"/>
      <c r="T45" s="20"/>
      <c r="U45" s="125"/>
    </row>
    <row r="46" spans="1:21" x14ac:dyDescent="0.25">
      <c r="A46" s="85"/>
      <c r="B46" s="124"/>
      <c r="C46" s="15"/>
      <c r="D46" s="73"/>
      <c r="E46" s="79"/>
      <c r="F46" s="60"/>
      <c r="G46" s="49"/>
      <c r="H46" s="49"/>
      <c r="I46" s="49"/>
      <c r="J46" s="74">
        <f t="shared" si="3"/>
        <v>0</v>
      </c>
      <c r="K46" s="73"/>
      <c r="L46" s="65"/>
      <c r="M46" s="68"/>
      <c r="N46" s="69"/>
      <c r="O46" s="121"/>
      <c r="P46" s="20"/>
      <c r="Q46" s="20"/>
      <c r="R46" s="20"/>
      <c r="S46" s="20"/>
      <c r="T46" s="99"/>
      <c r="U46" s="129"/>
    </row>
    <row r="47" spans="1:21" x14ac:dyDescent="0.25">
      <c r="A47" s="85"/>
      <c r="B47" s="138"/>
      <c r="C47" s="86"/>
      <c r="D47" s="74"/>
      <c r="E47" s="59"/>
      <c r="F47" s="60"/>
      <c r="G47" s="49"/>
      <c r="H47" s="49"/>
      <c r="I47" s="49"/>
      <c r="J47" s="74">
        <f t="shared" si="3"/>
        <v>0</v>
      </c>
      <c r="K47" s="57"/>
      <c r="L47" s="65"/>
      <c r="M47" s="68"/>
      <c r="N47" s="113"/>
      <c r="O47" s="121"/>
      <c r="P47" s="20"/>
      <c r="Q47" s="20"/>
      <c r="R47" s="20"/>
      <c r="S47" s="31"/>
      <c r="T47" s="31"/>
      <c r="U47" s="129"/>
    </row>
    <row r="48" spans="1:21" x14ac:dyDescent="0.25">
      <c r="A48" s="130"/>
      <c r="B48" s="139"/>
      <c r="C48" s="131"/>
      <c r="D48" s="132" t="s">
        <v>40</v>
      </c>
      <c r="E48" s="91"/>
      <c r="F48" s="92"/>
      <c r="G48" s="93"/>
      <c r="H48" s="93"/>
      <c r="I48" s="93"/>
      <c r="J48" s="133"/>
      <c r="K48" s="94"/>
      <c r="L48" s="65"/>
      <c r="M48" s="67"/>
      <c r="N48" s="113"/>
      <c r="O48" s="121"/>
      <c r="P48" s="20"/>
      <c r="Q48" s="20"/>
      <c r="R48" s="20"/>
      <c r="S48" s="20"/>
      <c r="T48" s="20"/>
      <c r="U48" s="128"/>
    </row>
    <row r="49" spans="1:21" x14ac:dyDescent="0.25">
      <c r="A49" s="130"/>
      <c r="B49" s="139"/>
      <c r="C49" s="131"/>
      <c r="D49" s="133"/>
      <c r="E49" s="91"/>
      <c r="F49" s="92"/>
      <c r="G49" s="95"/>
      <c r="H49" s="95"/>
      <c r="I49" s="95"/>
      <c r="J49" s="133"/>
      <c r="K49" s="150"/>
      <c r="L49" s="65"/>
      <c r="M49" s="68"/>
      <c r="N49" s="113"/>
      <c r="O49" s="121"/>
      <c r="P49" s="20"/>
      <c r="Q49" s="20"/>
      <c r="R49" s="20"/>
      <c r="S49" s="20"/>
      <c r="T49" s="20"/>
      <c r="U49" s="128"/>
    </row>
    <row r="50" spans="1:21" x14ac:dyDescent="0.25">
      <c r="A50" s="133"/>
      <c r="B50" s="140"/>
      <c r="C50" s="131"/>
      <c r="D50" s="133"/>
      <c r="E50" s="91"/>
      <c r="F50" s="92"/>
      <c r="G50" s="95"/>
      <c r="H50" s="95"/>
      <c r="I50" s="95"/>
      <c r="J50" s="133"/>
      <c r="K50" s="94"/>
      <c r="L50" s="58"/>
      <c r="M50" s="68"/>
      <c r="N50" s="113"/>
      <c r="O50" s="121"/>
      <c r="P50" s="20"/>
      <c r="Q50" s="20"/>
      <c r="R50" s="20"/>
      <c r="S50" s="20"/>
      <c r="T50" s="20"/>
      <c r="U50" s="129"/>
    </row>
    <row r="51" spans="1:21" x14ac:dyDescent="0.25">
      <c r="A51" s="134"/>
      <c r="B51" s="141"/>
      <c r="C51" s="135"/>
      <c r="D51" s="25" t="s">
        <v>15</v>
      </c>
      <c r="E51" s="54" t="s">
        <v>22</v>
      </c>
      <c r="F51" s="25">
        <f>SUM(F41:F50)</f>
        <v>0</v>
      </c>
      <c r="G51" s="25">
        <f>SUM(G41:G50)</f>
        <v>0</v>
      </c>
      <c r="H51" s="25"/>
      <c r="I51" s="25"/>
      <c r="J51" s="25">
        <f>F51-G51</f>
        <v>0</v>
      </c>
      <c r="K51" s="26" t="s">
        <v>16</v>
      </c>
      <c r="L51" s="27">
        <f>SUM(L41:L47)</f>
        <v>0</v>
      </c>
      <c r="M51" s="27">
        <f>SUM(M41:M47)</f>
        <v>0</v>
      </c>
      <c r="N51" s="27">
        <f>SUM(N41:N50)</f>
        <v>0</v>
      </c>
      <c r="O51" s="27">
        <f>SUM(O41:O50)</f>
        <v>0</v>
      </c>
      <c r="P51" s="20"/>
      <c r="Q51" s="20"/>
      <c r="R51" s="20"/>
      <c r="S51" s="20"/>
      <c r="T51" s="20"/>
      <c r="U51" s="129"/>
    </row>
    <row r="52" spans="1:21" x14ac:dyDescent="0.25">
      <c r="A52" s="134"/>
      <c r="B52" s="141"/>
      <c r="C52" s="135"/>
      <c r="D52" s="25"/>
      <c r="E52" s="54"/>
      <c r="F52" s="25"/>
      <c r="G52" s="25"/>
      <c r="H52" s="25"/>
      <c r="I52" s="25"/>
      <c r="J52" s="25"/>
      <c r="K52" s="26"/>
      <c r="L52" s="27"/>
      <c r="M52" s="27"/>
      <c r="N52" s="27"/>
      <c r="O52" s="27"/>
      <c r="P52" s="20"/>
      <c r="Q52" s="20"/>
      <c r="R52" s="20"/>
      <c r="S52" s="20"/>
      <c r="T52" s="20"/>
      <c r="U52" s="129"/>
    </row>
    <row r="53" spans="1:21" x14ac:dyDescent="0.25">
      <c r="A53" s="114"/>
      <c r="B53" s="83"/>
      <c r="C53" s="83"/>
      <c r="D53" s="73"/>
      <c r="E53" s="79"/>
      <c r="F53" s="293"/>
      <c r="G53" s="49"/>
      <c r="H53" s="49"/>
      <c r="I53" s="49"/>
      <c r="J53" s="74">
        <f t="shared" ref="J53" si="4">F53-G53</f>
        <v>0</v>
      </c>
      <c r="K53" s="72"/>
      <c r="L53" s="65"/>
      <c r="M53" s="67"/>
      <c r="N53" s="113"/>
      <c r="O53" s="27"/>
      <c r="P53" s="20"/>
      <c r="Q53" s="20"/>
      <c r="R53" s="20"/>
      <c r="S53" s="20"/>
      <c r="T53" s="20"/>
      <c r="U53" s="129"/>
    </row>
    <row r="54" spans="1:21" x14ac:dyDescent="0.25">
      <c r="A54" s="74"/>
      <c r="B54" s="137"/>
      <c r="C54" s="74"/>
      <c r="D54" s="25" t="s">
        <v>15</v>
      </c>
      <c r="E54" s="54" t="s">
        <v>39</v>
      </c>
      <c r="F54" s="27">
        <f>SUM(F53:F53)</f>
        <v>0</v>
      </c>
      <c r="G54" s="27">
        <f>SUM(G53:G53)</f>
        <v>0</v>
      </c>
      <c r="H54" s="25"/>
      <c r="I54" s="25"/>
      <c r="J54" s="27">
        <f>F54-G54</f>
        <v>0</v>
      </c>
      <c r="K54" s="26" t="s">
        <v>16</v>
      </c>
      <c r="L54" s="27">
        <f>SUM(L53:L53)</f>
        <v>0</v>
      </c>
      <c r="M54" s="27">
        <f>SUM(M46:M53)</f>
        <v>0</v>
      </c>
      <c r="N54" s="27">
        <f>SUM(N53:N53)</f>
        <v>0</v>
      </c>
      <c r="O54" s="27">
        <f>SUM(O46:O53)</f>
        <v>0</v>
      </c>
      <c r="P54" s="28"/>
      <c r="Q54" s="28"/>
      <c r="R54" s="28"/>
      <c r="S54" s="28"/>
      <c r="T54" s="28"/>
      <c r="U54" s="117"/>
    </row>
    <row r="55" spans="1:21" x14ac:dyDescent="0.25">
      <c r="A55" s="74"/>
      <c r="B55" s="137"/>
      <c r="C55" s="85"/>
      <c r="D55" s="74"/>
      <c r="E55" s="114"/>
      <c r="F55" s="74"/>
      <c r="G55" s="74"/>
      <c r="H55" s="74"/>
      <c r="I55" s="74"/>
      <c r="J55" s="74"/>
      <c r="K55" s="74"/>
      <c r="L55" s="107"/>
      <c r="M55" s="115"/>
      <c r="N55" s="113"/>
      <c r="O55" s="121"/>
      <c r="P55" s="28"/>
      <c r="Q55" s="28"/>
      <c r="R55" s="28"/>
      <c r="S55" s="28"/>
      <c r="T55" s="28"/>
      <c r="U55" s="117"/>
    </row>
    <row r="56" spans="1:21" x14ac:dyDescent="0.25">
      <c r="A56" s="74"/>
      <c r="B56" s="137"/>
      <c r="C56" s="74"/>
      <c r="D56" s="74"/>
      <c r="E56" s="74"/>
      <c r="F56" s="74"/>
      <c r="G56" s="74"/>
      <c r="H56" s="74"/>
      <c r="I56" s="74"/>
      <c r="J56" s="74"/>
      <c r="K56" s="74"/>
      <c r="L56" s="107"/>
      <c r="M56" s="115"/>
      <c r="N56" s="113"/>
      <c r="O56" s="121"/>
      <c r="P56" s="28"/>
      <c r="Q56" s="28"/>
      <c r="R56" s="28"/>
      <c r="S56" s="28"/>
      <c r="T56" s="74"/>
      <c r="U56" s="117"/>
    </row>
    <row r="57" spans="1:21" x14ac:dyDescent="0.25">
      <c r="A57" s="74"/>
      <c r="B57" s="137"/>
      <c r="C57" s="74"/>
      <c r="D57" s="358" t="s">
        <v>24</v>
      </c>
      <c r="E57" s="359"/>
      <c r="F57" s="41">
        <f>SUM(F17,F29,F40,F51,F54)</f>
        <v>7000</v>
      </c>
      <c r="G57" s="41">
        <f>SUM(G17,G29,G40,G51,G54)</f>
        <v>0</v>
      </c>
      <c r="H57" s="41"/>
      <c r="I57" s="41"/>
      <c r="J57" s="41">
        <f>SUM(F57-G57)</f>
        <v>7000</v>
      </c>
      <c r="K57" s="42" t="s">
        <v>16</v>
      </c>
      <c r="L57" s="41">
        <f>SUM(L17,L29,L40,L51,L54)</f>
        <v>0</v>
      </c>
      <c r="M57" s="41" t="e">
        <f>SUM(M17,M29,M40,M51,M54)</f>
        <v>#REF!</v>
      </c>
      <c r="N57" s="41">
        <f>SUM(N17,N29,N40,N51,N54)</f>
        <v>7000</v>
      </c>
      <c r="O57" s="41" t="e">
        <f>SUM(O17,O29,O40,O51,O54)</f>
        <v>#REF!</v>
      </c>
      <c r="P57" s="28"/>
      <c r="Q57" s="28"/>
      <c r="R57" s="28"/>
      <c r="S57" s="28"/>
      <c r="T57" s="74"/>
      <c r="U57" s="117"/>
    </row>
    <row r="58" spans="1:2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22"/>
      <c r="Q58" s="122"/>
      <c r="R58" s="122"/>
      <c r="S58" s="122"/>
      <c r="T58" s="117"/>
      <c r="U58" s="117"/>
    </row>
    <row r="59" spans="1:21" ht="18" x14ac:dyDescent="0.25">
      <c r="A59" s="117"/>
      <c r="B59" s="117"/>
      <c r="C59" s="117"/>
      <c r="D59" s="43"/>
      <c r="E59" s="117"/>
      <c r="F59" s="117"/>
      <c r="G59" s="117"/>
      <c r="H59" s="117"/>
      <c r="I59" s="117"/>
      <c r="J59" s="117"/>
      <c r="K59" s="44" t="s">
        <v>20</v>
      </c>
      <c r="L59" s="44" t="e">
        <f>F57-L57-M57-N57-O57</f>
        <v>#REF!</v>
      </c>
      <c r="M59" s="117"/>
      <c r="N59" s="117"/>
      <c r="O59" s="117"/>
      <c r="P59" s="117"/>
      <c r="Q59" s="117"/>
      <c r="R59" s="117"/>
      <c r="S59" s="117"/>
      <c r="T59" s="117"/>
      <c r="U59" s="117"/>
    </row>
    <row r="60" spans="1:21" x14ac:dyDescent="0.25">
      <c r="A60" s="117"/>
      <c r="B60" s="117"/>
      <c r="C60" s="117"/>
      <c r="D60" s="45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</row>
    <row r="61" spans="1:21" x14ac:dyDescent="0.25">
      <c r="A61" s="117"/>
      <c r="B61" s="117"/>
      <c r="C61" s="117"/>
      <c r="D61" s="45"/>
      <c r="E61" s="117"/>
      <c r="F61" s="117"/>
      <c r="G61" s="50"/>
      <c r="H61" s="50"/>
      <c r="I61" s="50"/>
      <c r="J61" s="50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</row>
    <row r="62" spans="1:21" x14ac:dyDescent="0.25">
      <c r="A62" s="117"/>
      <c r="B62" s="117"/>
      <c r="C62" s="117"/>
      <c r="D62" s="45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</row>
    <row r="63" spans="1:21" x14ac:dyDescent="0.25">
      <c r="A63" s="117"/>
      <c r="B63" s="117"/>
      <c r="C63" s="117"/>
      <c r="D63" s="45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</row>
    <row r="64" spans="1:2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</row>
    <row r="65" spans="1:2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</row>
    <row r="66" spans="1:21" ht="33" x14ac:dyDescent="0.45">
      <c r="A66" s="117"/>
      <c r="B66" s="117"/>
      <c r="C66" s="117"/>
      <c r="D66" s="360" t="s">
        <v>51</v>
      </c>
      <c r="E66" s="361"/>
      <c r="F66" s="361"/>
      <c r="G66" s="361"/>
      <c r="H66" s="361"/>
      <c r="I66" s="361"/>
      <c r="J66" s="361"/>
      <c r="K66" s="361"/>
      <c r="L66" s="361"/>
      <c r="M66" s="362"/>
      <c r="N66" s="117"/>
      <c r="O66" s="117"/>
      <c r="P66" s="117"/>
      <c r="Q66" s="117"/>
      <c r="R66" s="117"/>
      <c r="S66" s="117"/>
      <c r="T66" s="117"/>
      <c r="U66" s="117"/>
    </row>
    <row r="67" spans="1:2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</row>
    <row r="68" spans="1:2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</row>
    <row r="69" spans="1:21" x14ac:dyDescent="0.25">
      <c r="A69" s="363" t="s">
        <v>25</v>
      </c>
      <c r="B69" s="364"/>
      <c r="C69" s="365"/>
      <c r="D69" s="46" t="s">
        <v>26</v>
      </c>
      <c r="E69" s="61" t="s">
        <v>34</v>
      </c>
      <c r="F69" s="63" t="s">
        <v>33</v>
      </c>
      <c r="G69" s="363" t="s">
        <v>27</v>
      </c>
      <c r="H69" s="365"/>
      <c r="I69" s="363" t="s">
        <v>28</v>
      </c>
      <c r="J69" s="365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</row>
    <row r="70" spans="1:2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353" t="s">
        <v>35</v>
      </c>
      <c r="M70" s="354"/>
      <c r="N70" s="354"/>
      <c r="O70" s="354"/>
      <c r="P70" s="354"/>
      <c r="Q70" s="354"/>
      <c r="R70" s="354"/>
      <c r="S70" s="354"/>
      <c r="T70" s="354"/>
      <c r="U70" s="354"/>
    </row>
    <row r="71" spans="1:2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36">
        <v>101</v>
      </c>
      <c r="M71" s="136">
        <v>102</v>
      </c>
      <c r="N71" s="136">
        <v>103</v>
      </c>
      <c r="O71" s="136"/>
      <c r="P71" s="136"/>
      <c r="Q71" s="136"/>
      <c r="R71" s="136"/>
      <c r="S71" s="136"/>
      <c r="T71" s="136"/>
      <c r="U71" s="136"/>
    </row>
    <row r="72" spans="1:21" x14ac:dyDescent="0.25">
      <c r="A72" s="338" t="s">
        <v>57</v>
      </c>
      <c r="B72" s="339"/>
      <c r="C72" s="340"/>
      <c r="D72" s="51"/>
      <c r="E72" s="88">
        <v>86790</v>
      </c>
      <c r="F72" s="161">
        <v>0.38800000000000001</v>
      </c>
      <c r="G72" s="341">
        <f>E72*0.388</f>
        <v>33674.520000000004</v>
      </c>
      <c r="H72" s="342"/>
      <c r="I72" s="343">
        <v>33</v>
      </c>
      <c r="J72" s="344"/>
      <c r="K72" s="117"/>
      <c r="L72" s="74"/>
      <c r="M72" s="74"/>
      <c r="N72" s="74"/>
      <c r="O72" s="74"/>
      <c r="P72" s="74"/>
      <c r="Q72" s="74"/>
      <c r="R72" s="74"/>
      <c r="S72" s="74"/>
      <c r="T72" s="74"/>
      <c r="U72" s="74"/>
    </row>
    <row r="73" spans="1:21" x14ac:dyDescent="0.25">
      <c r="A73" s="338" t="s">
        <v>58</v>
      </c>
      <c r="B73" s="339"/>
      <c r="C73" s="340"/>
      <c r="D73" s="51"/>
      <c r="E73" s="88">
        <v>79430</v>
      </c>
      <c r="F73" s="161">
        <v>0.39600000000000002</v>
      </c>
      <c r="G73" s="341">
        <f>E73*0.396</f>
        <v>31454.280000000002</v>
      </c>
      <c r="H73" s="342"/>
      <c r="I73" s="343">
        <v>31</v>
      </c>
      <c r="J73" s="344"/>
      <c r="K73" s="117"/>
      <c r="L73" s="74"/>
      <c r="M73" s="74"/>
      <c r="N73" s="74"/>
      <c r="O73" s="74"/>
      <c r="P73" s="74"/>
      <c r="Q73" s="74"/>
      <c r="R73" s="74"/>
      <c r="S73" s="74"/>
      <c r="T73" s="74"/>
      <c r="U73" s="74"/>
    </row>
    <row r="74" spans="1:21" x14ac:dyDescent="0.25">
      <c r="A74" s="338" t="s">
        <v>92</v>
      </c>
      <c r="B74" s="339"/>
      <c r="C74" s="340"/>
      <c r="D74" s="51"/>
      <c r="E74" s="88">
        <v>93960</v>
      </c>
      <c r="F74" s="161">
        <v>0.38400000000000001</v>
      </c>
      <c r="G74" s="341">
        <f>E74*0.384</f>
        <v>36080.639999999999</v>
      </c>
      <c r="H74" s="342"/>
      <c r="I74" s="343">
        <v>36</v>
      </c>
      <c r="J74" s="344"/>
      <c r="K74" s="117"/>
      <c r="L74" s="74"/>
      <c r="M74" s="74"/>
      <c r="N74" s="74"/>
      <c r="O74" s="74"/>
      <c r="P74" s="74"/>
      <c r="Q74" s="74"/>
      <c r="R74" s="74"/>
      <c r="S74" s="74"/>
      <c r="T74" s="74"/>
      <c r="U74" s="74"/>
    </row>
    <row r="75" spans="1:21" x14ac:dyDescent="0.25">
      <c r="A75" s="338"/>
      <c r="B75" s="339"/>
      <c r="C75" s="340"/>
      <c r="D75" s="279"/>
      <c r="E75" s="154"/>
      <c r="F75" s="75"/>
      <c r="G75" s="366">
        <f t="shared" ref="G75:G80" si="5">E75*0</f>
        <v>0</v>
      </c>
      <c r="H75" s="367"/>
      <c r="I75" s="368"/>
      <c r="J75" s="369"/>
      <c r="K75" s="117"/>
      <c r="L75" s="74"/>
      <c r="M75" s="74"/>
      <c r="N75" s="74"/>
      <c r="O75" s="74"/>
      <c r="P75" s="74"/>
      <c r="Q75" s="74"/>
      <c r="R75" s="74"/>
      <c r="S75" s="74"/>
      <c r="T75" s="74"/>
      <c r="U75" s="74"/>
    </row>
    <row r="76" spans="1:21" x14ac:dyDescent="0.25">
      <c r="A76" s="155"/>
      <c r="B76" s="156"/>
      <c r="C76" s="157"/>
      <c r="D76" s="279"/>
      <c r="E76" s="88"/>
      <c r="F76" s="75"/>
      <c r="G76" s="366">
        <f t="shared" si="5"/>
        <v>0</v>
      </c>
      <c r="H76" s="367"/>
      <c r="I76" s="158"/>
      <c r="J76" s="159"/>
      <c r="K76" s="117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1:21" x14ac:dyDescent="0.25">
      <c r="A77" s="338"/>
      <c r="B77" s="339"/>
      <c r="C77" s="340"/>
      <c r="D77" s="279"/>
      <c r="E77" s="154"/>
      <c r="F77" s="66"/>
      <c r="G77" s="366">
        <f t="shared" si="5"/>
        <v>0</v>
      </c>
      <c r="H77" s="367"/>
      <c r="I77" s="343"/>
      <c r="J77" s="344"/>
      <c r="K77" s="117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x14ac:dyDescent="0.25">
      <c r="A78" s="338"/>
      <c r="B78" s="338"/>
      <c r="C78" s="338"/>
      <c r="D78" s="279"/>
      <c r="E78" s="154"/>
      <c r="F78" s="75"/>
      <c r="G78" s="366">
        <f t="shared" si="5"/>
        <v>0</v>
      </c>
      <c r="H78" s="367"/>
      <c r="I78" s="343"/>
      <c r="J78" s="347"/>
      <c r="K78" s="117"/>
      <c r="L78" s="74"/>
      <c r="M78" s="74"/>
      <c r="N78" s="74"/>
      <c r="O78" s="74"/>
      <c r="P78" s="74"/>
      <c r="Q78" s="74"/>
      <c r="R78" s="74"/>
      <c r="S78" s="74"/>
      <c r="T78" s="74"/>
      <c r="U78" s="74"/>
    </row>
    <row r="79" spans="1:21" x14ac:dyDescent="0.25">
      <c r="A79" s="338"/>
      <c r="B79" s="339"/>
      <c r="C79" s="340"/>
      <c r="D79" s="280"/>
      <c r="E79" s="89"/>
      <c r="F79" s="75"/>
      <c r="G79" s="366">
        <f t="shared" si="5"/>
        <v>0</v>
      </c>
      <c r="H79" s="367"/>
      <c r="I79" s="343"/>
      <c r="J79" s="344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</row>
    <row r="80" spans="1:21" x14ac:dyDescent="0.25">
      <c r="A80" s="338"/>
      <c r="B80" s="339"/>
      <c r="C80" s="340"/>
      <c r="D80" s="280"/>
      <c r="E80" s="89"/>
      <c r="F80" s="64"/>
      <c r="G80" s="366">
        <f t="shared" si="5"/>
        <v>0</v>
      </c>
      <c r="H80" s="367"/>
      <c r="I80" s="370"/>
      <c r="J80" s="371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</row>
    <row r="81" spans="1:10" x14ac:dyDescent="0.25">
      <c r="A81" s="348" t="s">
        <v>29</v>
      </c>
      <c r="B81" s="349"/>
      <c r="C81" s="350"/>
      <c r="D81" s="52">
        <f>SUM(D72:D80)</f>
        <v>0</v>
      </c>
      <c r="E81" s="90">
        <f>SUM(E72:E80)</f>
        <v>260180</v>
      </c>
      <c r="F81" s="62"/>
      <c r="G81" s="351">
        <f>SUM(G72:G80)</f>
        <v>101209.44</v>
      </c>
      <c r="H81" s="352"/>
      <c r="I81" s="348">
        <f>SUM(I72:I80)</f>
        <v>100</v>
      </c>
      <c r="J81" s="350"/>
    </row>
  </sheetData>
  <mergeCells count="36">
    <mergeCell ref="A81:C81"/>
    <mergeCell ref="G81:H81"/>
    <mergeCell ref="I81:J81"/>
    <mergeCell ref="G1:N1"/>
    <mergeCell ref="A79:C79"/>
    <mergeCell ref="G79:H79"/>
    <mergeCell ref="I79:J79"/>
    <mergeCell ref="A80:C80"/>
    <mergeCell ref="G80:H80"/>
    <mergeCell ref="I80:J80"/>
    <mergeCell ref="G76:H76"/>
    <mergeCell ref="A77:C77"/>
    <mergeCell ref="G77:H77"/>
    <mergeCell ref="I77:J77"/>
    <mergeCell ref="A78:C78"/>
    <mergeCell ref="G78:H78"/>
    <mergeCell ref="I78:J78"/>
    <mergeCell ref="A74:C74"/>
    <mergeCell ref="G74:H74"/>
    <mergeCell ref="I74:J74"/>
    <mergeCell ref="A75:C75"/>
    <mergeCell ref="G75:H75"/>
    <mergeCell ref="I75:J75"/>
    <mergeCell ref="L70:U70"/>
    <mergeCell ref="A72:C72"/>
    <mergeCell ref="G72:H72"/>
    <mergeCell ref="I72:J72"/>
    <mergeCell ref="A73:C73"/>
    <mergeCell ref="G73:H73"/>
    <mergeCell ref="I73:J73"/>
    <mergeCell ref="A1:C1"/>
    <mergeCell ref="D57:E57"/>
    <mergeCell ref="D66:M66"/>
    <mergeCell ref="A69:C69"/>
    <mergeCell ref="G69:H69"/>
    <mergeCell ref="I69:J69"/>
  </mergeCells>
  <phoneticPr fontId="1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0C82-34A3-4FB4-A98E-B79CCA462071}">
  <sheetPr codeName="Foglio5"/>
  <dimension ref="A1:U55"/>
  <sheetViews>
    <sheetView topLeftCell="A3" zoomScaleNormal="100" workbookViewId="0">
      <selection activeCell="D1" sqref="D1"/>
    </sheetView>
  </sheetViews>
  <sheetFormatPr defaultRowHeight="15" x14ac:dyDescent="0.25"/>
  <cols>
    <col min="1" max="1" width="9.7109375" customWidth="1"/>
    <col min="2" max="2" width="12.42578125" customWidth="1"/>
    <col min="3" max="3" width="16.42578125" customWidth="1"/>
    <col min="4" max="4" width="33" customWidth="1"/>
    <col min="5" max="5" width="16.5703125" customWidth="1"/>
    <col min="6" max="6" width="11.5703125" customWidth="1"/>
    <col min="7" max="8" width="14.42578125" customWidth="1"/>
    <col min="9" max="9" width="13.140625" customWidth="1"/>
    <col min="10" max="10" width="12.85546875" customWidth="1"/>
    <col min="11" max="11" width="17.7109375" customWidth="1"/>
    <col min="12" max="12" width="10" customWidth="1"/>
    <col min="13" max="13" width="10.42578125" customWidth="1"/>
    <col min="14" max="14" width="10.5703125" customWidth="1"/>
    <col min="15" max="15" width="9.85546875" customWidth="1"/>
  </cols>
  <sheetData>
    <row r="1" spans="1:21" ht="27" thickBot="1" x14ac:dyDescent="0.45">
      <c r="A1" s="332" t="s">
        <v>0</v>
      </c>
      <c r="B1" s="332"/>
      <c r="C1" s="332"/>
      <c r="D1" s="1">
        <v>46202</v>
      </c>
      <c r="E1" s="2"/>
      <c r="F1" s="3"/>
      <c r="G1" s="335" t="s">
        <v>53</v>
      </c>
      <c r="H1" s="336"/>
      <c r="I1" s="336"/>
      <c r="J1" s="336"/>
      <c r="K1" s="336"/>
      <c r="L1" s="336"/>
      <c r="M1" s="336"/>
      <c r="N1" s="336"/>
    </row>
    <row r="2" spans="1:21" ht="15.75" thickTop="1" x14ac:dyDescent="0.25">
      <c r="A2" s="4"/>
      <c r="B2" s="4"/>
      <c r="C2" s="4"/>
      <c r="D2" s="4"/>
      <c r="E2" s="5"/>
    </row>
    <row r="3" spans="1:21" ht="38.25" x14ac:dyDescent="0.25">
      <c r="A3" s="6" t="s">
        <v>2</v>
      </c>
      <c r="B3" s="77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60" t="s">
        <v>31</v>
      </c>
      <c r="N3" s="142" t="s">
        <v>32</v>
      </c>
      <c r="O3" s="56" t="s">
        <v>41</v>
      </c>
      <c r="P3" s="12" t="s">
        <v>10</v>
      </c>
      <c r="Q3" s="12" t="s">
        <v>11</v>
      </c>
      <c r="R3" s="12" t="s">
        <v>12</v>
      </c>
      <c r="S3" s="12" t="s">
        <v>13</v>
      </c>
      <c r="T3" s="70" t="s">
        <v>36</v>
      </c>
      <c r="U3" s="144"/>
    </row>
    <row r="4" spans="1:21" x14ac:dyDescent="0.25">
      <c r="A4" s="96"/>
      <c r="B4" s="96"/>
      <c r="C4" s="264"/>
      <c r="D4" s="76"/>
      <c r="E4" s="76"/>
      <c r="F4" s="266"/>
      <c r="G4" s="80"/>
      <c r="H4" s="80"/>
      <c r="I4" s="80"/>
      <c r="J4" s="80">
        <f t="shared" ref="J4:J5" si="0">F4-G4</f>
        <v>0</v>
      </c>
      <c r="K4" s="76"/>
      <c r="L4" s="65"/>
      <c r="M4" s="147"/>
      <c r="N4" s="268"/>
      <c r="O4" s="148"/>
      <c r="P4" s="18"/>
      <c r="Q4" s="20"/>
      <c r="R4" s="20"/>
      <c r="S4" s="18"/>
      <c r="T4" s="14"/>
      <c r="U4" s="125"/>
    </row>
    <row r="5" spans="1:21" x14ac:dyDescent="0.25">
      <c r="A5" s="85"/>
      <c r="B5" s="81"/>
      <c r="C5" s="47"/>
      <c r="D5" s="74"/>
      <c r="E5" s="97"/>
      <c r="F5" s="80"/>
      <c r="G5" s="80"/>
      <c r="H5" s="80"/>
      <c r="I5" s="80"/>
      <c r="J5" s="80">
        <f t="shared" si="0"/>
        <v>0</v>
      </c>
      <c r="K5" s="13"/>
      <c r="L5" s="29"/>
      <c r="M5" s="146"/>
      <c r="N5" s="17"/>
      <c r="O5" s="55"/>
      <c r="P5" s="18"/>
      <c r="Q5" s="20"/>
      <c r="R5" s="20"/>
      <c r="S5" s="18"/>
      <c r="T5" s="14"/>
      <c r="U5" s="125"/>
    </row>
    <row r="6" spans="1:21" x14ac:dyDescent="0.25">
      <c r="A6" s="21"/>
      <c r="B6" s="78"/>
      <c r="C6" s="102"/>
      <c r="D6" s="22" t="s">
        <v>21</v>
      </c>
      <c r="E6" s="103"/>
      <c r="F6" s="104"/>
      <c r="G6" s="104"/>
      <c r="H6" s="104"/>
      <c r="I6" s="104"/>
      <c r="J6" s="104"/>
      <c r="K6" s="23"/>
      <c r="L6" s="16"/>
      <c r="M6" s="149"/>
      <c r="N6" s="17"/>
      <c r="O6" s="55"/>
      <c r="P6" s="18"/>
      <c r="Q6" s="19"/>
      <c r="R6" s="19"/>
      <c r="S6" s="19"/>
      <c r="T6" s="14"/>
      <c r="U6" s="125"/>
    </row>
    <row r="7" spans="1:21" x14ac:dyDescent="0.25">
      <c r="A7" s="21"/>
      <c r="B7" s="78"/>
      <c r="C7" s="102"/>
      <c r="D7" s="22"/>
      <c r="E7" s="103"/>
      <c r="F7" s="104"/>
      <c r="G7" s="104"/>
      <c r="H7" s="104"/>
      <c r="I7" s="104"/>
      <c r="J7" s="104"/>
      <c r="K7" s="23"/>
      <c r="L7" s="16"/>
      <c r="M7" s="149"/>
      <c r="N7" s="17"/>
      <c r="O7" s="55"/>
      <c r="P7" s="18"/>
      <c r="Q7" s="19"/>
      <c r="R7" s="19"/>
      <c r="S7" s="19"/>
      <c r="T7" s="14"/>
      <c r="U7" s="125"/>
    </row>
    <row r="8" spans="1:21" x14ac:dyDescent="0.25">
      <c r="A8" s="118"/>
      <c r="B8" s="102"/>
      <c r="C8" s="105"/>
      <c r="D8" s="106"/>
      <c r="E8" s="126"/>
      <c r="F8" s="104"/>
      <c r="G8" s="104"/>
      <c r="H8" s="104"/>
      <c r="I8" s="104"/>
      <c r="J8" s="104"/>
      <c r="K8" s="23"/>
      <c r="L8" s="24"/>
      <c r="M8" s="149"/>
      <c r="N8" s="17"/>
      <c r="O8" s="55"/>
      <c r="P8" s="14"/>
      <c r="Q8" s="14"/>
      <c r="R8" s="14"/>
      <c r="S8" s="14"/>
      <c r="T8" s="14"/>
      <c r="U8" s="125"/>
    </row>
    <row r="9" spans="1:21" x14ac:dyDescent="0.25">
      <c r="A9" s="118"/>
      <c r="B9" s="118"/>
      <c r="C9" s="105"/>
      <c r="D9" s="106"/>
      <c r="E9" s="103"/>
      <c r="F9" s="104"/>
      <c r="G9" s="104"/>
      <c r="H9" s="104"/>
      <c r="I9" s="104"/>
      <c r="J9" s="104"/>
      <c r="K9" s="23"/>
      <c r="L9" s="24"/>
      <c r="M9" s="149"/>
      <c r="N9" s="17"/>
      <c r="O9" s="55"/>
      <c r="P9" s="14"/>
      <c r="Q9" s="14"/>
      <c r="R9" s="14"/>
      <c r="S9" s="14"/>
      <c r="T9" s="14"/>
      <c r="U9" s="125"/>
    </row>
    <row r="10" spans="1:21" x14ac:dyDescent="0.25">
      <c r="A10" s="118"/>
      <c r="B10" s="118"/>
      <c r="C10" s="105"/>
      <c r="D10" s="106"/>
      <c r="E10" s="103"/>
      <c r="F10" s="104"/>
      <c r="G10" s="104"/>
      <c r="H10" s="104"/>
      <c r="I10" s="104"/>
      <c r="J10" s="104"/>
      <c r="K10" s="23"/>
      <c r="L10" s="24"/>
      <c r="M10" s="149"/>
      <c r="N10" s="17"/>
      <c r="O10" s="55"/>
      <c r="P10" s="14"/>
      <c r="Q10" s="14"/>
      <c r="R10" s="14"/>
      <c r="S10" s="14"/>
      <c r="T10" s="14"/>
      <c r="U10" s="125"/>
    </row>
    <row r="11" spans="1:21" x14ac:dyDescent="0.25">
      <c r="A11" s="263"/>
      <c r="B11" s="122"/>
      <c r="C11" s="96"/>
      <c r="D11" s="25" t="s">
        <v>15</v>
      </c>
      <c r="E11" s="53" t="s">
        <v>14</v>
      </c>
      <c r="F11" s="25">
        <f>SUM(F4:F10)</f>
        <v>0</v>
      </c>
      <c r="G11" s="25">
        <f>SUM(G4:G10)</f>
        <v>0</v>
      </c>
      <c r="H11" s="25"/>
      <c r="I11" s="25"/>
      <c r="J11" s="25">
        <f>F11-G11</f>
        <v>0</v>
      </c>
      <c r="K11" s="26" t="s">
        <v>16</v>
      </c>
      <c r="L11" s="27">
        <f>SUM(L4:L5)</f>
        <v>0</v>
      </c>
      <c r="M11" s="27">
        <f>SUM(M4:M5)</f>
        <v>0</v>
      </c>
      <c r="N11" s="27">
        <f>SUM(N4:N8)</f>
        <v>0</v>
      </c>
      <c r="O11" s="27">
        <f>SUM(O4:O5)</f>
        <v>0</v>
      </c>
      <c r="P11" s="28"/>
      <c r="Q11" s="28"/>
      <c r="R11" s="28"/>
      <c r="S11" s="28"/>
      <c r="T11" s="28"/>
      <c r="U11" s="125"/>
    </row>
    <row r="12" spans="1:21" x14ac:dyDescent="0.25">
      <c r="A12" s="96"/>
      <c r="B12" s="96"/>
      <c r="C12" s="264"/>
      <c r="D12" s="76"/>
      <c r="E12" s="76"/>
      <c r="F12" s="74"/>
      <c r="G12" s="76"/>
      <c r="H12" s="76"/>
      <c r="I12" s="76"/>
      <c r="J12" s="80"/>
      <c r="K12" s="76"/>
      <c r="L12" s="262"/>
      <c r="M12" s="149"/>
      <c r="N12" s="268"/>
      <c r="O12" s="55"/>
      <c r="P12" s="20"/>
      <c r="Q12" s="20"/>
      <c r="R12" s="20"/>
      <c r="S12" s="20"/>
      <c r="T12" s="28"/>
      <c r="U12" s="125"/>
    </row>
    <row r="13" spans="1:21" x14ac:dyDescent="0.25">
      <c r="A13" s="96"/>
      <c r="B13" s="96"/>
      <c r="C13" s="264"/>
      <c r="D13" s="76"/>
      <c r="E13" s="76"/>
      <c r="F13" s="74"/>
      <c r="G13" s="74"/>
      <c r="H13" s="74"/>
      <c r="I13" s="74"/>
      <c r="J13" s="80"/>
      <c r="K13" s="76"/>
      <c r="L13" s="65"/>
      <c r="M13" s="146"/>
      <c r="N13" s="268"/>
      <c r="O13" s="101"/>
      <c r="P13" s="20"/>
      <c r="Q13" s="20"/>
      <c r="R13" s="20"/>
      <c r="S13" s="20"/>
      <c r="T13" s="28"/>
      <c r="U13" s="125"/>
    </row>
    <row r="14" spans="1:21" x14ac:dyDescent="0.25">
      <c r="A14" s="85"/>
      <c r="B14" s="124"/>
      <c r="C14" s="47"/>
      <c r="D14" s="73"/>
      <c r="E14" s="97"/>
      <c r="F14" s="96"/>
      <c r="G14" s="74"/>
      <c r="H14" s="74"/>
      <c r="I14" s="74"/>
      <c r="J14" s="80">
        <f t="shared" ref="J14:J15" si="1">F14-G14</f>
        <v>0</v>
      </c>
      <c r="K14" s="73"/>
      <c r="L14" s="65"/>
      <c r="M14" s="146"/>
      <c r="N14" s="17"/>
      <c r="O14" s="101"/>
      <c r="P14" s="20"/>
      <c r="Q14" s="20"/>
      <c r="R14" s="20"/>
      <c r="S14" s="20"/>
      <c r="T14" s="28"/>
      <c r="U14" s="125"/>
    </row>
    <row r="15" spans="1:21" x14ac:dyDescent="0.25">
      <c r="A15" s="85"/>
      <c r="B15" s="81"/>
      <c r="C15" s="47"/>
      <c r="D15" s="73"/>
      <c r="E15" s="97"/>
      <c r="F15" s="96"/>
      <c r="G15" s="74"/>
      <c r="H15" s="74"/>
      <c r="I15" s="74"/>
      <c r="J15" s="74">
        <f t="shared" si="1"/>
        <v>0</v>
      </c>
      <c r="K15" s="73"/>
      <c r="L15" s="65"/>
      <c r="M15" s="145"/>
      <c r="N15" s="109"/>
      <c r="O15" s="101"/>
      <c r="P15" s="20"/>
      <c r="Q15" s="20"/>
      <c r="R15" s="20"/>
      <c r="S15" s="20"/>
      <c r="T15" s="28"/>
      <c r="U15" s="125"/>
    </row>
    <row r="16" spans="1:21" x14ac:dyDescent="0.25">
      <c r="A16" s="120"/>
      <c r="B16" s="82"/>
      <c r="C16" s="32"/>
      <c r="D16" s="33" t="s">
        <v>18</v>
      </c>
      <c r="E16" s="34"/>
      <c r="F16" s="110"/>
      <c r="G16" s="110"/>
      <c r="H16" s="110"/>
      <c r="I16" s="110"/>
      <c r="J16" s="110"/>
      <c r="K16" s="35"/>
      <c r="L16" s="29"/>
      <c r="M16" s="146"/>
      <c r="N16" s="109"/>
      <c r="O16" s="101"/>
      <c r="P16" s="20"/>
      <c r="Q16" s="20"/>
      <c r="R16" s="20"/>
      <c r="S16" s="20"/>
      <c r="T16" s="28"/>
      <c r="U16" s="125"/>
    </row>
    <row r="17" spans="1:21" x14ac:dyDescent="0.25">
      <c r="A17" s="120"/>
      <c r="B17" s="82"/>
      <c r="C17" s="82"/>
      <c r="D17" s="127"/>
      <c r="E17" s="87"/>
      <c r="F17" s="110"/>
      <c r="G17" s="110"/>
      <c r="H17" s="116"/>
      <c r="I17" s="111"/>
      <c r="J17" s="110"/>
      <c r="K17" s="35"/>
      <c r="L17" s="29"/>
      <c r="M17" s="146"/>
      <c r="N17" s="109"/>
      <c r="O17" s="101"/>
      <c r="P17" s="20"/>
      <c r="Q17" s="20"/>
      <c r="R17" s="20"/>
      <c r="S17" s="20"/>
      <c r="T17" s="28"/>
      <c r="U17" s="125"/>
    </row>
    <row r="18" spans="1:21" x14ac:dyDescent="0.25">
      <c r="A18" s="74"/>
      <c r="B18" s="83"/>
      <c r="C18" s="83"/>
      <c r="D18" s="25" t="s">
        <v>15</v>
      </c>
      <c r="E18" s="53" t="s">
        <v>17</v>
      </c>
      <c r="F18" s="25">
        <f>SUM(F12:F16)</f>
        <v>0</v>
      </c>
      <c r="G18" s="25">
        <f>SUM(G13:G17)</f>
        <v>0</v>
      </c>
      <c r="H18" s="25"/>
      <c r="I18" s="25"/>
      <c r="J18" s="25">
        <f>F18-G18</f>
        <v>0</v>
      </c>
      <c r="K18" s="26" t="s">
        <v>16</v>
      </c>
      <c r="L18" s="27">
        <f>SUM(L12:L15)</f>
        <v>0</v>
      </c>
      <c r="M18" s="27">
        <f>SUM(M13:M15)</f>
        <v>0</v>
      </c>
      <c r="N18" s="27">
        <f>SUM(N12:N15)</f>
        <v>0</v>
      </c>
      <c r="O18" s="27">
        <f>SUM(O13:O15)</f>
        <v>0</v>
      </c>
      <c r="P18" s="28"/>
      <c r="Q18" s="28"/>
      <c r="R18" s="28"/>
      <c r="S18" s="28"/>
      <c r="T18" s="28"/>
      <c r="U18" s="125"/>
    </row>
    <row r="19" spans="1:21" x14ac:dyDescent="0.25">
      <c r="A19" s="269"/>
      <c r="B19" s="96"/>
      <c r="C19" s="264"/>
      <c r="D19" s="76"/>
      <c r="E19" s="76"/>
      <c r="F19" s="240"/>
      <c r="G19" s="49"/>
      <c r="H19" s="49"/>
      <c r="I19" s="49"/>
      <c r="J19" s="74"/>
      <c r="K19" s="76"/>
      <c r="L19" s="270"/>
      <c r="M19" s="146"/>
      <c r="N19" s="109"/>
      <c r="O19" s="101"/>
      <c r="P19" s="28"/>
      <c r="Q19" s="28"/>
      <c r="R19" s="28"/>
      <c r="S19" s="28"/>
      <c r="T19" s="28"/>
      <c r="U19" s="125"/>
    </row>
    <row r="20" spans="1:21" x14ac:dyDescent="0.25">
      <c r="A20" s="96"/>
      <c r="B20" s="96"/>
      <c r="C20" s="264"/>
      <c r="D20" s="76"/>
      <c r="E20" s="76"/>
      <c r="F20" s="265"/>
      <c r="G20" s="74"/>
      <c r="H20" s="74"/>
      <c r="I20" s="74"/>
      <c r="J20" s="74">
        <f t="shared" ref="J20:J24" si="2">F20-G20</f>
        <v>0</v>
      </c>
      <c r="K20" s="76"/>
      <c r="L20" s="262"/>
      <c r="M20" s="30"/>
      <c r="N20" s="267"/>
      <c r="O20" s="101"/>
      <c r="P20" s="20"/>
      <c r="Q20" s="20"/>
      <c r="R20" s="20"/>
      <c r="S20" s="20"/>
      <c r="T20" s="28"/>
      <c r="U20" s="125"/>
    </row>
    <row r="21" spans="1:21" x14ac:dyDescent="0.25">
      <c r="A21" s="96"/>
      <c r="B21" s="96"/>
      <c r="C21" s="264"/>
      <c r="D21" s="76"/>
      <c r="E21" s="76"/>
      <c r="F21" s="265"/>
      <c r="G21" s="74"/>
      <c r="H21" s="74"/>
      <c r="I21" s="74"/>
      <c r="J21" s="74">
        <f t="shared" si="2"/>
        <v>0</v>
      </c>
      <c r="K21" s="76"/>
      <c r="L21" s="262"/>
      <c r="M21" s="68"/>
      <c r="N21" s="267"/>
      <c r="O21" s="101"/>
      <c r="P21" s="20"/>
      <c r="Q21" s="20"/>
      <c r="R21" s="20"/>
      <c r="S21" s="20"/>
      <c r="T21" s="28"/>
      <c r="U21" s="125"/>
    </row>
    <row r="22" spans="1:21" x14ac:dyDescent="0.25">
      <c r="A22" s="96"/>
      <c r="B22" s="96"/>
      <c r="C22" s="264"/>
      <c r="D22" s="76"/>
      <c r="E22" s="76"/>
      <c r="F22" s="265"/>
      <c r="G22" s="74"/>
      <c r="H22" s="74"/>
      <c r="I22" s="74"/>
      <c r="J22" s="74">
        <f t="shared" si="2"/>
        <v>0</v>
      </c>
      <c r="K22" s="76"/>
      <c r="L22" s="262"/>
      <c r="M22" s="68"/>
      <c r="N22" s="267"/>
      <c r="O22" s="101"/>
      <c r="P22" s="20"/>
      <c r="Q22" s="20"/>
      <c r="R22" s="20"/>
      <c r="S22" s="20"/>
      <c r="T22" s="28"/>
      <c r="U22" s="125"/>
    </row>
    <row r="23" spans="1:21" x14ac:dyDescent="0.25">
      <c r="A23" s="96"/>
      <c r="B23" s="96"/>
      <c r="C23" s="264"/>
      <c r="D23" s="76"/>
      <c r="E23" s="76"/>
      <c r="F23" s="265"/>
      <c r="G23" s="74"/>
      <c r="H23" s="74"/>
      <c r="I23" s="74"/>
      <c r="J23" s="74">
        <f t="shared" si="2"/>
        <v>0</v>
      </c>
      <c r="K23" s="76"/>
      <c r="L23" s="65"/>
      <c r="M23" s="68"/>
      <c r="N23" s="69"/>
      <c r="O23" s="101"/>
      <c r="P23" s="20"/>
      <c r="Q23" s="20"/>
      <c r="R23" s="20"/>
      <c r="S23" s="20"/>
      <c r="T23" s="28"/>
      <c r="U23" s="125"/>
    </row>
    <row r="24" spans="1:21" x14ac:dyDescent="0.25">
      <c r="A24" s="85"/>
      <c r="B24" s="124"/>
      <c r="C24" s="47"/>
      <c r="D24" s="73"/>
      <c r="E24" s="71"/>
      <c r="F24" s="72"/>
      <c r="G24" s="74"/>
      <c r="H24" s="74"/>
      <c r="I24" s="74"/>
      <c r="J24" s="74">
        <f t="shared" si="2"/>
        <v>0</v>
      </c>
      <c r="K24" s="72"/>
      <c r="L24" s="65"/>
      <c r="M24" s="68"/>
      <c r="N24" s="69"/>
      <c r="O24" s="101"/>
      <c r="P24" s="20"/>
      <c r="Q24" s="20"/>
      <c r="R24" s="20"/>
      <c r="S24" s="20"/>
      <c r="T24" s="28"/>
      <c r="U24" s="125"/>
    </row>
    <row r="25" spans="1:21" x14ac:dyDescent="0.25">
      <c r="A25" s="36"/>
      <c r="B25" s="37"/>
      <c r="C25" s="37"/>
      <c r="D25" s="38" t="s">
        <v>42</v>
      </c>
      <c r="E25" s="39"/>
      <c r="F25" s="153"/>
      <c r="G25" s="153"/>
      <c r="H25" s="153"/>
      <c r="I25" s="153"/>
      <c r="J25" s="112"/>
      <c r="K25" s="40"/>
      <c r="L25" s="65"/>
      <c r="M25" s="68"/>
      <c r="N25" s="69"/>
      <c r="O25" s="101"/>
      <c r="P25" s="20"/>
      <c r="Q25" s="20"/>
      <c r="R25" s="20"/>
      <c r="S25" s="20"/>
      <c r="T25" s="28"/>
      <c r="U25" s="125"/>
    </row>
    <row r="26" spans="1:21" x14ac:dyDescent="0.25">
      <c r="A26" s="36"/>
      <c r="B26" s="37"/>
      <c r="C26" s="37"/>
      <c r="D26" s="38"/>
      <c r="E26" s="39"/>
      <c r="F26" s="153"/>
      <c r="G26" s="153"/>
      <c r="H26" s="153"/>
      <c r="I26" s="153"/>
      <c r="J26" s="112"/>
      <c r="K26" s="40"/>
      <c r="L26" s="29"/>
      <c r="M26" s="30"/>
      <c r="N26" s="109"/>
      <c r="O26" s="101"/>
      <c r="P26" s="20"/>
      <c r="Q26" s="31"/>
      <c r="R26" s="31"/>
      <c r="S26" s="31"/>
      <c r="T26" s="28"/>
      <c r="U26" s="125"/>
    </row>
    <row r="27" spans="1:21" x14ac:dyDescent="0.25">
      <c r="A27" s="36"/>
      <c r="B27" s="37"/>
      <c r="C27" s="84"/>
      <c r="D27" s="38"/>
      <c r="E27" s="39"/>
      <c r="F27" s="153"/>
      <c r="G27" s="153"/>
      <c r="H27" s="153"/>
      <c r="I27" s="153"/>
      <c r="J27" s="112"/>
      <c r="K27" s="40"/>
      <c r="L27" s="107"/>
      <c r="M27" s="108"/>
      <c r="N27" s="109"/>
      <c r="O27" s="101"/>
      <c r="P27" s="28"/>
      <c r="Q27" s="28"/>
      <c r="R27" s="28"/>
      <c r="S27" s="28"/>
      <c r="T27" s="28"/>
      <c r="U27" s="125"/>
    </row>
    <row r="28" spans="1:21" x14ac:dyDescent="0.25">
      <c r="A28" s="74"/>
      <c r="B28" s="137"/>
      <c r="C28" s="74"/>
      <c r="D28" s="25" t="s">
        <v>15</v>
      </c>
      <c r="E28" s="26" t="s">
        <v>19</v>
      </c>
      <c r="F28" s="25">
        <f>SUM(F20:F24)</f>
        <v>0</v>
      </c>
      <c r="G28" s="25">
        <f>SUM(G20:G27)</f>
        <v>0</v>
      </c>
      <c r="H28" s="25"/>
      <c r="I28" s="25"/>
      <c r="J28" s="25">
        <f>F28-G28</f>
        <v>0</v>
      </c>
      <c r="K28" s="26" t="s">
        <v>16</v>
      </c>
      <c r="L28" s="27">
        <f>SUM(L20:L24)</f>
        <v>0</v>
      </c>
      <c r="M28" s="27">
        <f>SUM(M20:M24)</f>
        <v>0</v>
      </c>
      <c r="N28" s="27">
        <f>SUM(N20:N24)</f>
        <v>0</v>
      </c>
      <c r="O28" s="27">
        <f>SUM(O20:O24)</f>
        <v>0</v>
      </c>
      <c r="P28" s="28"/>
      <c r="Q28" s="28"/>
      <c r="R28" s="28"/>
      <c r="S28" s="28"/>
      <c r="T28" s="28"/>
      <c r="U28" s="125"/>
    </row>
    <row r="29" spans="1:21" x14ac:dyDescent="0.25">
      <c r="A29" s="96"/>
      <c r="B29" s="96"/>
      <c r="C29" s="264"/>
      <c r="D29" s="72"/>
      <c r="E29" s="72"/>
      <c r="F29" s="73"/>
      <c r="G29" s="49"/>
      <c r="H29" s="49"/>
      <c r="I29" s="49"/>
      <c r="J29" s="74"/>
      <c r="K29" s="72"/>
      <c r="L29" s="65"/>
      <c r="M29" s="68"/>
      <c r="N29" s="69"/>
      <c r="O29" s="143"/>
      <c r="P29" s="20"/>
      <c r="Q29" s="20"/>
      <c r="R29" s="20"/>
      <c r="S29" s="20"/>
      <c r="T29" s="99"/>
      <c r="U29" s="129"/>
    </row>
    <row r="30" spans="1:21" x14ac:dyDescent="0.25">
      <c r="A30" s="85"/>
      <c r="B30" s="138"/>
      <c r="C30" s="86"/>
      <c r="D30" s="74"/>
      <c r="E30" s="59"/>
      <c r="F30" s="60"/>
      <c r="G30" s="49"/>
      <c r="H30" s="49"/>
      <c r="I30" s="49"/>
      <c r="J30" s="74">
        <f t="shared" ref="J30" si="3">F30-G30</f>
        <v>0</v>
      </c>
      <c r="K30" s="57"/>
      <c r="L30" s="65"/>
      <c r="M30" s="68"/>
      <c r="N30" s="113"/>
      <c r="O30" s="121"/>
      <c r="P30" s="20"/>
      <c r="Q30" s="20"/>
      <c r="R30" s="20"/>
      <c r="S30" s="31"/>
      <c r="T30" s="31"/>
      <c r="U30" s="129"/>
    </row>
    <row r="31" spans="1:21" x14ac:dyDescent="0.25">
      <c r="A31" s="130"/>
      <c r="B31" s="139"/>
      <c r="C31" s="131"/>
      <c r="D31" s="132" t="s">
        <v>40</v>
      </c>
      <c r="E31" s="91"/>
      <c r="F31" s="92"/>
      <c r="G31" s="93"/>
      <c r="H31" s="93"/>
      <c r="I31" s="93"/>
      <c r="J31" s="133"/>
      <c r="K31" s="94"/>
      <c r="L31" s="65"/>
      <c r="M31" s="67"/>
      <c r="N31" s="113"/>
      <c r="O31" s="121"/>
      <c r="P31" s="20"/>
      <c r="Q31" s="20"/>
      <c r="R31" s="20"/>
      <c r="S31" s="20"/>
      <c r="T31" s="20"/>
      <c r="U31" s="128"/>
    </row>
    <row r="32" spans="1:21" x14ac:dyDescent="0.25">
      <c r="A32" s="130"/>
      <c r="B32" s="139"/>
      <c r="C32" s="131"/>
      <c r="D32" s="133"/>
      <c r="E32" s="91"/>
      <c r="F32" s="92"/>
      <c r="G32" s="95"/>
      <c r="H32" s="95"/>
      <c r="I32" s="95"/>
      <c r="J32" s="133"/>
      <c r="K32" s="150"/>
      <c r="L32" s="65"/>
      <c r="M32" s="68"/>
      <c r="N32" s="113"/>
      <c r="O32" s="121"/>
      <c r="P32" s="20"/>
      <c r="Q32" s="20"/>
      <c r="R32" s="20"/>
      <c r="S32" s="20"/>
      <c r="T32" s="20"/>
      <c r="U32" s="128"/>
    </row>
    <row r="33" spans="1:21" x14ac:dyDescent="0.25">
      <c r="A33" s="133"/>
      <c r="B33" s="140"/>
      <c r="C33" s="131"/>
      <c r="D33" s="133"/>
      <c r="E33" s="91"/>
      <c r="F33" s="92"/>
      <c r="G33" s="95"/>
      <c r="H33" s="95"/>
      <c r="I33" s="95"/>
      <c r="J33" s="133"/>
      <c r="K33" s="94"/>
      <c r="L33" s="58"/>
      <c r="M33" s="68"/>
      <c r="N33" s="113"/>
      <c r="O33" s="121"/>
      <c r="P33" s="20"/>
      <c r="Q33" s="20"/>
      <c r="R33" s="20"/>
      <c r="S33" s="20"/>
      <c r="T33" s="20"/>
      <c r="U33" s="129"/>
    </row>
    <row r="34" spans="1:21" x14ac:dyDescent="0.25">
      <c r="A34" s="134"/>
      <c r="B34" s="141"/>
      <c r="C34" s="135"/>
      <c r="D34" s="25" t="s">
        <v>15</v>
      </c>
      <c r="E34" s="54" t="s">
        <v>22</v>
      </c>
      <c r="F34" s="25">
        <f>SUM(F29:F33)</f>
        <v>0</v>
      </c>
      <c r="G34" s="25">
        <f>SUM(G29:G33)</f>
        <v>0</v>
      </c>
      <c r="H34" s="25"/>
      <c r="I34" s="25"/>
      <c r="J34" s="25">
        <f>F34-G34</f>
        <v>0</v>
      </c>
      <c r="K34" s="26" t="s">
        <v>16</v>
      </c>
      <c r="L34" s="27">
        <f>SUM(L29:L30)</f>
        <v>0</v>
      </c>
      <c r="M34" s="27">
        <f>SUM(M29:M30)</f>
        <v>0</v>
      </c>
      <c r="N34" s="27">
        <f>SUM(N29:N33)</f>
        <v>0</v>
      </c>
      <c r="O34" s="27">
        <f>SUM(O29:O33)</f>
        <v>0</v>
      </c>
      <c r="P34" s="20"/>
      <c r="Q34" s="20"/>
      <c r="R34" s="20"/>
      <c r="S34" s="20"/>
      <c r="T34" s="20"/>
      <c r="U34" s="129"/>
    </row>
    <row r="35" spans="1:21" x14ac:dyDescent="0.25">
      <c r="A35" s="74"/>
      <c r="B35" s="137"/>
      <c r="C35" s="74"/>
      <c r="D35" s="74"/>
      <c r="E35" s="74"/>
      <c r="F35" s="74"/>
      <c r="G35" s="74"/>
      <c r="H35" s="74"/>
      <c r="I35" s="74"/>
      <c r="J35" s="74"/>
      <c r="K35" s="74"/>
      <c r="L35" s="107"/>
      <c r="M35" s="115"/>
      <c r="N35" s="113"/>
      <c r="O35" s="121"/>
      <c r="P35" s="28"/>
      <c r="Q35" s="28"/>
      <c r="R35" s="28"/>
      <c r="S35" s="28"/>
      <c r="T35" s="74"/>
      <c r="U35" s="117"/>
    </row>
    <row r="36" spans="1:21" x14ac:dyDescent="0.25">
      <c r="A36" s="74"/>
      <c r="B36" s="137"/>
      <c r="C36" s="74"/>
      <c r="D36" s="358" t="s">
        <v>24</v>
      </c>
      <c r="E36" s="359"/>
      <c r="F36" s="41">
        <f>SUM(F11,F18,F28,F34,)</f>
        <v>0</v>
      </c>
      <c r="G36" s="41">
        <f>SUM(G11,G18,G28,G34,)</f>
        <v>0</v>
      </c>
      <c r="H36" s="41"/>
      <c r="I36" s="41"/>
      <c r="J36" s="41">
        <f>SUM(F36-G36)</f>
        <v>0</v>
      </c>
      <c r="K36" s="42" t="s">
        <v>16</v>
      </c>
      <c r="L36" s="41">
        <f>SUM(L11,L18,L28,L34,)</f>
        <v>0</v>
      </c>
      <c r="M36" s="41">
        <f>SUM(M11,M18,M28,M34,)</f>
        <v>0</v>
      </c>
      <c r="N36" s="41">
        <f>SUM(N11,N18,N28,N34,)</f>
        <v>0</v>
      </c>
      <c r="O36" s="41">
        <f>SUM(O11,O18,O28,O34,)</f>
        <v>0</v>
      </c>
      <c r="P36" s="28"/>
      <c r="Q36" s="28"/>
      <c r="R36" s="28"/>
      <c r="S36" s="28"/>
      <c r="T36" s="74"/>
      <c r="U36" s="117"/>
    </row>
    <row r="37" spans="1:2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2"/>
      <c r="Q37" s="122"/>
      <c r="R37" s="122"/>
      <c r="S37" s="122"/>
      <c r="T37" s="117"/>
      <c r="U37" s="117"/>
    </row>
    <row r="38" spans="1:21" ht="18" x14ac:dyDescent="0.25">
      <c r="A38" s="117"/>
      <c r="B38" s="117"/>
      <c r="C38" s="117"/>
      <c r="D38" s="43"/>
      <c r="E38" s="117"/>
      <c r="F38" s="117"/>
      <c r="G38" s="117"/>
      <c r="H38" s="117"/>
      <c r="I38" s="117"/>
      <c r="J38" s="117"/>
      <c r="K38" s="44" t="s">
        <v>20</v>
      </c>
      <c r="L38" s="44">
        <f>F36-L36-M36-N36-O36</f>
        <v>0</v>
      </c>
      <c r="M38" s="117"/>
      <c r="N38" s="117"/>
      <c r="O38" s="117"/>
      <c r="P38" s="117"/>
      <c r="Q38" s="117"/>
      <c r="R38" s="117"/>
      <c r="S38" s="117"/>
      <c r="T38" s="117"/>
      <c r="U38" s="117"/>
    </row>
    <row r="39" spans="1:21" x14ac:dyDescent="0.25">
      <c r="A39" s="117"/>
      <c r="B39" s="117"/>
      <c r="C39" s="117"/>
      <c r="D39" s="45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</row>
    <row r="40" spans="1:21" x14ac:dyDescent="0.25">
      <c r="A40" s="117"/>
      <c r="B40" s="117"/>
      <c r="C40" s="117"/>
      <c r="D40" s="45"/>
      <c r="E40" s="117"/>
      <c r="F40" s="117"/>
      <c r="G40" s="50"/>
      <c r="H40" s="50"/>
      <c r="I40" s="50"/>
      <c r="J40" s="50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</row>
    <row r="41" spans="1:21" x14ac:dyDescent="0.25">
      <c r="A41" s="117"/>
      <c r="B41" s="117"/>
      <c r="C41" s="117"/>
      <c r="D41" s="45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</row>
    <row r="42" spans="1:21" x14ac:dyDescent="0.25">
      <c r="A42" s="117"/>
      <c r="B42" s="117"/>
      <c r="C42" s="117"/>
      <c r="D42" s="45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</row>
    <row r="43" spans="1:2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</row>
    <row r="44" spans="1:2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</row>
    <row r="45" spans="1:21" ht="33" x14ac:dyDescent="0.45">
      <c r="A45" s="117"/>
      <c r="B45" s="117"/>
      <c r="C45" s="117"/>
      <c r="D45" s="360" t="s">
        <v>54</v>
      </c>
      <c r="E45" s="361"/>
      <c r="F45" s="361"/>
      <c r="G45" s="361"/>
      <c r="H45" s="361"/>
      <c r="I45" s="361"/>
      <c r="J45" s="361"/>
      <c r="K45" s="361"/>
      <c r="L45" s="361"/>
      <c r="M45" s="362"/>
      <c r="N45" s="117"/>
      <c r="O45" s="117"/>
      <c r="P45" s="117"/>
      <c r="Q45" s="117"/>
      <c r="R45" s="117"/>
      <c r="S45" s="117"/>
      <c r="T45" s="117"/>
      <c r="U45" s="117"/>
    </row>
    <row r="46" spans="1:2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</row>
    <row r="47" spans="1:2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</row>
    <row r="48" spans="1:21" x14ac:dyDescent="0.25">
      <c r="A48" s="363" t="s">
        <v>25</v>
      </c>
      <c r="B48" s="364"/>
      <c r="C48" s="365"/>
      <c r="D48" s="46" t="s">
        <v>26</v>
      </c>
      <c r="E48" s="61" t="s">
        <v>108</v>
      </c>
      <c r="F48" s="63" t="s">
        <v>33</v>
      </c>
      <c r="G48" s="363" t="s">
        <v>27</v>
      </c>
      <c r="H48" s="365"/>
      <c r="I48" s="363" t="s">
        <v>28</v>
      </c>
      <c r="J48" s="365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</row>
    <row r="49" spans="1:2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353" t="s">
        <v>35</v>
      </c>
      <c r="M49" s="354"/>
      <c r="N49" s="354"/>
      <c r="O49" s="354"/>
      <c r="P49" s="354"/>
      <c r="Q49" s="354"/>
      <c r="R49" s="354"/>
      <c r="S49" s="354"/>
      <c r="T49" s="354"/>
      <c r="U49" s="354"/>
    </row>
    <row r="50" spans="1:2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36">
        <v>123</v>
      </c>
      <c r="M50" s="136">
        <v>125</v>
      </c>
      <c r="N50" s="136"/>
      <c r="O50" s="136"/>
      <c r="P50" s="136"/>
      <c r="Q50" s="136"/>
      <c r="R50" s="136"/>
      <c r="S50" s="136"/>
      <c r="T50" s="136"/>
      <c r="U50" s="136"/>
    </row>
    <row r="51" spans="1:21" x14ac:dyDescent="0.25">
      <c r="A51" s="338" t="s">
        <v>55</v>
      </c>
      <c r="B51" s="339"/>
      <c r="C51" s="340"/>
      <c r="D51" s="51"/>
      <c r="E51" s="88">
        <v>41970</v>
      </c>
      <c r="F51" s="75">
        <v>0.40200000000000002</v>
      </c>
      <c r="G51" s="341">
        <f>E51*0.402</f>
        <v>16871.940000000002</v>
      </c>
      <c r="H51" s="342"/>
      <c r="I51" s="343">
        <v>16</v>
      </c>
      <c r="J51" s="344"/>
      <c r="K51" s="117"/>
      <c r="L51" s="74"/>
      <c r="M51" s="74"/>
      <c r="N51" s="74"/>
      <c r="O51" s="74"/>
      <c r="P51" s="74"/>
      <c r="Q51" s="74"/>
      <c r="R51" s="74"/>
      <c r="S51" s="74"/>
      <c r="T51" s="74"/>
      <c r="U51" s="74"/>
    </row>
    <row r="52" spans="1:21" x14ac:dyDescent="0.25">
      <c r="A52" s="338" t="s">
        <v>56</v>
      </c>
      <c r="B52" s="339"/>
      <c r="C52" s="340"/>
      <c r="D52" s="98"/>
      <c r="E52" s="88">
        <v>66260</v>
      </c>
      <c r="F52" s="75">
        <v>0.38600000000000001</v>
      </c>
      <c r="G52" s="341">
        <f>E52*0.386</f>
        <v>25576.36</v>
      </c>
      <c r="H52" s="342"/>
      <c r="I52" s="343">
        <v>25</v>
      </c>
      <c r="J52" s="344"/>
      <c r="K52" s="117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x14ac:dyDescent="0.25">
      <c r="A53" s="338"/>
      <c r="B53" s="339"/>
      <c r="C53" s="340"/>
      <c r="D53" s="123"/>
      <c r="E53" s="89"/>
      <c r="F53" s="75"/>
      <c r="G53" s="341">
        <f>E53*0</f>
        <v>0</v>
      </c>
      <c r="H53" s="342"/>
      <c r="I53" s="343"/>
      <c r="J53" s="344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</row>
    <row r="54" spans="1:21" x14ac:dyDescent="0.25">
      <c r="A54" s="338"/>
      <c r="B54" s="339"/>
      <c r="C54" s="340"/>
      <c r="D54" s="123"/>
      <c r="E54" s="89"/>
      <c r="F54" s="64"/>
      <c r="G54" s="341">
        <f>E54*0</f>
        <v>0</v>
      </c>
      <c r="H54" s="342"/>
      <c r="I54" s="370"/>
      <c r="J54" s="371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</row>
    <row r="55" spans="1:21" x14ac:dyDescent="0.25">
      <c r="A55" s="348" t="s">
        <v>29</v>
      </c>
      <c r="B55" s="349"/>
      <c r="C55" s="350"/>
      <c r="D55" s="52">
        <f>SUM(D51:D54)</f>
        <v>0</v>
      </c>
      <c r="E55" s="90">
        <f>SUM(E51:E54)</f>
        <v>108230</v>
      </c>
      <c r="F55" s="62"/>
      <c r="G55" s="351">
        <f>SUM(G51:G54)</f>
        <v>42448.3</v>
      </c>
      <c r="H55" s="352"/>
      <c r="I55" s="348">
        <f>SUM(I51:I54)</f>
        <v>41</v>
      </c>
      <c r="J55" s="350"/>
    </row>
  </sheetData>
  <mergeCells count="23">
    <mergeCell ref="A55:C55"/>
    <mergeCell ref="G55:H55"/>
    <mergeCell ref="I55:J55"/>
    <mergeCell ref="A53:C53"/>
    <mergeCell ref="G53:H53"/>
    <mergeCell ref="I53:J53"/>
    <mergeCell ref="A54:C54"/>
    <mergeCell ref="G54:H54"/>
    <mergeCell ref="I54:J54"/>
    <mergeCell ref="L49:U49"/>
    <mergeCell ref="A51:C51"/>
    <mergeCell ref="G51:H51"/>
    <mergeCell ref="I51:J51"/>
    <mergeCell ref="A52:C52"/>
    <mergeCell ref="G52:H52"/>
    <mergeCell ref="I52:J52"/>
    <mergeCell ref="A1:C1"/>
    <mergeCell ref="G1:N1"/>
    <mergeCell ref="D36:E36"/>
    <mergeCell ref="D45:M45"/>
    <mergeCell ref="A48:C48"/>
    <mergeCell ref="G48:H48"/>
    <mergeCell ref="I48:J48"/>
  </mergeCells>
  <phoneticPr fontId="1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7284-901E-4B65-B909-B17473B10C18}">
  <dimension ref="A1:N69"/>
  <sheetViews>
    <sheetView topLeftCell="A23" workbookViewId="0">
      <selection activeCell="D18" sqref="D18"/>
    </sheetView>
  </sheetViews>
  <sheetFormatPr defaultRowHeight="15" x14ac:dyDescent="0.25"/>
  <cols>
    <col min="2" max="2" width="11.7109375" customWidth="1"/>
    <col min="3" max="3" width="33" customWidth="1"/>
    <col min="6" max="6" width="16" customWidth="1"/>
  </cols>
  <sheetData>
    <row r="1" spans="1:14" x14ac:dyDescent="0.25">
      <c r="C1" t="s">
        <v>254</v>
      </c>
    </row>
    <row r="2" spans="1:14" ht="30" x14ac:dyDescent="0.25">
      <c r="A2" s="316" t="s">
        <v>229</v>
      </c>
      <c r="B2" s="317" t="s">
        <v>230</v>
      </c>
      <c r="C2" s="316" t="s">
        <v>231</v>
      </c>
      <c r="D2" s="316" t="s">
        <v>232</v>
      </c>
      <c r="E2" s="316"/>
      <c r="F2" s="316" t="s">
        <v>233</v>
      </c>
      <c r="G2" s="316" t="s">
        <v>234</v>
      </c>
      <c r="H2" s="317" t="s">
        <v>235</v>
      </c>
      <c r="I2" s="316" t="s">
        <v>236</v>
      </c>
      <c r="J2" s="316" t="s">
        <v>237</v>
      </c>
      <c r="K2" s="316" t="s">
        <v>78</v>
      </c>
      <c r="L2" s="316" t="s">
        <v>238</v>
      </c>
      <c r="M2" s="316" t="s">
        <v>239</v>
      </c>
      <c r="N2" s="316" t="s">
        <v>240</v>
      </c>
    </row>
    <row r="3" spans="1:14" ht="15.75" x14ac:dyDescent="0.25">
      <c r="A3" s="296" t="s">
        <v>183</v>
      </c>
      <c r="B3" s="297" t="s">
        <v>184</v>
      </c>
      <c r="C3" s="298" t="s">
        <v>94</v>
      </c>
      <c r="D3" s="299"/>
      <c r="E3" s="301"/>
      <c r="F3" s="301" t="s">
        <v>224</v>
      </c>
      <c r="G3" s="298" t="s">
        <v>164</v>
      </c>
      <c r="H3" s="229"/>
      <c r="I3" s="20"/>
      <c r="J3" s="20"/>
      <c r="K3" s="20"/>
      <c r="L3" s="20"/>
      <c r="M3" s="28"/>
      <c r="N3" s="20"/>
    </row>
    <row r="4" spans="1:14" ht="15.75" x14ac:dyDescent="0.25">
      <c r="A4" s="296" t="s">
        <v>183</v>
      </c>
      <c r="B4" s="297" t="s">
        <v>184</v>
      </c>
      <c r="C4" s="298" t="s">
        <v>94</v>
      </c>
      <c r="D4" s="299"/>
      <c r="E4" s="301"/>
      <c r="F4" s="301" t="s">
        <v>252</v>
      </c>
      <c r="G4" s="298" t="s">
        <v>165</v>
      </c>
      <c r="H4" s="229"/>
      <c r="I4" s="20">
        <v>4.0000000000000001E-3</v>
      </c>
      <c r="J4" s="20">
        <v>0.02</v>
      </c>
      <c r="K4" s="20">
        <v>0</v>
      </c>
      <c r="L4" s="20">
        <v>0.06</v>
      </c>
      <c r="M4" s="28"/>
      <c r="N4" s="20"/>
    </row>
    <row r="5" spans="1:14" ht="15.75" x14ac:dyDescent="0.25">
      <c r="A5" s="296" t="s">
        <v>183</v>
      </c>
      <c r="B5" s="297" t="s">
        <v>184</v>
      </c>
      <c r="C5" s="298" t="s">
        <v>94</v>
      </c>
      <c r="D5" s="299"/>
      <c r="E5" s="301"/>
      <c r="F5" s="301" t="s">
        <v>221</v>
      </c>
      <c r="G5" s="298" t="s">
        <v>166</v>
      </c>
      <c r="H5" s="229"/>
      <c r="I5" s="20"/>
      <c r="J5" s="20"/>
      <c r="K5" s="20"/>
      <c r="L5" s="20"/>
      <c r="M5" s="28"/>
      <c r="N5" s="20"/>
    </row>
    <row r="6" spans="1:14" ht="15.75" x14ac:dyDescent="0.25">
      <c r="A6" s="296" t="s">
        <v>183</v>
      </c>
      <c r="B6" s="297" t="s">
        <v>184</v>
      </c>
      <c r="C6" s="298" t="s">
        <v>94</v>
      </c>
      <c r="D6" s="299"/>
      <c r="E6" s="301"/>
      <c r="F6" s="301" t="s">
        <v>221</v>
      </c>
      <c r="G6" s="298" t="s">
        <v>185</v>
      </c>
      <c r="H6" s="229"/>
      <c r="I6" s="20"/>
      <c r="J6" s="20"/>
      <c r="K6" s="20"/>
      <c r="L6" s="20"/>
      <c r="M6" s="28"/>
      <c r="N6" s="20"/>
    </row>
    <row r="7" spans="1:14" ht="15.75" x14ac:dyDescent="0.25">
      <c r="A7" s="296" t="s">
        <v>183</v>
      </c>
      <c r="B7" s="297" t="s">
        <v>184</v>
      </c>
      <c r="C7" s="298" t="s">
        <v>94</v>
      </c>
      <c r="D7" s="299"/>
      <c r="E7" s="301"/>
      <c r="F7" s="301" t="s">
        <v>224</v>
      </c>
      <c r="G7" s="298" t="s">
        <v>186</v>
      </c>
      <c r="H7" s="229"/>
      <c r="I7" s="20"/>
      <c r="J7" s="20"/>
      <c r="K7" s="20"/>
      <c r="L7" s="20"/>
      <c r="M7" s="28"/>
      <c r="N7" s="20"/>
    </row>
    <row r="8" spans="1:14" ht="15.75" x14ac:dyDescent="0.25">
      <c r="A8" s="296" t="s">
        <v>183</v>
      </c>
      <c r="B8" s="297" t="s">
        <v>184</v>
      </c>
      <c r="C8" s="298" t="s">
        <v>94</v>
      </c>
      <c r="D8" s="299"/>
      <c r="E8" s="301"/>
      <c r="F8" s="301" t="s">
        <v>221</v>
      </c>
      <c r="G8" s="298" t="s">
        <v>187</v>
      </c>
      <c r="H8" s="229"/>
      <c r="I8" s="20"/>
      <c r="J8" s="20"/>
      <c r="K8" s="20"/>
      <c r="L8" s="20"/>
      <c r="M8" s="28"/>
      <c r="N8" s="20"/>
    </row>
    <row r="9" spans="1:14" ht="15.75" x14ac:dyDescent="0.25">
      <c r="A9" s="296" t="s">
        <v>183</v>
      </c>
      <c r="B9" s="297" t="s">
        <v>184</v>
      </c>
      <c r="C9" s="298" t="s">
        <v>94</v>
      </c>
      <c r="D9" s="299"/>
      <c r="E9" s="301"/>
      <c r="F9" s="301" t="s">
        <v>252</v>
      </c>
      <c r="G9" s="298" t="s">
        <v>188</v>
      </c>
      <c r="H9" s="229"/>
      <c r="I9" s="20">
        <v>7.0000000000000001E-3</v>
      </c>
      <c r="J9" s="20">
        <v>1.5699999999999999E-2</v>
      </c>
      <c r="K9" s="20">
        <v>0</v>
      </c>
      <c r="L9" s="20">
        <v>0.08</v>
      </c>
      <c r="M9" s="28"/>
      <c r="N9" s="20"/>
    </row>
    <row r="10" spans="1:14" ht="15.75" x14ac:dyDescent="0.25">
      <c r="A10" s="296" t="s">
        <v>183</v>
      </c>
      <c r="B10" s="297" t="s">
        <v>184</v>
      </c>
      <c r="C10" s="298" t="s">
        <v>94</v>
      </c>
      <c r="D10" s="299"/>
      <c r="E10" s="301"/>
      <c r="F10" s="301" t="s">
        <v>252</v>
      </c>
      <c r="G10" s="298" t="s">
        <v>189</v>
      </c>
      <c r="H10" s="229"/>
      <c r="I10" s="20">
        <v>1.0999999999999999E-2</v>
      </c>
      <c r="J10" s="20">
        <v>0.02</v>
      </c>
      <c r="K10" s="20">
        <v>0</v>
      </c>
      <c r="L10" s="20">
        <v>0.08</v>
      </c>
      <c r="M10" s="28"/>
      <c r="N10" s="20"/>
    </row>
    <row r="11" spans="1:14" ht="15.75" x14ac:dyDescent="0.25">
      <c r="A11" s="296" t="s">
        <v>183</v>
      </c>
      <c r="B11" s="297" t="s">
        <v>184</v>
      </c>
      <c r="C11" s="298" t="s">
        <v>94</v>
      </c>
      <c r="D11" s="299"/>
      <c r="E11" s="301"/>
      <c r="F11" s="301" t="s">
        <v>224</v>
      </c>
      <c r="G11" s="298" t="s">
        <v>190</v>
      </c>
      <c r="H11" s="229"/>
      <c r="I11" s="20"/>
      <c r="J11" s="20"/>
      <c r="K11" s="20"/>
      <c r="L11" s="20"/>
      <c r="M11" s="28"/>
      <c r="N11" s="20"/>
    </row>
    <row r="12" spans="1:14" ht="15.75" x14ac:dyDescent="0.25">
      <c r="A12" s="296" t="s">
        <v>183</v>
      </c>
      <c r="B12" s="297" t="s">
        <v>184</v>
      </c>
      <c r="C12" s="298" t="s">
        <v>94</v>
      </c>
      <c r="D12" s="299"/>
      <c r="E12" s="301"/>
      <c r="F12" s="301" t="s">
        <v>252</v>
      </c>
      <c r="G12" s="298" t="s">
        <v>191</v>
      </c>
      <c r="H12" s="229"/>
      <c r="I12" s="20">
        <v>5.0000000000000001E-3</v>
      </c>
      <c r="J12" s="20">
        <v>0.01</v>
      </c>
      <c r="K12" s="20">
        <v>0</v>
      </c>
      <c r="L12" s="20">
        <v>0.06</v>
      </c>
      <c r="M12" s="28"/>
      <c r="N12" s="20"/>
    </row>
    <row r="13" spans="1:14" ht="15.75" x14ac:dyDescent="0.25">
      <c r="A13" s="296" t="s">
        <v>183</v>
      </c>
      <c r="B13" s="297" t="s">
        <v>184</v>
      </c>
      <c r="C13" s="298" t="s">
        <v>94</v>
      </c>
      <c r="D13" s="299"/>
      <c r="E13" s="301"/>
      <c r="F13" s="301" t="s">
        <v>252</v>
      </c>
      <c r="G13" s="298" t="s">
        <v>192</v>
      </c>
      <c r="H13" s="229"/>
      <c r="I13" s="20">
        <v>2E-3</v>
      </c>
      <c r="J13" s="20">
        <v>0.01</v>
      </c>
      <c r="K13" s="20">
        <v>0</v>
      </c>
      <c r="L13" s="20">
        <v>7.4999999999999997E-2</v>
      </c>
      <c r="M13" s="28"/>
      <c r="N13" s="20"/>
    </row>
    <row r="14" spans="1:14" ht="15.75" x14ac:dyDescent="0.25">
      <c r="A14" s="296" t="s">
        <v>183</v>
      </c>
      <c r="B14" s="297" t="s">
        <v>184</v>
      </c>
      <c r="C14" s="298" t="s">
        <v>94</v>
      </c>
      <c r="D14" s="299"/>
      <c r="E14" s="301"/>
      <c r="F14" s="301" t="s">
        <v>252</v>
      </c>
      <c r="G14" s="298" t="s">
        <v>193</v>
      </c>
      <c r="H14" s="229"/>
      <c r="I14" s="20">
        <v>8.9999999999999993E-3</v>
      </c>
      <c r="J14" s="20">
        <v>1.4999999999999999E-2</v>
      </c>
      <c r="K14" s="20">
        <v>0</v>
      </c>
      <c r="L14" s="20">
        <v>0.08</v>
      </c>
      <c r="M14" s="28"/>
      <c r="N14" s="20"/>
    </row>
    <row r="15" spans="1:14" ht="15.75" x14ac:dyDescent="0.25">
      <c r="A15" s="296" t="s">
        <v>183</v>
      </c>
      <c r="B15" s="297" t="s">
        <v>184</v>
      </c>
      <c r="C15" s="298" t="s">
        <v>94</v>
      </c>
      <c r="D15" s="299"/>
      <c r="E15" s="301"/>
      <c r="F15" s="301" t="s">
        <v>224</v>
      </c>
      <c r="G15" s="298" t="s">
        <v>194</v>
      </c>
      <c r="H15" s="229"/>
      <c r="I15" s="20"/>
      <c r="J15" s="20"/>
      <c r="K15" s="20"/>
      <c r="L15" s="20"/>
      <c r="M15" s="28"/>
      <c r="N15" s="20"/>
    </row>
    <row r="16" spans="1:14" ht="15.75" x14ac:dyDescent="0.25">
      <c r="A16" s="296" t="s">
        <v>183</v>
      </c>
      <c r="B16" s="297" t="s">
        <v>184</v>
      </c>
      <c r="C16" s="298" t="s">
        <v>94</v>
      </c>
      <c r="D16" s="299"/>
      <c r="E16" s="301"/>
      <c r="F16" s="301" t="s">
        <v>252</v>
      </c>
      <c r="G16" s="298" t="s">
        <v>195</v>
      </c>
      <c r="H16" s="229"/>
      <c r="I16" s="20">
        <v>8.9999999999999993E-3</v>
      </c>
      <c r="J16" s="20">
        <v>1.4999999999999999E-2</v>
      </c>
      <c r="K16" s="20">
        <v>0</v>
      </c>
      <c r="L16" s="20">
        <v>0.105</v>
      </c>
      <c r="M16" s="28"/>
      <c r="N16" s="20"/>
    </row>
    <row r="17" spans="1:14" ht="15.75" x14ac:dyDescent="0.25">
      <c r="A17" s="296" t="s">
        <v>183</v>
      </c>
      <c r="B17" s="297" t="s">
        <v>184</v>
      </c>
      <c r="C17" s="298" t="s">
        <v>94</v>
      </c>
      <c r="D17" s="299"/>
      <c r="E17" s="301"/>
      <c r="F17" s="301" t="s">
        <v>252</v>
      </c>
      <c r="G17" s="298" t="s">
        <v>196</v>
      </c>
      <c r="H17" s="229"/>
      <c r="I17" s="20">
        <v>4.0000000000000001E-3</v>
      </c>
      <c r="J17" s="20">
        <v>2.5000000000000001E-2</v>
      </c>
      <c r="K17" s="20">
        <v>0</v>
      </c>
      <c r="L17" s="20">
        <v>0.09</v>
      </c>
      <c r="M17" s="28"/>
      <c r="N17" s="20"/>
    </row>
    <row r="18" spans="1:14" ht="15.75" x14ac:dyDescent="0.25">
      <c r="A18" s="296" t="s">
        <v>183</v>
      </c>
      <c r="B18" s="297" t="s">
        <v>184</v>
      </c>
      <c r="C18" s="298" t="s">
        <v>94</v>
      </c>
      <c r="D18" s="299"/>
      <c r="E18" s="301"/>
      <c r="F18" s="301" t="s">
        <v>225</v>
      </c>
      <c r="G18" s="298" t="s">
        <v>197</v>
      </c>
      <c r="H18" s="229"/>
      <c r="I18" s="20"/>
      <c r="J18" s="20"/>
      <c r="K18" s="20"/>
      <c r="L18" s="20"/>
      <c r="M18" s="28"/>
      <c r="N18" s="20"/>
    </row>
    <row r="19" spans="1:14" ht="15.75" x14ac:dyDescent="0.25">
      <c r="A19" s="296" t="s">
        <v>183</v>
      </c>
      <c r="B19" s="297" t="s">
        <v>184</v>
      </c>
      <c r="C19" s="298" t="s">
        <v>94</v>
      </c>
      <c r="D19" s="299"/>
      <c r="E19" s="301"/>
      <c r="F19" s="301" t="s">
        <v>252</v>
      </c>
      <c r="G19" s="298" t="s">
        <v>198</v>
      </c>
      <c r="H19" s="229"/>
      <c r="I19" s="20">
        <v>6.0000000000000001E-3</v>
      </c>
      <c r="J19" s="20">
        <v>0.02</v>
      </c>
      <c r="K19" s="20">
        <v>0</v>
      </c>
      <c r="L19" s="20">
        <v>0.06</v>
      </c>
      <c r="M19" s="28"/>
      <c r="N19" s="20"/>
    </row>
    <row r="20" spans="1:14" ht="15.75" x14ac:dyDescent="0.25">
      <c r="A20" s="296" t="s">
        <v>183</v>
      </c>
      <c r="B20" s="297" t="s">
        <v>184</v>
      </c>
      <c r="C20" s="298" t="s">
        <v>94</v>
      </c>
      <c r="D20" s="299"/>
      <c r="E20" s="301"/>
      <c r="F20" s="301" t="s">
        <v>225</v>
      </c>
      <c r="G20" s="298" t="s">
        <v>199</v>
      </c>
      <c r="H20" s="229"/>
      <c r="I20" s="20"/>
      <c r="J20" s="20"/>
      <c r="K20" s="20"/>
      <c r="L20" s="20"/>
      <c r="M20" s="28"/>
      <c r="N20" s="20"/>
    </row>
    <row r="21" spans="1:14" ht="15.75" x14ac:dyDescent="0.25">
      <c r="A21" s="296" t="s">
        <v>183</v>
      </c>
      <c r="B21" s="297" t="s">
        <v>184</v>
      </c>
      <c r="C21" s="298" t="s">
        <v>94</v>
      </c>
      <c r="D21" s="299"/>
      <c r="E21" s="301"/>
      <c r="F21" s="301" t="s">
        <v>252</v>
      </c>
      <c r="G21" s="298" t="s">
        <v>200</v>
      </c>
      <c r="H21" s="229"/>
      <c r="I21" s="20">
        <v>6.0000000000000001E-3</v>
      </c>
      <c r="J21" s="20">
        <v>0.02</v>
      </c>
      <c r="K21" s="20">
        <v>0</v>
      </c>
      <c r="L21" s="20">
        <v>7.4999999999999997E-2</v>
      </c>
      <c r="M21" s="28"/>
      <c r="N21" s="20"/>
    </row>
    <row r="22" spans="1:14" ht="15.75" x14ac:dyDescent="0.25">
      <c r="A22" s="296" t="s">
        <v>183</v>
      </c>
      <c r="B22" s="297" t="s">
        <v>184</v>
      </c>
      <c r="C22" s="298" t="s">
        <v>94</v>
      </c>
      <c r="D22" s="299"/>
      <c r="E22" s="301"/>
      <c r="F22" s="301" t="s">
        <v>252</v>
      </c>
      <c r="G22" s="298" t="s">
        <v>201</v>
      </c>
      <c r="H22" s="229"/>
      <c r="I22" s="20">
        <v>4.0000000000000001E-3</v>
      </c>
      <c r="J22" s="20">
        <v>1.4999999999999999E-2</v>
      </c>
      <c r="K22" s="20">
        <v>0</v>
      </c>
      <c r="L22" s="20">
        <v>7.4999999999999997E-2</v>
      </c>
      <c r="M22" s="28"/>
      <c r="N22" s="20"/>
    </row>
    <row r="23" spans="1:14" ht="15.75" x14ac:dyDescent="0.25">
      <c r="A23" s="296" t="s">
        <v>183</v>
      </c>
      <c r="B23" s="297" t="s">
        <v>184</v>
      </c>
      <c r="C23" s="298" t="s">
        <v>94</v>
      </c>
      <c r="D23" s="299"/>
      <c r="E23" s="301"/>
      <c r="F23" s="301" t="s">
        <v>252</v>
      </c>
      <c r="G23" s="298" t="s">
        <v>202</v>
      </c>
      <c r="H23" s="229"/>
      <c r="I23" s="20">
        <v>4.0000000000000001E-3</v>
      </c>
      <c r="J23" s="20">
        <v>1.4999999999999999E-2</v>
      </c>
      <c r="K23" s="20">
        <v>0</v>
      </c>
      <c r="L23" s="20">
        <v>0.06</v>
      </c>
      <c r="M23" s="28"/>
      <c r="N23" s="20"/>
    </row>
    <row r="24" spans="1:14" ht="15.75" x14ac:dyDescent="0.25">
      <c r="A24" s="296" t="s">
        <v>183</v>
      </c>
      <c r="B24" s="297" t="s">
        <v>184</v>
      </c>
      <c r="C24" s="298" t="s">
        <v>94</v>
      </c>
      <c r="D24" s="299"/>
      <c r="E24" s="301"/>
      <c r="F24" s="301" t="s">
        <v>252</v>
      </c>
      <c r="G24" s="298" t="s">
        <v>203</v>
      </c>
      <c r="H24" s="229"/>
      <c r="I24" s="20">
        <v>3.0000000000000001E-3</v>
      </c>
      <c r="J24" s="20">
        <v>1.4999999999999999E-2</v>
      </c>
      <c r="K24" s="20">
        <v>0</v>
      </c>
      <c r="L24" s="20">
        <v>0.06</v>
      </c>
      <c r="M24" s="28"/>
      <c r="N24" s="20"/>
    </row>
    <row r="25" spans="1:14" ht="15.75" x14ac:dyDescent="0.25">
      <c r="A25" s="296" t="s">
        <v>183</v>
      </c>
      <c r="B25" s="297" t="s">
        <v>184</v>
      </c>
      <c r="C25" s="298" t="s">
        <v>94</v>
      </c>
      <c r="D25" s="299"/>
      <c r="E25" s="301"/>
      <c r="F25" s="301" t="s">
        <v>252</v>
      </c>
      <c r="G25" s="298" t="s">
        <v>204</v>
      </c>
      <c r="H25" s="229"/>
      <c r="I25" s="20">
        <v>8.0000000000000002E-3</v>
      </c>
      <c r="J25" s="20">
        <v>2.5000000000000001E-2</v>
      </c>
      <c r="K25" s="20">
        <v>0</v>
      </c>
      <c r="L25" s="20">
        <v>7.4999999999999997E-2</v>
      </c>
      <c r="M25" s="28"/>
      <c r="N25" s="20"/>
    </row>
    <row r="26" spans="1:14" ht="15.75" x14ac:dyDescent="0.25">
      <c r="A26" s="296" t="s">
        <v>183</v>
      </c>
      <c r="B26" s="297" t="s">
        <v>184</v>
      </c>
      <c r="C26" s="298" t="s">
        <v>94</v>
      </c>
      <c r="D26" s="299"/>
      <c r="E26" s="301"/>
      <c r="F26" s="328" t="s">
        <v>251</v>
      </c>
      <c r="G26" s="329" t="s">
        <v>205</v>
      </c>
      <c r="H26" s="229"/>
      <c r="I26" s="330">
        <v>8.0000000000000002E-3</v>
      </c>
      <c r="J26" s="330">
        <v>2.5000000000000001E-2</v>
      </c>
      <c r="K26" s="330">
        <v>0</v>
      </c>
      <c r="L26" s="330">
        <v>0.05</v>
      </c>
      <c r="M26" s="28"/>
      <c r="N26" s="20"/>
    </row>
    <row r="27" spans="1:14" ht="15.75" x14ac:dyDescent="0.25">
      <c r="A27" s="296" t="s">
        <v>183</v>
      </c>
      <c r="B27" s="297" t="s">
        <v>184</v>
      </c>
      <c r="C27" s="298" t="s">
        <v>94</v>
      </c>
      <c r="D27" s="299"/>
      <c r="E27" s="301"/>
      <c r="F27" s="301" t="s">
        <v>252</v>
      </c>
      <c r="G27" s="298" t="s">
        <v>206</v>
      </c>
      <c r="H27" s="229"/>
      <c r="I27" s="20">
        <v>4.0000000000000001E-3</v>
      </c>
      <c r="J27" s="20">
        <v>5.0000000000000001E-3</v>
      </c>
      <c r="K27" s="20">
        <v>0</v>
      </c>
      <c r="L27" s="20">
        <v>7.0000000000000007E-2</v>
      </c>
      <c r="M27" s="28"/>
      <c r="N27" s="20"/>
    </row>
    <row r="28" spans="1:14" ht="15.75" x14ac:dyDescent="0.25">
      <c r="A28" s="296" t="s">
        <v>183</v>
      </c>
      <c r="B28" s="297" t="s">
        <v>184</v>
      </c>
      <c r="C28" s="298" t="s">
        <v>94</v>
      </c>
      <c r="D28" s="299"/>
      <c r="E28" s="301"/>
      <c r="F28" s="328" t="s">
        <v>251</v>
      </c>
      <c r="G28" s="329" t="s">
        <v>207</v>
      </c>
      <c r="H28" s="229"/>
      <c r="I28" s="330">
        <v>7.0000000000000001E-3</v>
      </c>
      <c r="J28" s="330">
        <v>3.5000000000000003E-2</v>
      </c>
      <c r="K28" s="330">
        <v>0</v>
      </c>
      <c r="L28" s="330">
        <v>9.5000000000000001E-2</v>
      </c>
      <c r="M28" s="28"/>
      <c r="N28" s="20"/>
    </row>
    <row r="29" spans="1:14" ht="15.75" x14ac:dyDescent="0.25">
      <c r="A29" s="296" t="s">
        <v>183</v>
      </c>
      <c r="B29" s="297" t="s">
        <v>184</v>
      </c>
      <c r="C29" s="298" t="s">
        <v>94</v>
      </c>
      <c r="D29" s="299"/>
      <c r="E29" s="301"/>
      <c r="F29" s="301" t="s">
        <v>224</v>
      </c>
      <c r="G29" s="298" t="s">
        <v>208</v>
      </c>
      <c r="H29" s="229"/>
      <c r="I29" s="20"/>
      <c r="J29" s="20"/>
      <c r="K29" s="20"/>
      <c r="L29" s="20"/>
      <c r="M29" s="28"/>
      <c r="N29" s="20"/>
    </row>
    <row r="30" spans="1:14" ht="15.75" x14ac:dyDescent="0.25">
      <c r="A30" s="296" t="s">
        <v>183</v>
      </c>
      <c r="B30" s="297" t="s">
        <v>184</v>
      </c>
      <c r="C30" s="298" t="s">
        <v>94</v>
      </c>
      <c r="D30" s="299"/>
      <c r="E30" s="301"/>
      <c r="F30" s="328" t="s">
        <v>251</v>
      </c>
      <c r="G30" s="329" t="s">
        <v>209</v>
      </c>
      <c r="H30" s="229"/>
      <c r="I30" s="330">
        <v>7.0000000000000001E-3</v>
      </c>
      <c r="J30" s="330">
        <v>0.03</v>
      </c>
      <c r="K30" s="330">
        <v>0</v>
      </c>
      <c r="L30" s="330">
        <v>0.06</v>
      </c>
      <c r="M30" s="28"/>
      <c r="N30" s="20"/>
    </row>
    <row r="31" spans="1:14" ht="15.75" x14ac:dyDescent="0.25">
      <c r="A31" s="296" t="s">
        <v>183</v>
      </c>
      <c r="B31" s="297" t="s">
        <v>184</v>
      </c>
      <c r="C31" s="298" t="s">
        <v>94</v>
      </c>
      <c r="D31" s="299"/>
      <c r="E31" s="301"/>
      <c r="F31" s="301" t="s">
        <v>252</v>
      </c>
      <c r="G31" s="298" t="s">
        <v>210</v>
      </c>
      <c r="H31" s="229"/>
      <c r="I31" s="20">
        <v>8.0000000000000002E-3</v>
      </c>
      <c r="J31" s="20">
        <v>0.01</v>
      </c>
      <c r="K31" s="20">
        <v>0</v>
      </c>
      <c r="L31" s="20">
        <v>0.06</v>
      </c>
      <c r="M31" s="28"/>
      <c r="N31" s="20"/>
    </row>
    <row r="32" spans="1:14" ht="15.75" x14ac:dyDescent="0.25">
      <c r="A32" s="296" t="s">
        <v>183</v>
      </c>
      <c r="B32" s="297" t="s">
        <v>184</v>
      </c>
      <c r="C32" s="298" t="s">
        <v>94</v>
      </c>
      <c r="D32" s="299"/>
      <c r="E32" s="301"/>
      <c r="F32" s="301" t="s">
        <v>224</v>
      </c>
      <c r="G32" s="298" t="s">
        <v>211</v>
      </c>
      <c r="H32" s="229"/>
      <c r="I32" s="20"/>
      <c r="J32" s="20"/>
      <c r="K32" s="20"/>
      <c r="L32" s="20"/>
      <c r="M32" s="28"/>
      <c r="N32" s="20"/>
    </row>
    <row r="33" spans="1:14" ht="15.75" x14ac:dyDescent="0.25">
      <c r="A33" s="296" t="s">
        <v>183</v>
      </c>
      <c r="B33" s="297" t="s">
        <v>184</v>
      </c>
      <c r="C33" s="298" t="s">
        <v>94</v>
      </c>
      <c r="D33" s="299"/>
      <c r="E33" s="301"/>
      <c r="F33" s="301" t="s">
        <v>224</v>
      </c>
      <c r="G33" s="298" t="s">
        <v>212</v>
      </c>
      <c r="H33" s="229"/>
      <c r="I33" s="20"/>
      <c r="J33" s="20"/>
      <c r="K33" s="20"/>
      <c r="L33" s="20"/>
      <c r="M33" s="28"/>
      <c r="N33" s="20"/>
    </row>
    <row r="34" spans="1:14" ht="15.75" x14ac:dyDescent="0.25">
      <c r="A34" s="296" t="s">
        <v>183</v>
      </c>
      <c r="B34" s="297" t="s">
        <v>184</v>
      </c>
      <c r="C34" s="298" t="s">
        <v>94</v>
      </c>
      <c r="D34" s="299"/>
      <c r="E34" s="301"/>
      <c r="F34" s="301" t="s">
        <v>224</v>
      </c>
      <c r="G34" s="298" t="s">
        <v>213</v>
      </c>
      <c r="H34" s="229"/>
      <c r="I34" s="20"/>
      <c r="J34" s="20"/>
      <c r="K34" s="20"/>
      <c r="L34" s="20"/>
      <c r="M34" s="28"/>
      <c r="N34" s="20"/>
    </row>
    <row r="35" spans="1:14" ht="15.75" x14ac:dyDescent="0.25">
      <c r="A35" s="296" t="s">
        <v>183</v>
      </c>
      <c r="B35" s="297" t="s">
        <v>184</v>
      </c>
      <c r="C35" s="298" t="s">
        <v>94</v>
      </c>
      <c r="D35" s="299"/>
      <c r="E35" s="301"/>
      <c r="F35" s="301" t="s">
        <v>225</v>
      </c>
      <c r="G35" s="298" t="s">
        <v>214</v>
      </c>
      <c r="H35" s="229"/>
      <c r="I35" s="20"/>
      <c r="J35" s="20"/>
      <c r="K35" s="20"/>
      <c r="L35" s="20"/>
      <c r="M35" s="28"/>
      <c r="N35" s="20"/>
    </row>
    <row r="36" spans="1:14" ht="15.75" x14ac:dyDescent="0.25">
      <c r="A36" s="296" t="s">
        <v>183</v>
      </c>
      <c r="B36" s="297" t="s">
        <v>184</v>
      </c>
      <c r="C36" s="298" t="s">
        <v>94</v>
      </c>
      <c r="D36" s="299"/>
      <c r="E36" s="301"/>
      <c r="F36" s="328" t="s">
        <v>251</v>
      </c>
      <c r="G36" s="329" t="s">
        <v>215</v>
      </c>
      <c r="H36" s="229"/>
      <c r="I36" s="330">
        <v>3.0000000000000001E-3</v>
      </c>
      <c r="J36" s="330">
        <v>0.03</v>
      </c>
      <c r="K36" s="330">
        <v>0</v>
      </c>
      <c r="L36" s="330">
        <v>0.06</v>
      </c>
      <c r="M36" s="28"/>
      <c r="N36" s="20"/>
    </row>
    <row r="37" spans="1:14" ht="15.75" x14ac:dyDescent="0.25">
      <c r="A37" s="296" t="s">
        <v>183</v>
      </c>
      <c r="B37" s="297" t="s">
        <v>184</v>
      </c>
      <c r="C37" s="298" t="s">
        <v>94</v>
      </c>
      <c r="D37" s="299"/>
      <c r="E37" s="301"/>
      <c r="F37" s="328" t="s">
        <v>251</v>
      </c>
      <c r="G37" s="329" t="s">
        <v>216</v>
      </c>
      <c r="H37" s="229"/>
      <c r="I37" s="330">
        <v>6.0000000000000001E-3</v>
      </c>
      <c r="J37" s="330">
        <v>2.5000000000000001E-2</v>
      </c>
      <c r="K37" s="330">
        <v>0</v>
      </c>
      <c r="L37" s="330">
        <v>0.06</v>
      </c>
      <c r="M37" s="28"/>
      <c r="N37" s="189"/>
    </row>
    <row r="38" spans="1:14" ht="15.75" x14ac:dyDescent="0.25">
      <c r="A38" s="296" t="s">
        <v>183</v>
      </c>
      <c r="B38" s="297" t="s">
        <v>184</v>
      </c>
      <c r="C38" s="298" t="s">
        <v>94</v>
      </c>
      <c r="D38" s="299"/>
      <c r="E38" s="301"/>
      <c r="F38" s="301" t="s">
        <v>225</v>
      </c>
      <c r="G38" s="298" t="s">
        <v>217</v>
      </c>
      <c r="H38" s="229"/>
      <c r="I38" s="20"/>
      <c r="J38" s="20"/>
      <c r="K38" s="20"/>
      <c r="L38" s="20"/>
      <c r="M38" s="28"/>
      <c r="N38" s="189"/>
    </row>
    <row r="40" spans="1:14" ht="15.75" x14ac:dyDescent="0.25">
      <c r="A40" s="296" t="s">
        <v>183</v>
      </c>
      <c r="B40" s="296" t="s">
        <v>184</v>
      </c>
      <c r="C40" s="298" t="s">
        <v>95</v>
      </c>
      <c r="D40" s="299"/>
      <c r="E40" s="299"/>
      <c r="F40" s="300" t="s">
        <v>252</v>
      </c>
      <c r="G40" s="298" t="s">
        <v>164</v>
      </c>
      <c r="H40" s="219"/>
      <c r="I40" s="99">
        <v>0.01</v>
      </c>
      <c r="J40" s="20">
        <v>0.04</v>
      </c>
      <c r="K40" s="20">
        <v>0</v>
      </c>
      <c r="L40" s="20">
        <v>0.08</v>
      </c>
      <c r="M40" s="28"/>
      <c r="N40" s="20"/>
    </row>
    <row r="41" spans="1:14" ht="15.75" x14ac:dyDescent="0.25">
      <c r="A41" s="296" t="s">
        <v>183</v>
      </c>
      <c r="B41" s="296" t="s">
        <v>184</v>
      </c>
      <c r="C41" s="298" t="s">
        <v>95</v>
      </c>
      <c r="D41" s="299"/>
      <c r="E41" s="299"/>
      <c r="F41" s="300" t="s">
        <v>252</v>
      </c>
      <c r="G41" s="298" t="s">
        <v>165</v>
      </c>
      <c r="H41" s="219"/>
      <c r="I41" s="99">
        <v>3.0000000000000001E-3</v>
      </c>
      <c r="J41" s="20">
        <v>1.4999999999999999E-2</v>
      </c>
      <c r="K41" s="20">
        <v>0</v>
      </c>
      <c r="L41" s="20">
        <v>4.4999999999999998E-2</v>
      </c>
      <c r="M41" s="28"/>
      <c r="N41" s="20"/>
    </row>
    <row r="42" spans="1:14" ht="15.75" x14ac:dyDescent="0.25">
      <c r="A42" s="296" t="s">
        <v>183</v>
      </c>
      <c r="B42" s="296" t="s">
        <v>184</v>
      </c>
      <c r="C42" s="298" t="s">
        <v>95</v>
      </c>
      <c r="D42" s="299"/>
      <c r="E42" s="299"/>
      <c r="F42" s="300" t="s">
        <v>252</v>
      </c>
      <c r="G42" s="298" t="s">
        <v>166</v>
      </c>
      <c r="H42" s="219"/>
      <c r="I42" s="99">
        <v>2E-3</v>
      </c>
      <c r="J42" s="20">
        <v>0</v>
      </c>
      <c r="K42" s="20">
        <v>0</v>
      </c>
      <c r="L42" s="20">
        <v>0.1</v>
      </c>
      <c r="M42" s="28"/>
      <c r="N42" s="20"/>
    </row>
    <row r="43" spans="1:14" ht="15.75" x14ac:dyDescent="0.25">
      <c r="A43" s="296" t="s">
        <v>183</v>
      </c>
      <c r="B43" s="296" t="s">
        <v>184</v>
      </c>
      <c r="C43" s="298" t="s">
        <v>95</v>
      </c>
      <c r="D43" s="299"/>
      <c r="E43" s="299"/>
      <c r="F43" s="300" t="s">
        <v>252</v>
      </c>
      <c r="G43" s="298" t="s">
        <v>185</v>
      </c>
      <c r="H43" s="219"/>
      <c r="I43" s="99">
        <v>6.0000000000000001E-3</v>
      </c>
      <c r="J43" s="20">
        <v>1.4999999999999999E-2</v>
      </c>
      <c r="K43" s="20">
        <v>0</v>
      </c>
      <c r="L43" s="20">
        <v>9.5000000000000001E-2</v>
      </c>
      <c r="M43" s="28"/>
      <c r="N43" s="20"/>
    </row>
    <row r="44" spans="1:14" ht="15.75" x14ac:dyDescent="0.25">
      <c r="A44" s="296" t="s">
        <v>183</v>
      </c>
      <c r="B44" s="296" t="s">
        <v>184</v>
      </c>
      <c r="C44" s="298" t="s">
        <v>95</v>
      </c>
      <c r="D44" s="299"/>
      <c r="E44" s="299"/>
      <c r="F44" s="300" t="s">
        <v>252</v>
      </c>
      <c r="G44" s="298" t="s">
        <v>186</v>
      </c>
      <c r="H44" s="219"/>
      <c r="I44" s="99">
        <v>4.0000000000000001E-3</v>
      </c>
      <c r="J44" s="20">
        <v>1.4999999999999999E-2</v>
      </c>
      <c r="K44" s="20">
        <v>0</v>
      </c>
      <c r="L44" s="20">
        <v>0.09</v>
      </c>
      <c r="M44" s="28"/>
      <c r="N44" s="20"/>
    </row>
    <row r="45" spans="1:14" ht="15.75" x14ac:dyDescent="0.25">
      <c r="A45" s="296" t="s">
        <v>183</v>
      </c>
      <c r="B45" s="296" t="s">
        <v>184</v>
      </c>
      <c r="C45" s="298" t="s">
        <v>95</v>
      </c>
      <c r="D45" s="299"/>
      <c r="E45" s="299"/>
      <c r="F45" s="300" t="s">
        <v>252</v>
      </c>
      <c r="G45" s="298" t="s">
        <v>187</v>
      </c>
      <c r="H45" s="219"/>
      <c r="I45" s="99">
        <v>8.9999999999999993E-3</v>
      </c>
      <c r="J45" s="20">
        <v>0.03</v>
      </c>
      <c r="K45" s="20">
        <v>0</v>
      </c>
      <c r="L45" s="20">
        <v>0.1</v>
      </c>
      <c r="M45" s="28"/>
      <c r="N45" s="20"/>
    </row>
    <row r="46" spans="1:14" ht="15.75" x14ac:dyDescent="0.25">
      <c r="A46" s="296" t="s">
        <v>183</v>
      </c>
      <c r="B46" s="296" t="s">
        <v>184</v>
      </c>
      <c r="C46" s="298" t="s">
        <v>95</v>
      </c>
      <c r="D46" s="299"/>
      <c r="E46" s="299"/>
      <c r="F46" s="300" t="s">
        <v>252</v>
      </c>
      <c r="G46" s="298" t="s">
        <v>188</v>
      </c>
      <c r="H46" s="219"/>
      <c r="I46" s="99">
        <v>5.0000000000000001E-3</v>
      </c>
      <c r="J46" s="20">
        <v>0.04</v>
      </c>
      <c r="K46" s="20">
        <v>0</v>
      </c>
      <c r="L46" s="20">
        <v>9.5000000000000001E-2</v>
      </c>
      <c r="M46" s="28"/>
      <c r="N46" s="20"/>
    </row>
    <row r="47" spans="1:14" ht="15.75" x14ac:dyDescent="0.25">
      <c r="A47" s="296" t="s">
        <v>183</v>
      </c>
      <c r="B47" s="296" t="s">
        <v>184</v>
      </c>
      <c r="C47" s="298" t="s">
        <v>95</v>
      </c>
      <c r="D47" s="299"/>
      <c r="E47" s="299"/>
      <c r="F47" s="300" t="s">
        <v>252</v>
      </c>
      <c r="G47" s="298" t="s">
        <v>189</v>
      </c>
      <c r="H47" s="219"/>
      <c r="I47" s="99">
        <v>5.0000000000000001E-3</v>
      </c>
      <c r="J47" s="20">
        <v>0.04</v>
      </c>
      <c r="K47" s="20">
        <v>0</v>
      </c>
      <c r="L47" s="20">
        <v>0.11</v>
      </c>
      <c r="M47" s="28"/>
      <c r="N47" s="20"/>
    </row>
    <row r="48" spans="1:14" ht="15.75" x14ac:dyDescent="0.25">
      <c r="A48" s="296" t="s">
        <v>183</v>
      </c>
      <c r="B48" s="296" t="s">
        <v>184</v>
      </c>
      <c r="C48" s="298" t="s">
        <v>95</v>
      </c>
      <c r="D48" s="299"/>
      <c r="E48" s="299"/>
      <c r="F48" s="300" t="s">
        <v>252</v>
      </c>
      <c r="G48" s="298" t="s">
        <v>190</v>
      </c>
      <c r="H48" s="219"/>
      <c r="I48" s="99">
        <v>8.9999999999999993E-3</v>
      </c>
      <c r="J48" s="20">
        <v>1.4999999999999999E-2</v>
      </c>
      <c r="K48" s="20">
        <v>0</v>
      </c>
      <c r="L48" s="20">
        <v>0.04</v>
      </c>
      <c r="M48" s="28"/>
      <c r="N48" s="20"/>
    </row>
    <row r="49" spans="1:14" ht="15.75" x14ac:dyDescent="0.25">
      <c r="A49" s="296" t="s">
        <v>183</v>
      </c>
      <c r="B49" s="296" t="s">
        <v>184</v>
      </c>
      <c r="C49" s="298" t="s">
        <v>95</v>
      </c>
      <c r="D49" s="299"/>
      <c r="E49" s="299"/>
      <c r="F49" s="300" t="s">
        <v>252</v>
      </c>
      <c r="G49" s="298" t="s">
        <v>191</v>
      </c>
      <c r="H49" s="219"/>
      <c r="I49" s="99">
        <v>8.9999999999999993E-3</v>
      </c>
      <c r="J49" s="20">
        <v>0.03</v>
      </c>
      <c r="K49" s="20">
        <v>0</v>
      </c>
      <c r="L49" s="20">
        <v>0.06</v>
      </c>
      <c r="M49" s="28"/>
      <c r="N49" s="20"/>
    </row>
    <row r="50" spans="1:14" ht="15.75" x14ac:dyDescent="0.25">
      <c r="A50" s="296" t="s">
        <v>183</v>
      </c>
      <c r="B50" s="296" t="s">
        <v>184</v>
      </c>
      <c r="C50" s="298" t="s">
        <v>95</v>
      </c>
      <c r="D50" s="299"/>
      <c r="E50" s="299"/>
      <c r="F50" s="300" t="s">
        <v>252</v>
      </c>
      <c r="G50" s="298" t="s">
        <v>192</v>
      </c>
      <c r="H50" s="219"/>
      <c r="I50" s="99">
        <v>7.0000000000000001E-3</v>
      </c>
      <c r="J50" s="20">
        <v>1.4999999999999999E-2</v>
      </c>
      <c r="K50" s="20">
        <v>0</v>
      </c>
      <c r="L50" s="20">
        <v>0.04</v>
      </c>
      <c r="M50" s="28"/>
      <c r="N50" s="20"/>
    </row>
    <row r="51" spans="1:14" ht="15.75" x14ac:dyDescent="0.25">
      <c r="A51" s="296" t="s">
        <v>183</v>
      </c>
      <c r="B51" s="296" t="s">
        <v>184</v>
      </c>
      <c r="C51" s="298" t="s">
        <v>95</v>
      </c>
      <c r="D51" s="299"/>
      <c r="E51" s="299"/>
      <c r="F51" s="300" t="s">
        <v>252</v>
      </c>
      <c r="G51" s="298" t="s">
        <v>193</v>
      </c>
      <c r="H51" s="219"/>
      <c r="I51" s="99">
        <v>8.9999999999999993E-3</v>
      </c>
      <c r="J51" s="20">
        <v>2.5000000000000001E-2</v>
      </c>
      <c r="K51" s="20">
        <v>0</v>
      </c>
      <c r="L51" s="20">
        <v>7.4999999999999997E-2</v>
      </c>
      <c r="M51" s="28"/>
      <c r="N51" s="20"/>
    </row>
    <row r="52" spans="1:14" ht="15.75" x14ac:dyDescent="0.25">
      <c r="A52" s="296" t="s">
        <v>183</v>
      </c>
      <c r="B52" s="296" t="s">
        <v>184</v>
      </c>
      <c r="C52" s="298" t="s">
        <v>95</v>
      </c>
      <c r="D52" s="299"/>
      <c r="E52" s="299"/>
      <c r="F52" s="300" t="s">
        <v>252</v>
      </c>
      <c r="G52" s="298" t="s">
        <v>194</v>
      </c>
      <c r="H52" s="219"/>
      <c r="I52" s="99">
        <v>7.0000000000000001E-3</v>
      </c>
      <c r="J52" s="20">
        <v>2.5000000000000001E-2</v>
      </c>
      <c r="K52" s="20">
        <v>0</v>
      </c>
      <c r="L52" s="20">
        <v>0.06</v>
      </c>
      <c r="M52" s="28"/>
      <c r="N52" s="20"/>
    </row>
    <row r="53" spans="1:14" ht="15.75" x14ac:dyDescent="0.25">
      <c r="A53" s="296" t="s">
        <v>183</v>
      </c>
      <c r="B53" s="296" t="s">
        <v>184</v>
      </c>
      <c r="C53" s="298" t="s">
        <v>95</v>
      </c>
      <c r="D53" s="299"/>
      <c r="E53" s="299"/>
      <c r="F53" s="300" t="s">
        <v>252</v>
      </c>
      <c r="G53" s="298" t="s">
        <v>195</v>
      </c>
      <c r="H53" s="219"/>
      <c r="I53" s="99">
        <v>7.0000000000000001E-3</v>
      </c>
      <c r="J53" s="20">
        <v>3.5000000000000003E-2</v>
      </c>
      <c r="K53" s="20">
        <v>0</v>
      </c>
      <c r="L53" s="20">
        <v>7.0000000000000007E-2</v>
      </c>
      <c r="M53" s="28"/>
      <c r="N53" s="20"/>
    </row>
    <row r="54" spans="1:14" ht="15.75" x14ac:dyDescent="0.25">
      <c r="A54" s="296" t="s">
        <v>183</v>
      </c>
      <c r="B54" s="296" t="s">
        <v>184</v>
      </c>
      <c r="C54" s="298" t="s">
        <v>95</v>
      </c>
      <c r="D54" s="299"/>
      <c r="E54" s="299"/>
      <c r="F54" s="300" t="s">
        <v>226</v>
      </c>
      <c r="G54" s="298" t="s">
        <v>196</v>
      </c>
      <c r="H54" s="219"/>
      <c r="I54" s="99"/>
      <c r="J54" s="20"/>
      <c r="K54" s="20"/>
      <c r="L54" s="20"/>
      <c r="M54" s="28"/>
      <c r="N54" s="20"/>
    </row>
    <row r="55" spans="1:14" ht="15.75" x14ac:dyDescent="0.25">
      <c r="A55" s="296" t="s">
        <v>183</v>
      </c>
      <c r="B55" s="296" t="s">
        <v>184</v>
      </c>
      <c r="C55" s="298" t="s">
        <v>95</v>
      </c>
      <c r="D55" s="299"/>
      <c r="E55" s="299"/>
      <c r="F55" s="300" t="s">
        <v>252</v>
      </c>
      <c r="G55" s="298" t="s">
        <v>197</v>
      </c>
      <c r="H55" s="219"/>
      <c r="I55" s="99">
        <v>4.0000000000000001E-3</v>
      </c>
      <c r="J55" s="20">
        <v>2.5000000000000001E-2</v>
      </c>
      <c r="K55" s="20">
        <v>0</v>
      </c>
      <c r="L55" s="20">
        <v>0.06</v>
      </c>
      <c r="M55" s="28"/>
      <c r="N55" s="20"/>
    </row>
    <row r="56" spans="1:14" ht="15.75" x14ac:dyDescent="0.25">
      <c r="A56" s="296" t="s">
        <v>183</v>
      </c>
      <c r="B56" s="296" t="s">
        <v>184</v>
      </c>
      <c r="C56" s="298" t="s">
        <v>95</v>
      </c>
      <c r="D56" s="299"/>
      <c r="E56" s="299"/>
      <c r="F56" s="300" t="s">
        <v>252</v>
      </c>
      <c r="G56" s="298" t="s">
        <v>198</v>
      </c>
      <c r="H56" s="219"/>
      <c r="I56" s="99">
        <v>2E-3</v>
      </c>
      <c r="J56" s="20">
        <v>2.5000000000000001E-2</v>
      </c>
      <c r="K56" s="20">
        <v>0</v>
      </c>
      <c r="L56" s="20">
        <v>0.06</v>
      </c>
      <c r="M56" s="28"/>
      <c r="N56" s="20"/>
    </row>
    <row r="57" spans="1:14" ht="15.75" x14ac:dyDescent="0.25">
      <c r="A57" s="296" t="s">
        <v>183</v>
      </c>
      <c r="B57" s="296" t="s">
        <v>184</v>
      </c>
      <c r="C57" s="298" t="s">
        <v>95</v>
      </c>
      <c r="D57" s="299"/>
      <c r="E57" s="299"/>
      <c r="F57" s="300" t="s">
        <v>252</v>
      </c>
      <c r="G57" s="298" t="s">
        <v>199</v>
      </c>
      <c r="H57" s="219"/>
      <c r="I57" s="99">
        <v>8.9999999999999993E-3</v>
      </c>
      <c r="J57" s="20">
        <v>0.02</v>
      </c>
      <c r="K57" s="20">
        <v>0</v>
      </c>
      <c r="L57" s="20">
        <v>0.05</v>
      </c>
      <c r="M57" s="28"/>
      <c r="N57" s="20"/>
    </row>
    <row r="58" spans="1:14" ht="15.75" x14ac:dyDescent="0.25">
      <c r="A58" s="296" t="s">
        <v>183</v>
      </c>
      <c r="B58" s="296" t="s">
        <v>184</v>
      </c>
      <c r="C58" s="298" t="s">
        <v>95</v>
      </c>
      <c r="D58" s="299"/>
      <c r="E58" s="299"/>
      <c r="F58" s="300" t="s">
        <v>119</v>
      </c>
      <c r="G58" s="298" t="s">
        <v>200</v>
      </c>
      <c r="H58" s="219"/>
      <c r="I58" s="99"/>
      <c r="J58" s="20"/>
      <c r="K58" s="20"/>
      <c r="L58" s="20"/>
      <c r="M58" s="28"/>
      <c r="N58" s="20"/>
    </row>
    <row r="59" spans="1:14" ht="15.75" x14ac:dyDescent="0.25">
      <c r="A59" s="296" t="s">
        <v>183</v>
      </c>
      <c r="B59" s="296" t="s">
        <v>184</v>
      </c>
      <c r="C59" s="298" t="s">
        <v>95</v>
      </c>
      <c r="D59" s="299"/>
      <c r="E59" s="299"/>
      <c r="F59" s="300" t="s">
        <v>119</v>
      </c>
      <c r="G59" s="298" t="s">
        <v>201</v>
      </c>
      <c r="H59" s="219"/>
      <c r="I59" s="99"/>
      <c r="J59" s="20"/>
      <c r="K59" s="20"/>
      <c r="L59" s="20"/>
      <c r="M59" s="28"/>
      <c r="N59" s="20"/>
    </row>
    <row r="60" spans="1:14" ht="15.75" x14ac:dyDescent="0.25">
      <c r="A60" s="296" t="s">
        <v>183</v>
      </c>
      <c r="B60" s="296" t="s">
        <v>184</v>
      </c>
      <c r="C60" s="298" t="s">
        <v>95</v>
      </c>
      <c r="D60" s="299"/>
      <c r="E60" s="299"/>
      <c r="F60" s="300" t="s">
        <v>119</v>
      </c>
      <c r="G60" s="298" t="s">
        <v>202</v>
      </c>
      <c r="H60" s="219"/>
      <c r="I60" s="99"/>
      <c r="J60" s="20"/>
      <c r="K60" s="20"/>
      <c r="L60" s="20"/>
      <c r="M60" s="28"/>
      <c r="N60" s="20"/>
    </row>
    <row r="61" spans="1:14" ht="15.75" x14ac:dyDescent="0.25">
      <c r="A61" s="296" t="s">
        <v>183</v>
      </c>
      <c r="B61" s="296" t="s">
        <v>184</v>
      </c>
      <c r="C61" s="298" t="s">
        <v>95</v>
      </c>
      <c r="D61" s="299"/>
      <c r="E61" s="299"/>
      <c r="F61" s="300" t="s">
        <v>119</v>
      </c>
      <c r="G61" s="298" t="s">
        <v>203</v>
      </c>
      <c r="H61" s="219"/>
      <c r="I61" s="99"/>
      <c r="J61" s="20"/>
      <c r="K61" s="20"/>
      <c r="L61" s="20"/>
      <c r="M61" s="28"/>
      <c r="N61" s="20"/>
    </row>
    <row r="62" spans="1:14" ht="15.75" x14ac:dyDescent="0.25">
      <c r="A62" s="296" t="s">
        <v>183</v>
      </c>
      <c r="B62" s="296" t="s">
        <v>184</v>
      </c>
      <c r="C62" s="298" t="s">
        <v>95</v>
      </c>
      <c r="D62" s="299"/>
      <c r="E62" s="299"/>
      <c r="F62" s="300" t="s">
        <v>119</v>
      </c>
      <c r="G62" s="298" t="s">
        <v>204</v>
      </c>
      <c r="H62" s="219"/>
      <c r="I62" s="99"/>
      <c r="J62" s="20"/>
      <c r="K62" s="20"/>
      <c r="L62" s="20"/>
      <c r="M62" s="28"/>
      <c r="N62" s="20"/>
    </row>
    <row r="63" spans="1:14" ht="15.75" x14ac:dyDescent="0.25">
      <c r="A63" s="296" t="s">
        <v>183</v>
      </c>
      <c r="B63" s="296" t="s">
        <v>184</v>
      </c>
      <c r="C63" s="298" t="s">
        <v>95</v>
      </c>
      <c r="D63" s="299"/>
      <c r="E63" s="299"/>
      <c r="F63" s="300" t="s">
        <v>252</v>
      </c>
      <c r="G63" s="298" t="s">
        <v>205</v>
      </c>
      <c r="H63" s="219"/>
      <c r="I63" s="99">
        <v>5.0000000000000001E-3</v>
      </c>
      <c r="J63" s="20">
        <v>1.4999999999999999E-2</v>
      </c>
      <c r="K63" s="20">
        <v>0</v>
      </c>
      <c r="L63" s="20">
        <v>0.09</v>
      </c>
      <c r="M63" s="28"/>
      <c r="N63" s="20"/>
    </row>
    <row r="65" spans="1:14" ht="15.75" x14ac:dyDescent="0.25">
      <c r="A65" s="310" t="s">
        <v>222</v>
      </c>
      <c r="B65" s="311" t="s">
        <v>223</v>
      </c>
      <c r="C65" s="312" t="s">
        <v>220</v>
      </c>
      <c r="D65" s="313"/>
      <c r="E65" s="314"/>
      <c r="F65" s="314" t="s">
        <v>242</v>
      </c>
      <c r="G65" s="314"/>
      <c r="H65" s="185"/>
      <c r="I65" s="99">
        <v>5.0000000000000001E-3</v>
      </c>
      <c r="J65" s="20">
        <v>0.03</v>
      </c>
      <c r="K65" s="20"/>
      <c r="L65" s="20"/>
      <c r="M65" s="28"/>
      <c r="N65" s="20"/>
    </row>
    <row r="67" spans="1:14" ht="15.75" x14ac:dyDescent="0.25">
      <c r="A67" s="310"/>
      <c r="B67" s="311" t="s">
        <v>241</v>
      </c>
      <c r="C67" s="312" t="s">
        <v>227</v>
      </c>
      <c r="D67" s="313"/>
      <c r="E67" s="314"/>
      <c r="F67" s="314" t="s">
        <v>242</v>
      </c>
      <c r="G67" s="314"/>
      <c r="H67" s="185"/>
      <c r="I67" s="99">
        <v>1.4999999999999999E-2</v>
      </c>
      <c r="J67" s="20">
        <v>0.05</v>
      </c>
      <c r="K67" s="20"/>
      <c r="L67" s="20"/>
      <c r="M67" s="28"/>
      <c r="N67" s="20"/>
    </row>
    <row r="69" spans="1:14" ht="15.75" x14ac:dyDescent="0.25">
      <c r="A69" s="310"/>
      <c r="B69" s="311"/>
      <c r="C69" s="312" t="s">
        <v>228</v>
      </c>
      <c r="D69" s="313"/>
      <c r="E69" s="314"/>
      <c r="F69" s="314" t="s">
        <v>252</v>
      </c>
      <c r="G69" s="314"/>
      <c r="H69" s="185"/>
      <c r="I69" s="99">
        <v>0.22</v>
      </c>
      <c r="J69" s="20"/>
      <c r="K69" s="20"/>
      <c r="L69" s="20"/>
      <c r="M69" s="28"/>
      <c r="N69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BIOLOGICO</vt:lpstr>
      <vt:lpstr>CONVENZIONALE</vt:lpstr>
      <vt:lpstr>BIO FAIR FOR LIFE</vt:lpstr>
      <vt:lpstr>BIO BIOSUISSE</vt:lpstr>
      <vt:lpstr>Merce ASSOBIO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Asso Frutti</cp:lastModifiedBy>
  <cp:lastPrinted>2025-07-08T06:30:09Z</cp:lastPrinted>
  <dcterms:created xsi:type="dcterms:W3CDTF">2021-10-12T15:39:50Z</dcterms:created>
  <dcterms:modified xsi:type="dcterms:W3CDTF">2026-07-23T07:33:03Z</dcterms:modified>
</cp:coreProperties>
</file>